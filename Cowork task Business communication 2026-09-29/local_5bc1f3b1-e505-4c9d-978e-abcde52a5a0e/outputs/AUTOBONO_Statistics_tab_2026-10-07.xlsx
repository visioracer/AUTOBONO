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;-0;-"/>
    <numFmt numFmtId="165" formatCode="#,##0 €;-#,##0 €;-"/>
    <numFmt numFmtId="166" formatCode="mmm yyyy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pivotButton="0" quotePrefix="0" xfId="0"/>
    <xf numFmtId="165" fontId="5" fillId="0" borderId="1" pivotButton="0" quotePrefix="0" xfId="0"/>
    <xf numFmtId="1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164" fontId="4" fillId="0" borderId="1" pivotButton="0" quotePrefix="0" xfId="0"/>
    <xf numFmtId="165" fontId="4" fillId="0" borderId="1" pivotButton="0" quotePrefix="0" xfId="0"/>
    <xf numFmtId="166" fontId="5" fillId="0" borderId="1" applyAlignment="1" pivotButton="0" quotePrefix="0" xfId="0">
      <alignment horizontal="left"/>
    </xf>
  </cellXfs>
  <cellStyles count="1">
    <cellStyle name="Normal" xfId="0" builtinId="0" hidden="0"/>
  </cellStyles>
  <dxfs count="1">
    <dxf>
      <font>
        <name val="Arial"/>
        <b val="1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1" customWidth="1" min="3" max="3"/>
    <col width="11" customWidth="1" min="4" max="4"/>
    <col width="13" customWidth="1" min="5" max="5"/>
    <col width="14" customWidth="1" min="6" max="6"/>
    <col width="15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AUTOBONO — Statistics</t>
        </is>
      </c>
    </row>
    <row r="3">
      <c r="B3" s="2" t="inlineStr">
        <is>
          <t>Counted automatically from the Sales date column on the 2024 tab, from January 2024 (Brutto profit, Sale price, Sale time, Cash stuck). Nothing to type here — new cars, months and years appear by themselves.</t>
        </is>
      </c>
    </row>
    <row r="5">
      <c r="B5" s="3" t="inlineStr">
        <is>
          <t>Quick view</t>
        </is>
      </c>
    </row>
    <row r="6" ht="30" customHeight="1">
      <c r="B6" s="4" t="inlineStr">
        <is>
          <t>Period</t>
        </is>
      </c>
      <c r="C6" s="4" t="inlineStr">
        <is>
          <t>Cars bought</t>
        </is>
      </c>
      <c r="D6" s="4" t="inlineStr">
        <is>
          <t>Cars sold</t>
        </is>
      </c>
      <c r="E6" s="4" t="inlineStr">
        <is>
          <t>Profit</t>
        </is>
      </c>
      <c r="F6" s="4" t="inlineStr">
        <is>
          <t>Avg profit / car</t>
        </is>
      </c>
      <c r="G6" s="4" t="inlineStr">
        <is>
          <t>Half profit (each of you)</t>
        </is>
      </c>
      <c r="H6" s="4" t="inlineStr">
        <is>
          <t>Sales total</t>
        </is>
      </c>
      <c r="I6" s="4" t="inlineStr">
        <is>
          <t>Avg days online</t>
        </is>
      </c>
      <c r="J6" s="4" t="inlineStr">
        <is>
          <t>Avg days bought → sold</t>
        </is>
      </c>
    </row>
    <row r="7">
      <c r="B7" s="5" t="inlineStr">
        <is>
          <t>This month</t>
        </is>
      </c>
      <c r="C7" s="6">
        <f>IF(FALSE,"",COUNTIFS('2024'!$AD$5:$AD$178,"&gt;="&amp;DATE(YEAR(TODAY()),MONTH(TODAY()),1),'2024'!$AD$5:$AD$178,"&lt;"&amp;DATE(YEAR(TODAY()),MONTH(TODAY())+1,1)))</f>
        <v/>
      </c>
      <c r="D7" s="6">
        <f>IF(FALSE,"",COUNTIFS('2024'!$AG$5:$AG$178,"&gt;="&amp;DATE(YEAR(TODAY()),MONTH(TODAY()),1),'2024'!$AG$5:$AG$178,"&lt;"&amp;DATE(YEAR(TODAY()),MONTH(TODAY())+1,1)))</f>
        <v/>
      </c>
      <c r="E7" s="7">
        <f>IF(FALSE,"",SUMIFS('2024'!$X$5:$X$178,'2024'!$AG$5:$AG$178,"&gt;="&amp;DATE(YEAR(TODAY()),MONTH(TODAY()),1),'2024'!$AG$5:$AG$178,"&lt;"&amp;DATE(YEAR(TODAY()),MONTH(TODAY())+1,1)))</f>
        <v/>
      </c>
      <c r="F7" s="7">
        <f>IF(N(D7)=0,"",E7/D7)</f>
        <v/>
      </c>
      <c r="G7" s="7">
        <f>IF(E7="","",E7/2)</f>
        <v/>
      </c>
      <c r="H7" s="7">
        <f>IF(FALSE,"",SUMIFS('2024'!$V$5:$V$178,'2024'!$AG$5:$AG$178,"&gt;="&amp;DATE(YEAR(TODAY()),MONTH(TODAY()),1),'2024'!$AG$5:$AG$178,"&lt;"&amp;DATE(YEAR(TODAY()),MONTH(TODAY())+1,1)))</f>
        <v/>
      </c>
      <c r="I7" s="6">
        <f>IF(N(D7)=0,"",(SUMIFS('2024'!$AH$5:$AH$178,'2024'!$AG$5:$AG$178,"&gt;="&amp;DATE(YEAR(TODAY()),MONTH(TODAY()),1),'2024'!$AG$5:$AG$178,"&lt;"&amp;DATE(YEAR(TODAY()),MONTH(TODAY())+1,1)))/D7)</f>
        <v/>
      </c>
      <c r="J7" s="6">
        <f>IF(N(D7)=0,"",(SUMIFS('2024'!$AI$5:$AI$178,'2024'!$AG$5:$AG$178,"&gt;="&amp;DATE(YEAR(TODAY()),MONTH(TODAY()),1),'2024'!$AG$5:$AG$178,"&lt;"&amp;DATE(YEAR(TODAY()),MONTH(TODAY())+1,1)))/D7)</f>
        <v/>
      </c>
    </row>
    <row r="8">
      <c r="B8" s="5" t="inlineStr">
        <is>
          <t>Last month</t>
        </is>
      </c>
      <c r="C8" s="6">
        <f>IF(FALSE,"",COUNTIFS('2024'!$AD$5:$AD$178,"&gt;="&amp;DATE(YEAR(TODAY()),MONTH(TODAY())-1,1),'2024'!$AD$5:$AD$178,"&lt;"&amp;DATE(YEAR(TODAY()),MONTH(TODAY()),1)))</f>
        <v/>
      </c>
      <c r="D8" s="6">
        <f>IF(FALSE,"",COUNTIFS('2024'!$AG$5:$AG$178,"&gt;="&amp;DATE(YEAR(TODAY()),MONTH(TODAY())-1,1),'2024'!$AG$5:$AG$178,"&lt;"&amp;DATE(YEAR(TODAY()),MONTH(TODAY()),1)))</f>
        <v/>
      </c>
      <c r="E8" s="7">
        <f>IF(FALSE,"",SUMIFS('2024'!$X$5:$X$178,'2024'!$AG$5:$AG$178,"&gt;="&amp;DATE(YEAR(TODAY()),MONTH(TODAY())-1,1),'2024'!$AG$5:$AG$178,"&lt;"&amp;DATE(YEAR(TODAY()),MONTH(TODAY()),1)))</f>
        <v/>
      </c>
      <c r="F8" s="7">
        <f>IF(N(D8)=0,"",E8/D8)</f>
        <v/>
      </c>
      <c r="G8" s="7">
        <f>IF(E8="","",E8/2)</f>
        <v/>
      </c>
      <c r="H8" s="7">
        <f>IF(FALSE,"",SUMIFS('2024'!$V$5:$V$178,'2024'!$AG$5:$AG$178,"&gt;="&amp;DATE(YEAR(TODAY()),MONTH(TODAY())-1,1),'2024'!$AG$5:$AG$178,"&lt;"&amp;DATE(YEAR(TODAY()),MONTH(TODAY()),1)))</f>
        <v/>
      </c>
      <c r="I8" s="6">
        <f>IF(N(D8)=0,"",(SUMIFS('2024'!$AH$5:$AH$178,'2024'!$AG$5:$AG$178,"&gt;="&amp;DATE(YEAR(TODAY()),MONTH(TODAY())-1,1),'2024'!$AG$5:$AG$178,"&lt;"&amp;DATE(YEAR(TODAY()),MONTH(TODAY()),1)))/D8)</f>
        <v/>
      </c>
      <c r="J8" s="6">
        <f>IF(N(D8)=0,"",(SUMIFS('2024'!$AI$5:$AI$178,'2024'!$AG$5:$AG$178,"&gt;="&amp;DATE(YEAR(TODAY()),MONTH(TODAY())-1,1),'2024'!$AG$5:$AG$178,"&lt;"&amp;DATE(YEAR(TODAY()),MONTH(TODAY()),1)))/D8)</f>
        <v/>
      </c>
    </row>
    <row r="9">
      <c r="B9" s="5" t="inlineStr">
        <is>
          <t>This year</t>
        </is>
      </c>
      <c r="C9" s="6">
        <f>IF(FALSE,"",COUNTIFS('2024'!$AD$5:$AD$178,"&gt;="&amp;DATE(YEAR(TODAY()),1,1),'2024'!$AD$5:$AD$178,"&lt;"&amp;DATE(YEAR(TODAY())+1,1,1)))</f>
        <v/>
      </c>
      <c r="D9" s="6">
        <f>IF(FALSE,"",COUNTIFS('2024'!$AG$5:$AG$178,"&gt;="&amp;DATE(YEAR(TODAY()),1,1),'2024'!$AG$5:$AG$178,"&lt;"&amp;DATE(YEAR(TODAY())+1,1,1)))</f>
        <v/>
      </c>
      <c r="E9" s="7">
        <f>IF(FALSE,"",SUMIFS('2024'!$X$5:$X$178,'2024'!$AG$5:$AG$178,"&gt;="&amp;DATE(YEAR(TODAY()),1,1),'2024'!$AG$5:$AG$178,"&lt;"&amp;DATE(YEAR(TODAY())+1,1,1)))</f>
        <v/>
      </c>
      <c r="F9" s="7">
        <f>IF(N(D9)=0,"",E9/D9)</f>
        <v/>
      </c>
      <c r="G9" s="7">
        <f>IF(E9="","",E9/2)</f>
        <v/>
      </c>
      <c r="H9" s="7">
        <f>IF(FALSE,"",SUMIFS('2024'!$V$5:$V$178,'2024'!$AG$5:$AG$178,"&gt;="&amp;DATE(YEAR(TODAY()),1,1),'2024'!$AG$5:$AG$178,"&lt;"&amp;DATE(YEAR(TODAY())+1,1,1)))</f>
        <v/>
      </c>
      <c r="I9" s="6">
        <f>IF(N(D9)=0,"",(SUMIFS('2024'!$AH$5:$AH$178,'2024'!$AG$5:$AG$178,"&gt;="&amp;DATE(YEAR(TODAY()),1,1),'2024'!$AG$5:$AG$178,"&lt;"&amp;DATE(YEAR(TODAY())+1,1,1)))/D9)</f>
        <v/>
      </c>
      <c r="J9" s="6">
        <f>IF(N(D9)=0,"",(SUMIFS('2024'!$AI$5:$AI$178,'2024'!$AG$5:$AG$178,"&gt;="&amp;DATE(YEAR(TODAY()),1,1),'2024'!$AG$5:$AG$178,"&lt;"&amp;DATE(YEAR(TODAY())+1,1,1)))/D9)</f>
        <v/>
      </c>
    </row>
    <row r="10">
      <c r="B10" s="5" t="inlineStr">
        <is>
          <t>Last year</t>
        </is>
      </c>
      <c r="C10" s="6">
        <f>IF(FALSE,"",COUNTIFS('2024'!$AD$5:$AD$178,"&gt;="&amp;DATE(YEAR(TODAY())-1,1,1),'2024'!$AD$5:$AD$178,"&lt;"&amp;DATE(YEAR(TODAY()),1,1)))</f>
        <v/>
      </c>
      <c r="D10" s="6">
        <f>IF(FALSE,"",COUNTIFS('2024'!$AG$5:$AG$178,"&gt;="&amp;DATE(YEAR(TODAY())-1,1,1),'2024'!$AG$5:$AG$178,"&lt;"&amp;DATE(YEAR(TODAY()),1,1)))</f>
        <v/>
      </c>
      <c r="E10" s="7">
        <f>IF(FALSE,"",SUMIFS('2024'!$X$5:$X$178,'2024'!$AG$5:$AG$178,"&gt;="&amp;DATE(YEAR(TODAY())-1,1,1),'2024'!$AG$5:$AG$178,"&lt;"&amp;DATE(YEAR(TODAY()),1,1)))</f>
        <v/>
      </c>
      <c r="F10" s="7">
        <f>IF(N(D10)=0,"",E10/D10)</f>
        <v/>
      </c>
      <c r="G10" s="7">
        <f>IF(E10="","",E10/2)</f>
        <v/>
      </c>
      <c r="H10" s="7">
        <f>IF(FALSE,"",SUMIFS('2024'!$V$5:$V$178,'2024'!$AG$5:$AG$178,"&gt;="&amp;DATE(YEAR(TODAY())-1,1,1),'2024'!$AG$5:$AG$178,"&lt;"&amp;DATE(YEAR(TODAY()),1,1)))</f>
        <v/>
      </c>
      <c r="I10" s="6">
        <f>IF(N(D10)=0,"",(SUMIFS('2024'!$AH$5:$AH$178,'2024'!$AG$5:$AG$178,"&gt;="&amp;DATE(YEAR(TODAY())-1,1,1),'2024'!$AG$5:$AG$178,"&lt;"&amp;DATE(YEAR(TODAY()),1,1)))/D10)</f>
        <v/>
      </c>
      <c r="J10" s="6">
        <f>IF(N(D10)=0,"",(SUMIFS('2024'!$AI$5:$AI$178,'2024'!$AG$5:$AG$178,"&gt;="&amp;DATE(YEAR(TODAY())-1,1,1),'2024'!$AG$5:$AG$178,"&lt;"&amp;DATE(YEAR(TODAY()),1,1)))/D10)</f>
        <v/>
      </c>
    </row>
    <row r="11">
      <c r="B11" s="5" t="inlineStr">
        <is>
          <t>Last 12 months</t>
        </is>
      </c>
      <c r="C11" s="6">
        <f>IF(FALSE,"",COUNTIFS('2024'!$AD$5:$AD$178,"&gt;="&amp;EDATE(DATE(YEAR(TODAY()),MONTH(TODAY()),1),-11),'2024'!$AD$5:$AD$178,"&lt;"&amp;DATE(YEAR(TODAY()),MONTH(TODAY())+1,1)))</f>
        <v/>
      </c>
      <c r="D11" s="6">
        <f>IF(FALSE,"",COUNTIFS('2024'!$AG$5:$AG$178,"&gt;="&amp;EDATE(DATE(YEAR(TODAY()),MONTH(TODAY()),1),-11),'2024'!$AG$5:$AG$178,"&lt;"&amp;DATE(YEAR(TODAY()),MONTH(TODAY())+1,1)))</f>
        <v/>
      </c>
      <c r="E11" s="7">
        <f>IF(FALSE,"",SUMIFS('2024'!$X$5:$X$178,'2024'!$AG$5:$AG$178,"&gt;="&amp;EDATE(DATE(YEAR(TODAY()),MONTH(TODAY()),1),-11),'2024'!$AG$5:$AG$178,"&lt;"&amp;DATE(YEAR(TODAY()),MONTH(TODAY())+1,1)))</f>
        <v/>
      </c>
      <c r="F11" s="7">
        <f>IF(N(D11)=0,"",E11/D11)</f>
        <v/>
      </c>
      <c r="G11" s="7">
        <f>IF(E11="","",E11/2)</f>
        <v/>
      </c>
      <c r="H11" s="7">
        <f>IF(FALSE,"",SUMIFS('2024'!$V$5:$V$178,'2024'!$AG$5:$AG$178,"&gt;="&amp;EDATE(DATE(YEAR(TODAY()),MONTH(TODAY()),1),-11),'2024'!$AG$5:$AG$178,"&lt;"&amp;DATE(YEAR(TODAY()),MONTH(TODAY())+1,1)))</f>
        <v/>
      </c>
      <c r="I11" s="6">
        <f>IF(N(D11)=0,"",(SUMIFS('2024'!$AH$5:$AH$178,'2024'!$AG$5:$AG$178,"&gt;="&amp;EDATE(DATE(YEAR(TODAY()),MONTH(TODAY()),1),-11),'2024'!$AG$5:$AG$178,"&lt;"&amp;DATE(YEAR(TODAY()),MONTH(TODAY())+1,1)))/D11)</f>
        <v/>
      </c>
      <c r="J11" s="6">
        <f>IF(N(D11)=0,"",(SUMIFS('2024'!$AI$5:$AI$178,'2024'!$AG$5:$AG$178,"&gt;="&amp;EDATE(DATE(YEAR(TODAY()),MONTH(TODAY()),1),-11),'2024'!$AG$5:$AG$178,"&lt;"&amp;DATE(YEAR(TODAY()),MONTH(TODAY())+1,1)))/D11)</f>
        <v/>
      </c>
    </row>
    <row r="13">
      <c r="B13" s="3" t="inlineStr">
        <is>
          <t>By year — a new year appears by itself on 1 January</t>
        </is>
      </c>
    </row>
    <row r="14" ht="30" customHeight="1">
      <c r="B14" s="4" t="inlineStr">
        <is>
          <t>Year</t>
        </is>
      </c>
      <c r="C14" s="4" t="inlineStr">
        <is>
          <t>Cars bought</t>
        </is>
      </c>
      <c r="D14" s="4" t="inlineStr">
        <is>
          <t>Cars sold</t>
        </is>
      </c>
      <c r="E14" s="4" t="inlineStr">
        <is>
          <t>Profit</t>
        </is>
      </c>
      <c r="F14" s="4" t="inlineStr">
        <is>
          <t>Avg profit / car</t>
        </is>
      </c>
      <c r="G14" s="4" t="inlineStr">
        <is>
          <t>Half profit (each of you)</t>
        </is>
      </c>
      <c r="H14" s="4" t="inlineStr">
        <is>
          <t>Sales total</t>
        </is>
      </c>
      <c r="I14" s="4" t="inlineStr">
        <is>
          <t>Avg days online</t>
        </is>
      </c>
      <c r="J14" s="4" t="inlineStr">
        <is>
          <t>Avg days bought → sold</t>
        </is>
      </c>
    </row>
    <row r="15">
      <c r="B15" s="8">
        <f>IF(2024&gt;YEAR(TODAY()),"",2024)</f>
        <v/>
      </c>
      <c r="C15" s="6">
        <f>IF(2024&gt;YEAR(TODAY()),"",COUNTIFS('2024'!$AD$5:$AD$178,"&gt;="&amp;DATE(2024,1,1),'2024'!$AD$5:$AD$178,"&lt;"&amp;DATE(2025,1,1)))</f>
        <v/>
      </c>
      <c r="D15" s="6">
        <f>IF(2024&gt;YEAR(TODAY()),"",COUNTIFS('2024'!$AG$5:$AG$178,"&gt;="&amp;DATE(2024,1,1),'2024'!$AG$5:$AG$178,"&lt;"&amp;DATE(2025,1,1)))</f>
        <v/>
      </c>
      <c r="E15" s="7">
        <f>IF(2024&gt;YEAR(TODAY()),"",SUMIFS('2024'!$X$5:$X$178,'2024'!$AG$5:$AG$178,"&gt;="&amp;DATE(2024,1,1),'2024'!$AG$5:$AG$178,"&lt;"&amp;DATE(2025,1,1)))</f>
        <v/>
      </c>
      <c r="F15" s="7">
        <f>IF(N(D15)=0,"",E15/D15)</f>
        <v/>
      </c>
      <c r="G15" s="7">
        <f>IF(E15="","",E15/2)</f>
        <v/>
      </c>
      <c r="H15" s="7">
        <f>IF(2024&gt;YEAR(TODAY()),"",SUMIFS('2024'!$V$5:$V$178,'2024'!$AG$5:$AG$178,"&gt;="&amp;DATE(2024,1,1),'2024'!$AG$5:$AG$178,"&lt;"&amp;DATE(2025,1,1)))</f>
        <v/>
      </c>
      <c r="I15" s="6">
        <f>IF(N(D15)=0,"",(SUMIFS('2024'!$AH$5:$AH$178,'2024'!$AG$5:$AG$178,"&gt;="&amp;DATE(2024,1,1),'2024'!$AG$5:$AG$178,"&lt;"&amp;DATE(2025,1,1)))/D15)</f>
        <v/>
      </c>
      <c r="J15" s="6">
        <f>IF(N(D15)=0,"",(SUMIFS('2024'!$AI$5:$AI$178,'2024'!$AG$5:$AG$178,"&gt;="&amp;DATE(2024,1,1),'2024'!$AG$5:$AG$178,"&lt;"&amp;DATE(2025,1,1)))/D15)</f>
        <v/>
      </c>
    </row>
    <row r="16">
      <c r="B16" s="8">
        <f>IF(2025&gt;YEAR(TODAY()),"",2025)</f>
        <v/>
      </c>
      <c r="C16" s="6">
        <f>IF(2025&gt;YEAR(TODAY()),"",COUNTIFS('2024'!$AD$5:$AD$178,"&gt;="&amp;DATE(2025,1,1),'2024'!$AD$5:$AD$178,"&lt;"&amp;DATE(2026,1,1)))</f>
        <v/>
      </c>
      <c r="D16" s="6">
        <f>IF(2025&gt;YEAR(TODAY()),"",COUNTIFS('2024'!$AG$5:$AG$178,"&gt;="&amp;DATE(2025,1,1),'2024'!$AG$5:$AG$178,"&lt;"&amp;DATE(2026,1,1)))</f>
        <v/>
      </c>
      <c r="E16" s="7">
        <f>IF(2025&gt;YEAR(TODAY()),"",SUMIFS('2024'!$X$5:$X$178,'2024'!$AG$5:$AG$178,"&gt;="&amp;DATE(2025,1,1),'2024'!$AG$5:$AG$178,"&lt;"&amp;DATE(2026,1,1)))</f>
        <v/>
      </c>
      <c r="F16" s="7">
        <f>IF(N(D16)=0,"",E16/D16)</f>
        <v/>
      </c>
      <c r="G16" s="7">
        <f>IF(E16="","",E16/2)</f>
        <v/>
      </c>
      <c r="H16" s="7">
        <f>IF(2025&gt;YEAR(TODAY()),"",SUMIFS('2024'!$V$5:$V$178,'2024'!$AG$5:$AG$178,"&gt;="&amp;DATE(2025,1,1),'2024'!$AG$5:$AG$178,"&lt;"&amp;DATE(2026,1,1)))</f>
        <v/>
      </c>
      <c r="I16" s="6">
        <f>IF(N(D16)=0,"",(SUMIFS('2024'!$AH$5:$AH$178,'2024'!$AG$5:$AG$178,"&gt;="&amp;DATE(2025,1,1),'2024'!$AG$5:$AG$178,"&lt;"&amp;DATE(2026,1,1)))/D16)</f>
        <v/>
      </c>
      <c r="J16" s="6">
        <f>IF(N(D16)=0,"",(SUMIFS('2024'!$AI$5:$AI$178,'2024'!$AG$5:$AG$178,"&gt;="&amp;DATE(2025,1,1),'2024'!$AG$5:$AG$178,"&lt;"&amp;DATE(2026,1,1)))/D16)</f>
        <v/>
      </c>
    </row>
    <row r="17">
      <c r="B17" s="8">
        <f>IF(2026&gt;YEAR(TODAY()),"",2026)</f>
        <v/>
      </c>
      <c r="C17" s="6">
        <f>IF(2026&gt;YEAR(TODAY()),"",COUNTIFS('2024'!$AD$5:$AD$178,"&gt;="&amp;DATE(2026,1,1),'2024'!$AD$5:$AD$178,"&lt;"&amp;DATE(2027,1,1)))</f>
        <v/>
      </c>
      <c r="D17" s="6">
        <f>IF(2026&gt;YEAR(TODAY()),"",COUNTIFS('2024'!$AG$5:$AG$178,"&gt;="&amp;DATE(2026,1,1),'2024'!$AG$5:$AG$178,"&lt;"&amp;DATE(2027,1,1)))</f>
        <v/>
      </c>
      <c r="E17" s="7">
        <f>IF(2026&gt;YEAR(TODAY()),"",SUMIFS('2024'!$X$5:$X$178,'2024'!$AG$5:$AG$178,"&gt;="&amp;DATE(2026,1,1),'2024'!$AG$5:$AG$178,"&lt;"&amp;DATE(2027,1,1)))</f>
        <v/>
      </c>
      <c r="F17" s="7">
        <f>IF(N(D17)=0,"",E17/D17)</f>
        <v/>
      </c>
      <c r="G17" s="7">
        <f>IF(E17="","",E17/2)</f>
        <v/>
      </c>
      <c r="H17" s="7">
        <f>IF(2026&gt;YEAR(TODAY()),"",SUMIFS('2024'!$V$5:$V$178,'2024'!$AG$5:$AG$178,"&gt;="&amp;DATE(2026,1,1),'2024'!$AG$5:$AG$178,"&lt;"&amp;DATE(2027,1,1)))</f>
        <v/>
      </c>
      <c r="I17" s="6">
        <f>IF(N(D17)=0,"",(SUMIFS('2024'!$AH$5:$AH$178,'2024'!$AG$5:$AG$178,"&gt;="&amp;DATE(2026,1,1),'2024'!$AG$5:$AG$178,"&lt;"&amp;DATE(2027,1,1)))/D17)</f>
        <v/>
      </c>
      <c r="J17" s="6">
        <f>IF(N(D17)=0,"",(SUMIFS('2024'!$AI$5:$AI$178,'2024'!$AG$5:$AG$178,"&gt;="&amp;DATE(2026,1,1),'2024'!$AG$5:$AG$178,"&lt;"&amp;DATE(2027,1,1)))/D17)</f>
        <v/>
      </c>
    </row>
    <row r="18">
      <c r="B18" s="8">
        <f>IF(2027&gt;YEAR(TODAY()),"",2027)</f>
        <v/>
      </c>
      <c r="C18" s="6">
        <f>IF(2027&gt;YEAR(TODAY()),"",COUNTIFS('2024'!$AD$5:$AD$178,"&gt;="&amp;DATE(2027,1,1),'2024'!$AD$5:$AD$178,"&lt;"&amp;DATE(2028,1,1)))</f>
        <v/>
      </c>
      <c r="D18" s="6">
        <f>IF(2027&gt;YEAR(TODAY()),"",COUNTIFS('2024'!$AG$5:$AG$178,"&gt;="&amp;DATE(2027,1,1),'2024'!$AG$5:$AG$178,"&lt;"&amp;DATE(2028,1,1)))</f>
        <v/>
      </c>
      <c r="E18" s="7">
        <f>IF(2027&gt;YEAR(TODAY()),"",SUMIFS('2024'!$X$5:$X$178,'2024'!$AG$5:$AG$178,"&gt;="&amp;DATE(2027,1,1),'2024'!$AG$5:$AG$178,"&lt;"&amp;DATE(2028,1,1)))</f>
        <v/>
      </c>
      <c r="F18" s="7">
        <f>IF(N(D18)=0,"",E18/D18)</f>
        <v/>
      </c>
      <c r="G18" s="7">
        <f>IF(E18="","",E18/2)</f>
        <v/>
      </c>
      <c r="H18" s="7">
        <f>IF(2027&gt;YEAR(TODAY()),"",SUMIFS('2024'!$V$5:$V$178,'2024'!$AG$5:$AG$178,"&gt;="&amp;DATE(2027,1,1),'2024'!$AG$5:$AG$178,"&lt;"&amp;DATE(2028,1,1)))</f>
        <v/>
      </c>
      <c r="I18" s="6">
        <f>IF(N(D18)=0,"",(SUMIFS('2024'!$AH$5:$AH$178,'2024'!$AG$5:$AG$178,"&gt;="&amp;DATE(2027,1,1),'2024'!$AG$5:$AG$178,"&lt;"&amp;DATE(2028,1,1)))/D18)</f>
        <v/>
      </c>
      <c r="J18" s="6">
        <f>IF(N(D18)=0,"",(SUMIFS('2024'!$AI$5:$AI$178,'2024'!$AG$5:$AG$178,"&gt;="&amp;DATE(2027,1,1),'2024'!$AG$5:$AG$178,"&lt;"&amp;DATE(2028,1,1)))/D18)</f>
        <v/>
      </c>
    </row>
    <row r="19">
      <c r="B19" s="8">
        <f>IF(2028&gt;YEAR(TODAY()),"",2028)</f>
        <v/>
      </c>
      <c r="C19" s="6">
        <f>IF(2028&gt;YEAR(TODAY()),"",COUNTIFS('2024'!$AD$5:$AD$178,"&gt;="&amp;DATE(2028,1,1),'2024'!$AD$5:$AD$178,"&lt;"&amp;DATE(2029,1,1)))</f>
        <v/>
      </c>
      <c r="D19" s="6">
        <f>IF(2028&gt;YEAR(TODAY()),"",COUNTIFS('2024'!$AG$5:$AG$178,"&gt;="&amp;DATE(2028,1,1),'2024'!$AG$5:$AG$178,"&lt;"&amp;DATE(2029,1,1)))</f>
        <v/>
      </c>
      <c r="E19" s="7">
        <f>IF(2028&gt;YEAR(TODAY()),"",SUMIFS('2024'!$X$5:$X$178,'2024'!$AG$5:$AG$178,"&gt;="&amp;DATE(2028,1,1),'2024'!$AG$5:$AG$178,"&lt;"&amp;DATE(2029,1,1)))</f>
        <v/>
      </c>
      <c r="F19" s="7">
        <f>IF(N(D19)=0,"",E19/D19)</f>
        <v/>
      </c>
      <c r="G19" s="7">
        <f>IF(E19="","",E19/2)</f>
        <v/>
      </c>
      <c r="H19" s="7">
        <f>IF(2028&gt;YEAR(TODAY()),"",SUMIFS('2024'!$V$5:$V$178,'2024'!$AG$5:$AG$178,"&gt;="&amp;DATE(2028,1,1),'2024'!$AG$5:$AG$178,"&lt;"&amp;DATE(2029,1,1)))</f>
        <v/>
      </c>
      <c r="I19" s="6">
        <f>IF(N(D19)=0,"",(SUMIFS('2024'!$AH$5:$AH$178,'2024'!$AG$5:$AG$178,"&gt;="&amp;DATE(2028,1,1),'2024'!$AG$5:$AG$178,"&lt;"&amp;DATE(2029,1,1)))/D19)</f>
        <v/>
      </c>
      <c r="J19" s="6">
        <f>IF(N(D19)=0,"",(SUMIFS('2024'!$AI$5:$AI$178,'2024'!$AG$5:$AG$178,"&gt;="&amp;DATE(2028,1,1),'2024'!$AG$5:$AG$178,"&lt;"&amp;DATE(2029,1,1)))/D19)</f>
        <v/>
      </c>
    </row>
    <row r="20">
      <c r="B20" s="8">
        <f>IF(2029&gt;YEAR(TODAY()),"",2029)</f>
        <v/>
      </c>
      <c r="C20" s="6">
        <f>IF(2029&gt;YEAR(TODAY()),"",COUNTIFS('2024'!$AD$5:$AD$178,"&gt;="&amp;DATE(2029,1,1),'2024'!$AD$5:$AD$178,"&lt;"&amp;DATE(2030,1,1)))</f>
        <v/>
      </c>
      <c r="D20" s="6">
        <f>IF(2029&gt;YEAR(TODAY()),"",COUNTIFS('2024'!$AG$5:$AG$178,"&gt;="&amp;DATE(2029,1,1),'2024'!$AG$5:$AG$178,"&lt;"&amp;DATE(2030,1,1)))</f>
        <v/>
      </c>
      <c r="E20" s="7">
        <f>IF(2029&gt;YEAR(TODAY()),"",SUMIFS('2024'!$X$5:$X$178,'2024'!$AG$5:$AG$178,"&gt;="&amp;DATE(2029,1,1),'2024'!$AG$5:$AG$178,"&lt;"&amp;DATE(2030,1,1)))</f>
        <v/>
      </c>
      <c r="F20" s="7">
        <f>IF(N(D20)=0,"",E20/D20)</f>
        <v/>
      </c>
      <c r="G20" s="7">
        <f>IF(E20="","",E20/2)</f>
        <v/>
      </c>
      <c r="H20" s="7">
        <f>IF(2029&gt;YEAR(TODAY()),"",SUMIFS('2024'!$V$5:$V$178,'2024'!$AG$5:$AG$178,"&gt;="&amp;DATE(2029,1,1),'2024'!$AG$5:$AG$178,"&lt;"&amp;DATE(2030,1,1)))</f>
        <v/>
      </c>
      <c r="I20" s="6">
        <f>IF(N(D20)=0,"",(SUMIFS('2024'!$AH$5:$AH$178,'2024'!$AG$5:$AG$178,"&gt;="&amp;DATE(2029,1,1),'2024'!$AG$5:$AG$178,"&lt;"&amp;DATE(2030,1,1)))/D20)</f>
        <v/>
      </c>
      <c r="J20" s="6">
        <f>IF(N(D20)=0,"",(SUMIFS('2024'!$AI$5:$AI$178,'2024'!$AG$5:$AG$178,"&gt;="&amp;DATE(2029,1,1),'2024'!$AG$5:$AG$178,"&lt;"&amp;DATE(2030,1,1)))/D20)</f>
        <v/>
      </c>
    </row>
    <row r="21">
      <c r="B21" s="8">
        <f>IF(2030&gt;YEAR(TODAY()),"",2030)</f>
        <v/>
      </c>
      <c r="C21" s="6">
        <f>IF(2030&gt;YEAR(TODAY()),"",COUNTIFS('2024'!$AD$5:$AD$178,"&gt;="&amp;DATE(2030,1,1),'2024'!$AD$5:$AD$178,"&lt;"&amp;DATE(2031,1,1)))</f>
        <v/>
      </c>
      <c r="D21" s="6">
        <f>IF(2030&gt;YEAR(TODAY()),"",COUNTIFS('2024'!$AG$5:$AG$178,"&gt;="&amp;DATE(2030,1,1),'2024'!$AG$5:$AG$178,"&lt;"&amp;DATE(2031,1,1)))</f>
        <v/>
      </c>
      <c r="E21" s="7">
        <f>IF(2030&gt;YEAR(TODAY()),"",SUMIFS('2024'!$X$5:$X$178,'2024'!$AG$5:$AG$178,"&gt;="&amp;DATE(2030,1,1),'2024'!$AG$5:$AG$178,"&lt;"&amp;DATE(2031,1,1)))</f>
        <v/>
      </c>
      <c r="F21" s="7">
        <f>IF(N(D21)=0,"",E21/D21)</f>
        <v/>
      </c>
      <c r="G21" s="7">
        <f>IF(E21="","",E21/2)</f>
        <v/>
      </c>
      <c r="H21" s="7">
        <f>IF(2030&gt;YEAR(TODAY()),"",SUMIFS('2024'!$V$5:$V$178,'2024'!$AG$5:$AG$178,"&gt;="&amp;DATE(2030,1,1),'2024'!$AG$5:$AG$178,"&lt;"&amp;DATE(2031,1,1)))</f>
        <v/>
      </c>
      <c r="I21" s="6">
        <f>IF(N(D21)=0,"",(SUMIFS('2024'!$AH$5:$AH$178,'2024'!$AG$5:$AG$178,"&gt;="&amp;DATE(2030,1,1),'2024'!$AG$5:$AG$178,"&lt;"&amp;DATE(2031,1,1)))/D21)</f>
        <v/>
      </c>
      <c r="J21" s="6">
        <f>IF(N(D21)=0,"",(SUMIFS('2024'!$AI$5:$AI$178,'2024'!$AG$5:$AG$178,"&gt;="&amp;DATE(2030,1,1),'2024'!$AG$5:$AG$178,"&lt;"&amp;DATE(2031,1,1)))/D21)</f>
        <v/>
      </c>
    </row>
    <row r="22">
      <c r="B22" s="8">
        <f>IF(2031&gt;YEAR(TODAY()),"",2031)</f>
        <v/>
      </c>
      <c r="C22" s="6">
        <f>IF(2031&gt;YEAR(TODAY()),"",COUNTIFS('2024'!$AD$5:$AD$178,"&gt;="&amp;DATE(2031,1,1),'2024'!$AD$5:$AD$178,"&lt;"&amp;DATE(2032,1,1)))</f>
        <v/>
      </c>
      <c r="D22" s="6">
        <f>IF(2031&gt;YEAR(TODAY()),"",COUNTIFS('2024'!$AG$5:$AG$178,"&gt;="&amp;DATE(2031,1,1),'2024'!$AG$5:$AG$178,"&lt;"&amp;DATE(2032,1,1)))</f>
        <v/>
      </c>
      <c r="E22" s="7">
        <f>IF(2031&gt;YEAR(TODAY()),"",SUMIFS('2024'!$X$5:$X$178,'2024'!$AG$5:$AG$178,"&gt;="&amp;DATE(2031,1,1),'2024'!$AG$5:$AG$178,"&lt;"&amp;DATE(2032,1,1)))</f>
        <v/>
      </c>
      <c r="F22" s="7">
        <f>IF(N(D22)=0,"",E22/D22)</f>
        <v/>
      </c>
      <c r="G22" s="7">
        <f>IF(E22="","",E22/2)</f>
        <v/>
      </c>
      <c r="H22" s="7">
        <f>IF(2031&gt;YEAR(TODAY()),"",SUMIFS('2024'!$V$5:$V$178,'2024'!$AG$5:$AG$178,"&gt;="&amp;DATE(2031,1,1),'2024'!$AG$5:$AG$178,"&lt;"&amp;DATE(2032,1,1)))</f>
        <v/>
      </c>
      <c r="I22" s="6">
        <f>IF(N(D22)=0,"",(SUMIFS('2024'!$AH$5:$AH$178,'2024'!$AG$5:$AG$178,"&gt;="&amp;DATE(2031,1,1),'2024'!$AG$5:$AG$178,"&lt;"&amp;DATE(2032,1,1)))/D22)</f>
        <v/>
      </c>
      <c r="J22" s="6">
        <f>IF(N(D22)=0,"",(SUMIFS('2024'!$AI$5:$AI$178,'2024'!$AG$5:$AG$178,"&gt;="&amp;DATE(2031,1,1),'2024'!$AG$5:$AG$178,"&lt;"&amp;DATE(2032,1,1)))/D22)</f>
        <v/>
      </c>
    </row>
    <row r="23">
      <c r="B23" s="8">
        <f>IF(2032&gt;YEAR(TODAY()),"",2032)</f>
        <v/>
      </c>
      <c r="C23" s="6">
        <f>IF(2032&gt;YEAR(TODAY()),"",COUNTIFS('2024'!$AD$5:$AD$178,"&gt;="&amp;DATE(2032,1,1),'2024'!$AD$5:$AD$178,"&lt;"&amp;DATE(2033,1,1)))</f>
        <v/>
      </c>
      <c r="D23" s="6">
        <f>IF(2032&gt;YEAR(TODAY()),"",COUNTIFS('2024'!$AG$5:$AG$178,"&gt;="&amp;DATE(2032,1,1),'2024'!$AG$5:$AG$178,"&lt;"&amp;DATE(2033,1,1)))</f>
        <v/>
      </c>
      <c r="E23" s="7">
        <f>IF(2032&gt;YEAR(TODAY()),"",SUMIFS('2024'!$X$5:$X$178,'2024'!$AG$5:$AG$178,"&gt;="&amp;DATE(2032,1,1),'2024'!$AG$5:$AG$178,"&lt;"&amp;DATE(2033,1,1)))</f>
        <v/>
      </c>
      <c r="F23" s="7">
        <f>IF(N(D23)=0,"",E23/D23)</f>
        <v/>
      </c>
      <c r="G23" s="7">
        <f>IF(E23="","",E23/2)</f>
        <v/>
      </c>
      <c r="H23" s="7">
        <f>IF(2032&gt;YEAR(TODAY()),"",SUMIFS('2024'!$V$5:$V$178,'2024'!$AG$5:$AG$178,"&gt;="&amp;DATE(2032,1,1),'2024'!$AG$5:$AG$178,"&lt;"&amp;DATE(2033,1,1)))</f>
        <v/>
      </c>
      <c r="I23" s="6">
        <f>IF(N(D23)=0,"",(SUMIFS('2024'!$AH$5:$AH$178,'2024'!$AG$5:$AG$178,"&gt;="&amp;DATE(2032,1,1),'2024'!$AG$5:$AG$178,"&lt;"&amp;DATE(2033,1,1)))/D23)</f>
        <v/>
      </c>
      <c r="J23" s="6">
        <f>IF(N(D23)=0,"",(SUMIFS('2024'!$AI$5:$AI$178,'2024'!$AG$5:$AG$178,"&gt;="&amp;DATE(2032,1,1),'2024'!$AG$5:$AG$178,"&lt;"&amp;DATE(2033,1,1)))/D23)</f>
        <v/>
      </c>
    </row>
    <row r="24">
      <c r="B24" s="8">
        <f>IF(2033&gt;YEAR(TODAY()),"",2033)</f>
        <v/>
      </c>
      <c r="C24" s="6">
        <f>IF(2033&gt;YEAR(TODAY()),"",COUNTIFS('2024'!$AD$5:$AD$178,"&gt;="&amp;DATE(2033,1,1),'2024'!$AD$5:$AD$178,"&lt;"&amp;DATE(2034,1,1)))</f>
        <v/>
      </c>
      <c r="D24" s="6">
        <f>IF(2033&gt;YEAR(TODAY()),"",COUNTIFS('2024'!$AG$5:$AG$178,"&gt;="&amp;DATE(2033,1,1),'2024'!$AG$5:$AG$178,"&lt;"&amp;DATE(2034,1,1)))</f>
        <v/>
      </c>
      <c r="E24" s="7">
        <f>IF(2033&gt;YEAR(TODAY()),"",SUMIFS('2024'!$X$5:$X$178,'2024'!$AG$5:$AG$178,"&gt;="&amp;DATE(2033,1,1),'2024'!$AG$5:$AG$178,"&lt;"&amp;DATE(2034,1,1)))</f>
        <v/>
      </c>
      <c r="F24" s="7">
        <f>IF(N(D24)=0,"",E24/D24)</f>
        <v/>
      </c>
      <c r="G24" s="7">
        <f>IF(E24="","",E24/2)</f>
        <v/>
      </c>
      <c r="H24" s="7">
        <f>IF(2033&gt;YEAR(TODAY()),"",SUMIFS('2024'!$V$5:$V$178,'2024'!$AG$5:$AG$178,"&gt;="&amp;DATE(2033,1,1),'2024'!$AG$5:$AG$178,"&lt;"&amp;DATE(2034,1,1)))</f>
        <v/>
      </c>
      <c r="I24" s="6">
        <f>IF(N(D24)=0,"",(SUMIFS('2024'!$AH$5:$AH$178,'2024'!$AG$5:$AG$178,"&gt;="&amp;DATE(2033,1,1),'2024'!$AG$5:$AG$178,"&lt;"&amp;DATE(2034,1,1)))/D24)</f>
        <v/>
      </c>
      <c r="J24" s="6">
        <f>IF(N(D24)=0,"",(SUMIFS('2024'!$AI$5:$AI$178,'2024'!$AG$5:$AG$178,"&gt;="&amp;DATE(2033,1,1),'2024'!$AG$5:$AG$178,"&lt;"&amp;DATE(2034,1,1)))/D24)</f>
        <v/>
      </c>
    </row>
    <row r="25">
      <c r="B25" s="8">
        <f>IF(2034&gt;YEAR(TODAY()),"",2034)</f>
        <v/>
      </c>
      <c r="C25" s="6">
        <f>IF(2034&gt;YEAR(TODAY()),"",COUNTIFS('2024'!$AD$5:$AD$178,"&gt;="&amp;DATE(2034,1,1),'2024'!$AD$5:$AD$178,"&lt;"&amp;DATE(2035,1,1)))</f>
        <v/>
      </c>
      <c r="D25" s="6">
        <f>IF(2034&gt;YEAR(TODAY()),"",COUNTIFS('2024'!$AG$5:$AG$178,"&gt;="&amp;DATE(2034,1,1),'2024'!$AG$5:$AG$178,"&lt;"&amp;DATE(2035,1,1)))</f>
        <v/>
      </c>
      <c r="E25" s="7">
        <f>IF(2034&gt;YEAR(TODAY()),"",SUMIFS('2024'!$X$5:$X$178,'2024'!$AG$5:$AG$178,"&gt;="&amp;DATE(2034,1,1),'2024'!$AG$5:$AG$178,"&lt;"&amp;DATE(2035,1,1)))</f>
        <v/>
      </c>
      <c r="F25" s="7">
        <f>IF(N(D25)=0,"",E25/D25)</f>
        <v/>
      </c>
      <c r="G25" s="7">
        <f>IF(E25="","",E25/2)</f>
        <v/>
      </c>
      <c r="H25" s="7">
        <f>IF(2034&gt;YEAR(TODAY()),"",SUMIFS('2024'!$V$5:$V$178,'2024'!$AG$5:$AG$178,"&gt;="&amp;DATE(2034,1,1),'2024'!$AG$5:$AG$178,"&lt;"&amp;DATE(2035,1,1)))</f>
        <v/>
      </c>
      <c r="I25" s="6">
        <f>IF(N(D25)=0,"",(SUMIFS('2024'!$AH$5:$AH$178,'2024'!$AG$5:$AG$178,"&gt;="&amp;DATE(2034,1,1),'2024'!$AG$5:$AG$178,"&lt;"&amp;DATE(2035,1,1)))/D25)</f>
        <v/>
      </c>
      <c r="J25" s="6">
        <f>IF(N(D25)=0,"",(SUMIFS('2024'!$AI$5:$AI$178,'2024'!$AG$5:$AG$178,"&gt;="&amp;DATE(2034,1,1),'2024'!$AG$5:$AG$178,"&lt;"&amp;DATE(2035,1,1)))/D25)</f>
        <v/>
      </c>
    </row>
    <row r="26">
      <c r="B26" s="8">
        <f>IF(2035&gt;YEAR(TODAY()),"",2035)</f>
        <v/>
      </c>
      <c r="C26" s="6">
        <f>IF(2035&gt;YEAR(TODAY()),"",COUNTIFS('2024'!$AD$5:$AD$178,"&gt;="&amp;DATE(2035,1,1),'2024'!$AD$5:$AD$178,"&lt;"&amp;DATE(2036,1,1)))</f>
        <v/>
      </c>
      <c r="D26" s="6">
        <f>IF(2035&gt;YEAR(TODAY()),"",COUNTIFS('2024'!$AG$5:$AG$178,"&gt;="&amp;DATE(2035,1,1),'2024'!$AG$5:$AG$178,"&lt;"&amp;DATE(2036,1,1)))</f>
        <v/>
      </c>
      <c r="E26" s="7">
        <f>IF(2035&gt;YEAR(TODAY()),"",SUMIFS('2024'!$X$5:$X$178,'2024'!$AG$5:$AG$178,"&gt;="&amp;DATE(2035,1,1),'2024'!$AG$5:$AG$178,"&lt;"&amp;DATE(2036,1,1)))</f>
        <v/>
      </c>
      <c r="F26" s="7">
        <f>IF(N(D26)=0,"",E26/D26)</f>
        <v/>
      </c>
      <c r="G26" s="7">
        <f>IF(E26="","",E26/2)</f>
        <v/>
      </c>
      <c r="H26" s="7">
        <f>IF(2035&gt;YEAR(TODAY()),"",SUMIFS('2024'!$V$5:$V$178,'2024'!$AG$5:$AG$178,"&gt;="&amp;DATE(2035,1,1),'2024'!$AG$5:$AG$178,"&lt;"&amp;DATE(2036,1,1)))</f>
        <v/>
      </c>
      <c r="I26" s="6">
        <f>IF(N(D26)=0,"",(SUMIFS('2024'!$AH$5:$AH$178,'2024'!$AG$5:$AG$178,"&gt;="&amp;DATE(2035,1,1),'2024'!$AG$5:$AG$178,"&lt;"&amp;DATE(2036,1,1)))/D26)</f>
        <v/>
      </c>
      <c r="J26" s="6">
        <f>IF(N(D26)=0,"",(SUMIFS('2024'!$AI$5:$AI$178,'2024'!$AG$5:$AG$178,"&gt;="&amp;DATE(2035,1,1),'2024'!$AG$5:$AG$178,"&lt;"&amp;DATE(2036,1,1)))/D26)</f>
        <v/>
      </c>
    </row>
    <row r="27">
      <c r="B27" s="9" t="inlineStr">
        <is>
          <t>All years</t>
        </is>
      </c>
      <c r="C27" s="10">
        <f>SUM(C15:C26)</f>
        <v/>
      </c>
      <c r="D27" s="10">
        <f>SUM(D15:D26)</f>
        <v/>
      </c>
      <c r="E27" s="11">
        <f>SUM(E15:E26)</f>
        <v/>
      </c>
      <c r="F27" s="11">
        <f>IF(D27=0,"",E27/D27)</f>
        <v/>
      </c>
      <c r="G27" s="11">
        <f>E27/2</f>
        <v/>
      </c>
      <c r="H27" s="11">
        <f>SUM(H15:H26)</f>
        <v/>
      </c>
      <c r="I27" s="10" t="inlineStr"/>
      <c r="J27" s="10" t="inlineStr"/>
    </row>
    <row r="29">
      <c r="B29" s="3" t="inlineStr">
        <is>
          <t>By month — the current month is highlighted</t>
        </is>
      </c>
    </row>
    <row r="30" ht="30" customHeight="1">
      <c r="B30" s="4" t="inlineStr">
        <is>
          <t>Month</t>
        </is>
      </c>
      <c r="C30" s="4" t="inlineStr">
        <is>
          <t>Cars bought</t>
        </is>
      </c>
      <c r="D30" s="4" t="inlineStr">
        <is>
          <t>Cars sold</t>
        </is>
      </c>
      <c r="E30" s="4" t="inlineStr">
        <is>
          <t>Profit</t>
        </is>
      </c>
      <c r="F30" s="4" t="inlineStr">
        <is>
          <t>Avg profit / car</t>
        </is>
      </c>
      <c r="G30" s="4" t="inlineStr">
        <is>
          <t>Half profit (each of you)</t>
        </is>
      </c>
      <c r="H30" s="4" t="inlineStr">
        <is>
          <t>Sales total</t>
        </is>
      </c>
      <c r="I30" s="4" t="inlineStr">
        <is>
          <t>Avg days online</t>
        </is>
      </c>
      <c r="J30" s="4" t="inlineStr">
        <is>
          <t>Avg days bought → sold</t>
        </is>
      </c>
    </row>
    <row r="31">
      <c r="B31" s="12">
        <f>IF(DATE(2024,1,1)&gt;TODAY(),"",DATE(2024,1,1))</f>
        <v/>
      </c>
      <c r="C31" s="6">
        <f>IF(DATE(2024,1,1)&gt;TODAY(),"",COUNTIFS('2024'!$AD$5:$AD$178,"&gt;="&amp;DATE(2024,1,1),'2024'!$AD$5:$AD$178,"&lt;"&amp;EDATE(DATE(2024,1,1),1)))</f>
        <v/>
      </c>
      <c r="D31" s="6">
        <f>IF(DATE(2024,1,1)&gt;TODAY(),"",COUNTIFS('2024'!$AG$5:$AG$178,"&gt;="&amp;DATE(2024,1,1),'2024'!$AG$5:$AG$178,"&lt;"&amp;EDATE(DATE(2024,1,1),1)))</f>
        <v/>
      </c>
      <c r="E31" s="7">
        <f>IF(DATE(2024,1,1)&gt;TODAY(),"",SUMIFS('2024'!$X$5:$X$178,'2024'!$AG$5:$AG$178,"&gt;="&amp;DATE(2024,1,1),'2024'!$AG$5:$AG$178,"&lt;"&amp;EDATE(DATE(2024,1,1),1)))</f>
        <v/>
      </c>
      <c r="F31" s="7">
        <f>IF(N(D31)=0,"",E31/D31)</f>
        <v/>
      </c>
      <c r="G31" s="7">
        <f>IF(E31="","",E31/2)</f>
        <v/>
      </c>
      <c r="H31" s="7">
        <f>IF(DATE(2024,1,1)&gt;TODAY(),"",SUMIFS('2024'!$V$5:$V$178,'2024'!$AG$5:$AG$178,"&gt;="&amp;DATE(2024,1,1),'2024'!$AG$5:$AG$178,"&lt;"&amp;EDATE(DATE(2024,1,1),1)))</f>
        <v/>
      </c>
      <c r="I31" s="6">
        <f>IF(N(D31)=0,"",(SUMIFS('2024'!$AH$5:$AH$178,'2024'!$AG$5:$AG$178,"&gt;="&amp;DATE(2024,1,1),'2024'!$AG$5:$AG$178,"&lt;"&amp;EDATE(DATE(2024,1,1),1)))/D31)</f>
        <v/>
      </c>
      <c r="J31" s="6">
        <f>IF(N(D31)=0,"",(SUMIFS('2024'!$AI$5:$AI$178,'2024'!$AG$5:$AG$178,"&gt;="&amp;DATE(2024,1,1),'2024'!$AG$5:$AG$178,"&lt;"&amp;EDATE(DATE(2024,1,1),1)))/D31)</f>
        <v/>
      </c>
    </row>
    <row r="32">
      <c r="B32" s="12">
        <f>IF(DATE(2024,2,1)&gt;TODAY(),"",DATE(2024,2,1))</f>
        <v/>
      </c>
      <c r="C32" s="6">
        <f>IF(DATE(2024,2,1)&gt;TODAY(),"",COUNTIFS('2024'!$AD$5:$AD$178,"&gt;="&amp;DATE(2024,2,1),'2024'!$AD$5:$AD$178,"&lt;"&amp;EDATE(DATE(2024,2,1),1)))</f>
        <v/>
      </c>
      <c r="D32" s="6">
        <f>IF(DATE(2024,2,1)&gt;TODAY(),"",COUNTIFS('2024'!$AG$5:$AG$178,"&gt;="&amp;DATE(2024,2,1),'2024'!$AG$5:$AG$178,"&lt;"&amp;EDATE(DATE(2024,2,1),1)))</f>
        <v/>
      </c>
      <c r="E32" s="7">
        <f>IF(DATE(2024,2,1)&gt;TODAY(),"",SUMIFS('2024'!$X$5:$X$178,'2024'!$AG$5:$AG$178,"&gt;="&amp;DATE(2024,2,1),'2024'!$AG$5:$AG$178,"&lt;"&amp;EDATE(DATE(2024,2,1),1)))</f>
        <v/>
      </c>
      <c r="F32" s="7">
        <f>IF(N(D32)=0,"",E32/D32)</f>
        <v/>
      </c>
      <c r="G32" s="7">
        <f>IF(E32="","",E32/2)</f>
        <v/>
      </c>
      <c r="H32" s="7">
        <f>IF(DATE(2024,2,1)&gt;TODAY(),"",SUMIFS('2024'!$V$5:$V$178,'2024'!$AG$5:$AG$178,"&gt;="&amp;DATE(2024,2,1),'2024'!$AG$5:$AG$178,"&lt;"&amp;EDATE(DATE(2024,2,1),1)))</f>
        <v/>
      </c>
      <c r="I32" s="6">
        <f>IF(N(D32)=0,"",(SUMIFS('2024'!$AH$5:$AH$178,'2024'!$AG$5:$AG$178,"&gt;="&amp;DATE(2024,2,1),'2024'!$AG$5:$AG$178,"&lt;"&amp;EDATE(DATE(2024,2,1),1)))/D32)</f>
        <v/>
      </c>
      <c r="J32" s="6">
        <f>IF(N(D32)=0,"",(SUMIFS('2024'!$AI$5:$AI$178,'2024'!$AG$5:$AG$178,"&gt;="&amp;DATE(2024,2,1),'2024'!$AG$5:$AG$178,"&lt;"&amp;EDATE(DATE(2024,2,1),1)))/D32)</f>
        <v/>
      </c>
    </row>
    <row r="33">
      <c r="B33" s="12">
        <f>IF(DATE(2024,3,1)&gt;TODAY(),"",DATE(2024,3,1))</f>
        <v/>
      </c>
      <c r="C33" s="6">
        <f>IF(DATE(2024,3,1)&gt;TODAY(),"",COUNTIFS('2024'!$AD$5:$AD$178,"&gt;="&amp;DATE(2024,3,1),'2024'!$AD$5:$AD$178,"&lt;"&amp;EDATE(DATE(2024,3,1),1)))</f>
        <v/>
      </c>
      <c r="D33" s="6">
        <f>IF(DATE(2024,3,1)&gt;TODAY(),"",COUNTIFS('2024'!$AG$5:$AG$178,"&gt;="&amp;DATE(2024,3,1),'2024'!$AG$5:$AG$178,"&lt;"&amp;EDATE(DATE(2024,3,1),1)))</f>
        <v/>
      </c>
      <c r="E33" s="7">
        <f>IF(DATE(2024,3,1)&gt;TODAY(),"",SUMIFS('2024'!$X$5:$X$178,'2024'!$AG$5:$AG$178,"&gt;="&amp;DATE(2024,3,1),'2024'!$AG$5:$AG$178,"&lt;"&amp;EDATE(DATE(2024,3,1),1)))</f>
        <v/>
      </c>
      <c r="F33" s="7">
        <f>IF(N(D33)=0,"",E33/D33)</f>
        <v/>
      </c>
      <c r="G33" s="7">
        <f>IF(E33="","",E33/2)</f>
        <v/>
      </c>
      <c r="H33" s="7">
        <f>IF(DATE(2024,3,1)&gt;TODAY(),"",SUMIFS('2024'!$V$5:$V$178,'2024'!$AG$5:$AG$178,"&gt;="&amp;DATE(2024,3,1),'2024'!$AG$5:$AG$178,"&lt;"&amp;EDATE(DATE(2024,3,1),1)))</f>
        <v/>
      </c>
      <c r="I33" s="6">
        <f>IF(N(D33)=0,"",(SUMIFS('2024'!$AH$5:$AH$178,'2024'!$AG$5:$AG$178,"&gt;="&amp;DATE(2024,3,1),'2024'!$AG$5:$AG$178,"&lt;"&amp;EDATE(DATE(2024,3,1),1)))/D33)</f>
        <v/>
      </c>
      <c r="J33" s="6">
        <f>IF(N(D33)=0,"",(SUMIFS('2024'!$AI$5:$AI$178,'2024'!$AG$5:$AG$178,"&gt;="&amp;DATE(2024,3,1),'2024'!$AG$5:$AG$178,"&lt;"&amp;EDATE(DATE(2024,3,1),1)))/D33)</f>
        <v/>
      </c>
    </row>
    <row r="34">
      <c r="B34" s="12">
        <f>IF(DATE(2024,4,1)&gt;TODAY(),"",DATE(2024,4,1))</f>
        <v/>
      </c>
      <c r="C34" s="6">
        <f>IF(DATE(2024,4,1)&gt;TODAY(),"",COUNTIFS('2024'!$AD$5:$AD$178,"&gt;="&amp;DATE(2024,4,1),'2024'!$AD$5:$AD$178,"&lt;"&amp;EDATE(DATE(2024,4,1),1)))</f>
        <v/>
      </c>
      <c r="D34" s="6">
        <f>IF(DATE(2024,4,1)&gt;TODAY(),"",COUNTIFS('2024'!$AG$5:$AG$178,"&gt;="&amp;DATE(2024,4,1),'2024'!$AG$5:$AG$178,"&lt;"&amp;EDATE(DATE(2024,4,1),1)))</f>
        <v/>
      </c>
      <c r="E34" s="7">
        <f>IF(DATE(2024,4,1)&gt;TODAY(),"",SUMIFS('2024'!$X$5:$X$178,'2024'!$AG$5:$AG$178,"&gt;="&amp;DATE(2024,4,1),'2024'!$AG$5:$AG$178,"&lt;"&amp;EDATE(DATE(2024,4,1),1)))</f>
        <v/>
      </c>
      <c r="F34" s="7">
        <f>IF(N(D34)=0,"",E34/D34)</f>
        <v/>
      </c>
      <c r="G34" s="7">
        <f>IF(E34="","",E34/2)</f>
        <v/>
      </c>
      <c r="H34" s="7">
        <f>IF(DATE(2024,4,1)&gt;TODAY(),"",SUMIFS('2024'!$V$5:$V$178,'2024'!$AG$5:$AG$178,"&gt;="&amp;DATE(2024,4,1),'2024'!$AG$5:$AG$178,"&lt;"&amp;EDATE(DATE(2024,4,1),1)))</f>
        <v/>
      </c>
      <c r="I34" s="6">
        <f>IF(N(D34)=0,"",(SUMIFS('2024'!$AH$5:$AH$178,'2024'!$AG$5:$AG$178,"&gt;="&amp;DATE(2024,4,1),'2024'!$AG$5:$AG$178,"&lt;"&amp;EDATE(DATE(2024,4,1),1)))/D34)</f>
        <v/>
      </c>
      <c r="J34" s="6">
        <f>IF(N(D34)=0,"",(SUMIFS('2024'!$AI$5:$AI$178,'2024'!$AG$5:$AG$178,"&gt;="&amp;DATE(2024,4,1),'2024'!$AG$5:$AG$178,"&lt;"&amp;EDATE(DATE(2024,4,1),1)))/D34)</f>
        <v/>
      </c>
    </row>
    <row r="35">
      <c r="B35" s="12">
        <f>IF(DATE(2024,5,1)&gt;TODAY(),"",DATE(2024,5,1))</f>
        <v/>
      </c>
      <c r="C35" s="6">
        <f>IF(DATE(2024,5,1)&gt;TODAY(),"",COUNTIFS('2024'!$AD$5:$AD$178,"&gt;="&amp;DATE(2024,5,1),'2024'!$AD$5:$AD$178,"&lt;"&amp;EDATE(DATE(2024,5,1),1)))</f>
        <v/>
      </c>
      <c r="D35" s="6">
        <f>IF(DATE(2024,5,1)&gt;TODAY(),"",COUNTIFS('2024'!$AG$5:$AG$178,"&gt;="&amp;DATE(2024,5,1),'2024'!$AG$5:$AG$178,"&lt;"&amp;EDATE(DATE(2024,5,1),1)))</f>
        <v/>
      </c>
      <c r="E35" s="7">
        <f>IF(DATE(2024,5,1)&gt;TODAY(),"",SUMIFS('2024'!$X$5:$X$178,'2024'!$AG$5:$AG$178,"&gt;="&amp;DATE(2024,5,1),'2024'!$AG$5:$AG$178,"&lt;"&amp;EDATE(DATE(2024,5,1),1)))</f>
        <v/>
      </c>
      <c r="F35" s="7">
        <f>IF(N(D35)=0,"",E35/D35)</f>
        <v/>
      </c>
      <c r="G35" s="7">
        <f>IF(E35="","",E35/2)</f>
        <v/>
      </c>
      <c r="H35" s="7">
        <f>IF(DATE(2024,5,1)&gt;TODAY(),"",SUMIFS('2024'!$V$5:$V$178,'2024'!$AG$5:$AG$178,"&gt;="&amp;DATE(2024,5,1),'2024'!$AG$5:$AG$178,"&lt;"&amp;EDATE(DATE(2024,5,1),1)))</f>
        <v/>
      </c>
      <c r="I35" s="6">
        <f>IF(N(D35)=0,"",(SUMIFS('2024'!$AH$5:$AH$178,'2024'!$AG$5:$AG$178,"&gt;="&amp;DATE(2024,5,1),'2024'!$AG$5:$AG$178,"&lt;"&amp;EDATE(DATE(2024,5,1),1)))/D35)</f>
        <v/>
      </c>
      <c r="J35" s="6">
        <f>IF(N(D35)=0,"",(SUMIFS('2024'!$AI$5:$AI$178,'2024'!$AG$5:$AG$178,"&gt;="&amp;DATE(2024,5,1),'2024'!$AG$5:$AG$178,"&lt;"&amp;EDATE(DATE(2024,5,1),1)))/D35)</f>
        <v/>
      </c>
    </row>
    <row r="36">
      <c r="B36" s="12">
        <f>IF(DATE(2024,6,1)&gt;TODAY(),"",DATE(2024,6,1))</f>
        <v/>
      </c>
      <c r="C36" s="6">
        <f>IF(DATE(2024,6,1)&gt;TODAY(),"",COUNTIFS('2024'!$AD$5:$AD$178,"&gt;="&amp;DATE(2024,6,1),'2024'!$AD$5:$AD$178,"&lt;"&amp;EDATE(DATE(2024,6,1),1)))</f>
        <v/>
      </c>
      <c r="D36" s="6">
        <f>IF(DATE(2024,6,1)&gt;TODAY(),"",COUNTIFS('2024'!$AG$5:$AG$178,"&gt;="&amp;DATE(2024,6,1),'2024'!$AG$5:$AG$178,"&lt;"&amp;EDATE(DATE(2024,6,1),1)))</f>
        <v/>
      </c>
      <c r="E36" s="7">
        <f>IF(DATE(2024,6,1)&gt;TODAY(),"",SUMIFS('2024'!$X$5:$X$178,'2024'!$AG$5:$AG$178,"&gt;="&amp;DATE(2024,6,1),'2024'!$AG$5:$AG$178,"&lt;"&amp;EDATE(DATE(2024,6,1),1)))</f>
        <v/>
      </c>
      <c r="F36" s="7">
        <f>IF(N(D36)=0,"",E36/D36)</f>
        <v/>
      </c>
      <c r="G36" s="7">
        <f>IF(E36="","",E36/2)</f>
        <v/>
      </c>
      <c r="H36" s="7">
        <f>IF(DATE(2024,6,1)&gt;TODAY(),"",SUMIFS('2024'!$V$5:$V$178,'2024'!$AG$5:$AG$178,"&gt;="&amp;DATE(2024,6,1),'2024'!$AG$5:$AG$178,"&lt;"&amp;EDATE(DATE(2024,6,1),1)))</f>
        <v/>
      </c>
      <c r="I36" s="6">
        <f>IF(N(D36)=0,"",(SUMIFS('2024'!$AH$5:$AH$178,'2024'!$AG$5:$AG$178,"&gt;="&amp;DATE(2024,6,1),'2024'!$AG$5:$AG$178,"&lt;"&amp;EDATE(DATE(2024,6,1),1)))/D36)</f>
        <v/>
      </c>
      <c r="J36" s="6">
        <f>IF(N(D36)=0,"",(SUMIFS('2024'!$AI$5:$AI$178,'2024'!$AG$5:$AG$178,"&gt;="&amp;DATE(2024,6,1),'2024'!$AG$5:$AG$178,"&lt;"&amp;EDATE(DATE(2024,6,1),1)))/D36)</f>
        <v/>
      </c>
    </row>
    <row r="37">
      <c r="B37" s="12">
        <f>IF(DATE(2024,7,1)&gt;TODAY(),"",DATE(2024,7,1))</f>
        <v/>
      </c>
      <c r="C37" s="6">
        <f>IF(DATE(2024,7,1)&gt;TODAY(),"",COUNTIFS('2024'!$AD$5:$AD$178,"&gt;="&amp;DATE(2024,7,1),'2024'!$AD$5:$AD$178,"&lt;"&amp;EDATE(DATE(2024,7,1),1)))</f>
        <v/>
      </c>
      <c r="D37" s="6">
        <f>IF(DATE(2024,7,1)&gt;TODAY(),"",COUNTIFS('2024'!$AG$5:$AG$178,"&gt;="&amp;DATE(2024,7,1),'2024'!$AG$5:$AG$178,"&lt;"&amp;EDATE(DATE(2024,7,1),1)))</f>
        <v/>
      </c>
      <c r="E37" s="7">
        <f>IF(DATE(2024,7,1)&gt;TODAY(),"",SUMIFS('2024'!$X$5:$X$178,'2024'!$AG$5:$AG$178,"&gt;="&amp;DATE(2024,7,1),'2024'!$AG$5:$AG$178,"&lt;"&amp;EDATE(DATE(2024,7,1),1)))</f>
        <v/>
      </c>
      <c r="F37" s="7">
        <f>IF(N(D37)=0,"",E37/D37)</f>
        <v/>
      </c>
      <c r="G37" s="7">
        <f>IF(E37="","",E37/2)</f>
        <v/>
      </c>
      <c r="H37" s="7">
        <f>IF(DATE(2024,7,1)&gt;TODAY(),"",SUMIFS('2024'!$V$5:$V$178,'2024'!$AG$5:$AG$178,"&gt;="&amp;DATE(2024,7,1),'2024'!$AG$5:$AG$178,"&lt;"&amp;EDATE(DATE(2024,7,1),1)))</f>
        <v/>
      </c>
      <c r="I37" s="6">
        <f>IF(N(D37)=0,"",(SUMIFS('2024'!$AH$5:$AH$178,'2024'!$AG$5:$AG$178,"&gt;="&amp;DATE(2024,7,1),'2024'!$AG$5:$AG$178,"&lt;"&amp;EDATE(DATE(2024,7,1),1)))/D37)</f>
        <v/>
      </c>
      <c r="J37" s="6">
        <f>IF(N(D37)=0,"",(SUMIFS('2024'!$AI$5:$AI$178,'2024'!$AG$5:$AG$178,"&gt;="&amp;DATE(2024,7,1),'2024'!$AG$5:$AG$178,"&lt;"&amp;EDATE(DATE(2024,7,1),1)))/D37)</f>
        <v/>
      </c>
    </row>
    <row r="38">
      <c r="B38" s="12">
        <f>IF(DATE(2024,8,1)&gt;TODAY(),"",DATE(2024,8,1))</f>
        <v/>
      </c>
      <c r="C38" s="6">
        <f>IF(DATE(2024,8,1)&gt;TODAY(),"",COUNTIFS('2024'!$AD$5:$AD$178,"&gt;="&amp;DATE(2024,8,1),'2024'!$AD$5:$AD$178,"&lt;"&amp;EDATE(DATE(2024,8,1),1)))</f>
        <v/>
      </c>
      <c r="D38" s="6">
        <f>IF(DATE(2024,8,1)&gt;TODAY(),"",COUNTIFS('2024'!$AG$5:$AG$178,"&gt;="&amp;DATE(2024,8,1),'2024'!$AG$5:$AG$178,"&lt;"&amp;EDATE(DATE(2024,8,1),1)))</f>
        <v/>
      </c>
      <c r="E38" s="7">
        <f>IF(DATE(2024,8,1)&gt;TODAY(),"",SUMIFS('2024'!$X$5:$X$178,'2024'!$AG$5:$AG$178,"&gt;="&amp;DATE(2024,8,1),'2024'!$AG$5:$AG$178,"&lt;"&amp;EDATE(DATE(2024,8,1),1)))</f>
        <v/>
      </c>
      <c r="F38" s="7">
        <f>IF(N(D38)=0,"",E38/D38)</f>
        <v/>
      </c>
      <c r="G38" s="7">
        <f>IF(E38="","",E38/2)</f>
        <v/>
      </c>
      <c r="H38" s="7">
        <f>IF(DATE(2024,8,1)&gt;TODAY(),"",SUMIFS('2024'!$V$5:$V$178,'2024'!$AG$5:$AG$178,"&gt;="&amp;DATE(2024,8,1),'2024'!$AG$5:$AG$178,"&lt;"&amp;EDATE(DATE(2024,8,1),1)))</f>
        <v/>
      </c>
      <c r="I38" s="6">
        <f>IF(N(D38)=0,"",(SUMIFS('2024'!$AH$5:$AH$178,'2024'!$AG$5:$AG$178,"&gt;="&amp;DATE(2024,8,1),'2024'!$AG$5:$AG$178,"&lt;"&amp;EDATE(DATE(2024,8,1),1)))/D38)</f>
        <v/>
      </c>
      <c r="J38" s="6">
        <f>IF(N(D38)=0,"",(SUMIFS('2024'!$AI$5:$AI$178,'2024'!$AG$5:$AG$178,"&gt;="&amp;DATE(2024,8,1),'2024'!$AG$5:$AG$178,"&lt;"&amp;EDATE(DATE(2024,8,1),1)))/D38)</f>
        <v/>
      </c>
    </row>
    <row r="39">
      <c r="B39" s="12">
        <f>IF(DATE(2024,9,1)&gt;TODAY(),"",DATE(2024,9,1))</f>
        <v/>
      </c>
      <c r="C39" s="6">
        <f>IF(DATE(2024,9,1)&gt;TODAY(),"",COUNTIFS('2024'!$AD$5:$AD$178,"&gt;="&amp;DATE(2024,9,1),'2024'!$AD$5:$AD$178,"&lt;"&amp;EDATE(DATE(2024,9,1),1)))</f>
        <v/>
      </c>
      <c r="D39" s="6">
        <f>IF(DATE(2024,9,1)&gt;TODAY(),"",COUNTIFS('2024'!$AG$5:$AG$178,"&gt;="&amp;DATE(2024,9,1),'2024'!$AG$5:$AG$178,"&lt;"&amp;EDATE(DATE(2024,9,1),1)))</f>
        <v/>
      </c>
      <c r="E39" s="7">
        <f>IF(DATE(2024,9,1)&gt;TODAY(),"",SUMIFS('2024'!$X$5:$X$178,'2024'!$AG$5:$AG$178,"&gt;="&amp;DATE(2024,9,1),'2024'!$AG$5:$AG$178,"&lt;"&amp;EDATE(DATE(2024,9,1),1)))</f>
        <v/>
      </c>
      <c r="F39" s="7">
        <f>IF(N(D39)=0,"",E39/D39)</f>
        <v/>
      </c>
      <c r="G39" s="7">
        <f>IF(E39="","",E39/2)</f>
        <v/>
      </c>
      <c r="H39" s="7">
        <f>IF(DATE(2024,9,1)&gt;TODAY(),"",SUMIFS('2024'!$V$5:$V$178,'2024'!$AG$5:$AG$178,"&gt;="&amp;DATE(2024,9,1),'2024'!$AG$5:$AG$178,"&lt;"&amp;EDATE(DATE(2024,9,1),1)))</f>
        <v/>
      </c>
      <c r="I39" s="6">
        <f>IF(N(D39)=0,"",(SUMIFS('2024'!$AH$5:$AH$178,'2024'!$AG$5:$AG$178,"&gt;="&amp;DATE(2024,9,1),'2024'!$AG$5:$AG$178,"&lt;"&amp;EDATE(DATE(2024,9,1),1)))/D39)</f>
        <v/>
      </c>
      <c r="J39" s="6">
        <f>IF(N(D39)=0,"",(SUMIFS('2024'!$AI$5:$AI$178,'2024'!$AG$5:$AG$178,"&gt;="&amp;DATE(2024,9,1),'2024'!$AG$5:$AG$178,"&lt;"&amp;EDATE(DATE(2024,9,1),1)))/D39)</f>
        <v/>
      </c>
    </row>
    <row r="40">
      <c r="B40" s="12">
        <f>IF(DATE(2024,10,1)&gt;TODAY(),"",DATE(2024,10,1))</f>
        <v/>
      </c>
      <c r="C40" s="6">
        <f>IF(DATE(2024,10,1)&gt;TODAY(),"",COUNTIFS('2024'!$AD$5:$AD$178,"&gt;="&amp;DATE(2024,10,1),'2024'!$AD$5:$AD$178,"&lt;"&amp;EDATE(DATE(2024,10,1),1)))</f>
        <v/>
      </c>
      <c r="D40" s="6">
        <f>IF(DATE(2024,10,1)&gt;TODAY(),"",COUNTIFS('2024'!$AG$5:$AG$178,"&gt;="&amp;DATE(2024,10,1),'2024'!$AG$5:$AG$178,"&lt;"&amp;EDATE(DATE(2024,10,1),1)))</f>
        <v/>
      </c>
      <c r="E40" s="7">
        <f>IF(DATE(2024,10,1)&gt;TODAY(),"",SUMIFS('2024'!$X$5:$X$178,'2024'!$AG$5:$AG$178,"&gt;="&amp;DATE(2024,10,1),'2024'!$AG$5:$AG$178,"&lt;"&amp;EDATE(DATE(2024,10,1),1)))</f>
        <v/>
      </c>
      <c r="F40" s="7">
        <f>IF(N(D40)=0,"",E40/D40)</f>
        <v/>
      </c>
      <c r="G40" s="7">
        <f>IF(E40="","",E40/2)</f>
        <v/>
      </c>
      <c r="H40" s="7">
        <f>IF(DATE(2024,10,1)&gt;TODAY(),"",SUMIFS('2024'!$V$5:$V$178,'2024'!$AG$5:$AG$178,"&gt;="&amp;DATE(2024,10,1),'2024'!$AG$5:$AG$178,"&lt;"&amp;EDATE(DATE(2024,10,1),1)))</f>
        <v/>
      </c>
      <c r="I40" s="6">
        <f>IF(N(D40)=0,"",(SUMIFS('2024'!$AH$5:$AH$178,'2024'!$AG$5:$AG$178,"&gt;="&amp;DATE(2024,10,1),'2024'!$AG$5:$AG$178,"&lt;"&amp;EDATE(DATE(2024,10,1),1)))/D40)</f>
        <v/>
      </c>
      <c r="J40" s="6">
        <f>IF(N(D40)=0,"",(SUMIFS('2024'!$AI$5:$AI$178,'2024'!$AG$5:$AG$178,"&gt;="&amp;DATE(2024,10,1),'2024'!$AG$5:$AG$178,"&lt;"&amp;EDATE(DATE(2024,10,1),1)))/D40)</f>
        <v/>
      </c>
    </row>
    <row r="41">
      <c r="B41" s="12">
        <f>IF(DATE(2024,11,1)&gt;TODAY(),"",DATE(2024,11,1))</f>
        <v/>
      </c>
      <c r="C41" s="6">
        <f>IF(DATE(2024,11,1)&gt;TODAY(),"",COUNTIFS('2024'!$AD$5:$AD$178,"&gt;="&amp;DATE(2024,11,1),'2024'!$AD$5:$AD$178,"&lt;"&amp;EDATE(DATE(2024,11,1),1)))</f>
        <v/>
      </c>
      <c r="D41" s="6">
        <f>IF(DATE(2024,11,1)&gt;TODAY(),"",COUNTIFS('2024'!$AG$5:$AG$178,"&gt;="&amp;DATE(2024,11,1),'2024'!$AG$5:$AG$178,"&lt;"&amp;EDATE(DATE(2024,11,1),1)))</f>
        <v/>
      </c>
      <c r="E41" s="7">
        <f>IF(DATE(2024,11,1)&gt;TODAY(),"",SUMIFS('2024'!$X$5:$X$178,'2024'!$AG$5:$AG$178,"&gt;="&amp;DATE(2024,11,1),'2024'!$AG$5:$AG$178,"&lt;"&amp;EDATE(DATE(2024,11,1),1)))</f>
        <v/>
      </c>
      <c r="F41" s="7">
        <f>IF(N(D41)=0,"",E41/D41)</f>
        <v/>
      </c>
      <c r="G41" s="7">
        <f>IF(E41="","",E41/2)</f>
        <v/>
      </c>
      <c r="H41" s="7">
        <f>IF(DATE(2024,11,1)&gt;TODAY(),"",SUMIFS('2024'!$V$5:$V$178,'2024'!$AG$5:$AG$178,"&gt;="&amp;DATE(2024,11,1),'2024'!$AG$5:$AG$178,"&lt;"&amp;EDATE(DATE(2024,11,1),1)))</f>
        <v/>
      </c>
      <c r="I41" s="6">
        <f>IF(N(D41)=0,"",(SUMIFS('2024'!$AH$5:$AH$178,'2024'!$AG$5:$AG$178,"&gt;="&amp;DATE(2024,11,1),'2024'!$AG$5:$AG$178,"&lt;"&amp;EDATE(DATE(2024,11,1),1)))/D41)</f>
        <v/>
      </c>
      <c r="J41" s="6">
        <f>IF(N(D41)=0,"",(SUMIFS('2024'!$AI$5:$AI$178,'2024'!$AG$5:$AG$178,"&gt;="&amp;DATE(2024,11,1),'2024'!$AG$5:$AG$178,"&lt;"&amp;EDATE(DATE(2024,11,1),1)))/D41)</f>
        <v/>
      </c>
    </row>
    <row r="42">
      <c r="B42" s="12">
        <f>IF(DATE(2024,12,1)&gt;TODAY(),"",DATE(2024,12,1))</f>
        <v/>
      </c>
      <c r="C42" s="6">
        <f>IF(DATE(2024,12,1)&gt;TODAY(),"",COUNTIFS('2024'!$AD$5:$AD$178,"&gt;="&amp;DATE(2024,12,1),'2024'!$AD$5:$AD$178,"&lt;"&amp;EDATE(DATE(2024,12,1),1)))</f>
        <v/>
      </c>
      <c r="D42" s="6">
        <f>IF(DATE(2024,12,1)&gt;TODAY(),"",COUNTIFS('2024'!$AG$5:$AG$178,"&gt;="&amp;DATE(2024,12,1),'2024'!$AG$5:$AG$178,"&lt;"&amp;EDATE(DATE(2024,12,1),1)))</f>
        <v/>
      </c>
      <c r="E42" s="7">
        <f>IF(DATE(2024,12,1)&gt;TODAY(),"",SUMIFS('2024'!$X$5:$X$178,'2024'!$AG$5:$AG$178,"&gt;="&amp;DATE(2024,12,1),'2024'!$AG$5:$AG$178,"&lt;"&amp;EDATE(DATE(2024,12,1),1)))</f>
        <v/>
      </c>
      <c r="F42" s="7">
        <f>IF(N(D42)=0,"",E42/D42)</f>
        <v/>
      </c>
      <c r="G42" s="7">
        <f>IF(E42="","",E42/2)</f>
        <v/>
      </c>
      <c r="H42" s="7">
        <f>IF(DATE(2024,12,1)&gt;TODAY(),"",SUMIFS('2024'!$V$5:$V$178,'2024'!$AG$5:$AG$178,"&gt;="&amp;DATE(2024,12,1),'2024'!$AG$5:$AG$178,"&lt;"&amp;EDATE(DATE(2024,12,1),1)))</f>
        <v/>
      </c>
      <c r="I42" s="6">
        <f>IF(N(D42)=0,"",(SUMIFS('2024'!$AH$5:$AH$178,'2024'!$AG$5:$AG$178,"&gt;="&amp;DATE(2024,12,1),'2024'!$AG$5:$AG$178,"&lt;"&amp;EDATE(DATE(2024,12,1),1)))/D42)</f>
        <v/>
      </c>
      <c r="J42" s="6">
        <f>IF(N(D42)=0,"",(SUMIFS('2024'!$AI$5:$AI$178,'2024'!$AG$5:$AG$178,"&gt;="&amp;DATE(2024,12,1),'2024'!$AG$5:$AG$178,"&lt;"&amp;EDATE(DATE(2024,12,1),1)))/D42)</f>
        <v/>
      </c>
    </row>
    <row r="43">
      <c r="B43" s="12">
        <f>IF(DATE(2025,1,1)&gt;TODAY(),"",DATE(2025,1,1))</f>
        <v/>
      </c>
      <c r="C43" s="6">
        <f>IF(DATE(2025,1,1)&gt;TODAY(),"",COUNTIFS('2024'!$AD$5:$AD$178,"&gt;="&amp;DATE(2025,1,1),'2024'!$AD$5:$AD$178,"&lt;"&amp;EDATE(DATE(2025,1,1),1)))</f>
        <v/>
      </c>
      <c r="D43" s="6">
        <f>IF(DATE(2025,1,1)&gt;TODAY(),"",COUNTIFS('2024'!$AG$5:$AG$178,"&gt;="&amp;DATE(2025,1,1),'2024'!$AG$5:$AG$178,"&lt;"&amp;EDATE(DATE(2025,1,1),1)))</f>
        <v/>
      </c>
      <c r="E43" s="7">
        <f>IF(DATE(2025,1,1)&gt;TODAY(),"",SUMIFS('2024'!$X$5:$X$178,'2024'!$AG$5:$AG$178,"&gt;="&amp;DATE(2025,1,1),'2024'!$AG$5:$AG$178,"&lt;"&amp;EDATE(DATE(2025,1,1),1)))</f>
        <v/>
      </c>
      <c r="F43" s="7">
        <f>IF(N(D43)=0,"",E43/D43)</f>
        <v/>
      </c>
      <c r="G43" s="7">
        <f>IF(E43="","",E43/2)</f>
        <v/>
      </c>
      <c r="H43" s="7">
        <f>IF(DATE(2025,1,1)&gt;TODAY(),"",SUMIFS('2024'!$V$5:$V$178,'2024'!$AG$5:$AG$178,"&gt;="&amp;DATE(2025,1,1),'2024'!$AG$5:$AG$178,"&lt;"&amp;EDATE(DATE(2025,1,1),1)))</f>
        <v/>
      </c>
      <c r="I43" s="6">
        <f>IF(N(D43)=0,"",(SUMIFS('2024'!$AH$5:$AH$178,'2024'!$AG$5:$AG$178,"&gt;="&amp;DATE(2025,1,1),'2024'!$AG$5:$AG$178,"&lt;"&amp;EDATE(DATE(2025,1,1),1)))/D43)</f>
        <v/>
      </c>
      <c r="J43" s="6">
        <f>IF(N(D43)=0,"",(SUMIFS('2024'!$AI$5:$AI$178,'2024'!$AG$5:$AG$178,"&gt;="&amp;DATE(2025,1,1),'2024'!$AG$5:$AG$178,"&lt;"&amp;EDATE(DATE(2025,1,1),1)))/D43)</f>
        <v/>
      </c>
    </row>
    <row r="44">
      <c r="B44" s="12">
        <f>IF(DATE(2025,2,1)&gt;TODAY(),"",DATE(2025,2,1))</f>
        <v/>
      </c>
      <c r="C44" s="6">
        <f>IF(DATE(2025,2,1)&gt;TODAY(),"",COUNTIFS('2024'!$AD$5:$AD$178,"&gt;="&amp;DATE(2025,2,1),'2024'!$AD$5:$AD$178,"&lt;"&amp;EDATE(DATE(2025,2,1),1)))</f>
        <v/>
      </c>
      <c r="D44" s="6">
        <f>IF(DATE(2025,2,1)&gt;TODAY(),"",COUNTIFS('2024'!$AG$5:$AG$178,"&gt;="&amp;DATE(2025,2,1),'2024'!$AG$5:$AG$178,"&lt;"&amp;EDATE(DATE(2025,2,1),1)))</f>
        <v/>
      </c>
      <c r="E44" s="7">
        <f>IF(DATE(2025,2,1)&gt;TODAY(),"",SUMIFS('2024'!$X$5:$X$178,'2024'!$AG$5:$AG$178,"&gt;="&amp;DATE(2025,2,1),'2024'!$AG$5:$AG$178,"&lt;"&amp;EDATE(DATE(2025,2,1),1)))</f>
        <v/>
      </c>
      <c r="F44" s="7">
        <f>IF(N(D44)=0,"",E44/D44)</f>
        <v/>
      </c>
      <c r="G44" s="7">
        <f>IF(E44="","",E44/2)</f>
        <v/>
      </c>
      <c r="H44" s="7">
        <f>IF(DATE(2025,2,1)&gt;TODAY(),"",SUMIFS('2024'!$V$5:$V$178,'2024'!$AG$5:$AG$178,"&gt;="&amp;DATE(2025,2,1),'2024'!$AG$5:$AG$178,"&lt;"&amp;EDATE(DATE(2025,2,1),1)))</f>
        <v/>
      </c>
      <c r="I44" s="6">
        <f>IF(N(D44)=0,"",(SUMIFS('2024'!$AH$5:$AH$178,'2024'!$AG$5:$AG$178,"&gt;="&amp;DATE(2025,2,1),'2024'!$AG$5:$AG$178,"&lt;"&amp;EDATE(DATE(2025,2,1),1)))/D44)</f>
        <v/>
      </c>
      <c r="J44" s="6">
        <f>IF(N(D44)=0,"",(SUMIFS('2024'!$AI$5:$AI$178,'2024'!$AG$5:$AG$178,"&gt;="&amp;DATE(2025,2,1),'2024'!$AG$5:$AG$178,"&lt;"&amp;EDATE(DATE(2025,2,1),1)))/D44)</f>
        <v/>
      </c>
    </row>
    <row r="45">
      <c r="B45" s="12">
        <f>IF(DATE(2025,3,1)&gt;TODAY(),"",DATE(2025,3,1))</f>
        <v/>
      </c>
      <c r="C45" s="6">
        <f>IF(DATE(2025,3,1)&gt;TODAY(),"",COUNTIFS('2024'!$AD$5:$AD$178,"&gt;="&amp;DATE(2025,3,1),'2024'!$AD$5:$AD$178,"&lt;"&amp;EDATE(DATE(2025,3,1),1)))</f>
        <v/>
      </c>
      <c r="D45" s="6">
        <f>IF(DATE(2025,3,1)&gt;TODAY(),"",COUNTIFS('2024'!$AG$5:$AG$178,"&gt;="&amp;DATE(2025,3,1),'2024'!$AG$5:$AG$178,"&lt;"&amp;EDATE(DATE(2025,3,1),1)))</f>
        <v/>
      </c>
      <c r="E45" s="7">
        <f>IF(DATE(2025,3,1)&gt;TODAY(),"",SUMIFS('2024'!$X$5:$X$178,'2024'!$AG$5:$AG$178,"&gt;="&amp;DATE(2025,3,1),'2024'!$AG$5:$AG$178,"&lt;"&amp;EDATE(DATE(2025,3,1),1)))</f>
        <v/>
      </c>
      <c r="F45" s="7">
        <f>IF(N(D45)=0,"",E45/D45)</f>
        <v/>
      </c>
      <c r="G45" s="7">
        <f>IF(E45="","",E45/2)</f>
        <v/>
      </c>
      <c r="H45" s="7">
        <f>IF(DATE(2025,3,1)&gt;TODAY(),"",SUMIFS('2024'!$V$5:$V$178,'2024'!$AG$5:$AG$178,"&gt;="&amp;DATE(2025,3,1),'2024'!$AG$5:$AG$178,"&lt;"&amp;EDATE(DATE(2025,3,1),1)))</f>
        <v/>
      </c>
      <c r="I45" s="6">
        <f>IF(N(D45)=0,"",(SUMIFS('2024'!$AH$5:$AH$178,'2024'!$AG$5:$AG$178,"&gt;="&amp;DATE(2025,3,1),'2024'!$AG$5:$AG$178,"&lt;"&amp;EDATE(DATE(2025,3,1),1)))/D45)</f>
        <v/>
      </c>
      <c r="J45" s="6">
        <f>IF(N(D45)=0,"",(SUMIFS('2024'!$AI$5:$AI$178,'2024'!$AG$5:$AG$178,"&gt;="&amp;DATE(2025,3,1),'2024'!$AG$5:$AG$178,"&lt;"&amp;EDATE(DATE(2025,3,1),1)))/D45)</f>
        <v/>
      </c>
    </row>
    <row r="46">
      <c r="B46" s="12">
        <f>IF(DATE(2025,4,1)&gt;TODAY(),"",DATE(2025,4,1))</f>
        <v/>
      </c>
      <c r="C46" s="6">
        <f>IF(DATE(2025,4,1)&gt;TODAY(),"",COUNTIFS('2024'!$AD$5:$AD$178,"&gt;="&amp;DATE(2025,4,1),'2024'!$AD$5:$AD$178,"&lt;"&amp;EDATE(DATE(2025,4,1),1)))</f>
        <v/>
      </c>
      <c r="D46" s="6">
        <f>IF(DATE(2025,4,1)&gt;TODAY(),"",COUNTIFS('2024'!$AG$5:$AG$178,"&gt;="&amp;DATE(2025,4,1),'2024'!$AG$5:$AG$178,"&lt;"&amp;EDATE(DATE(2025,4,1),1)))</f>
        <v/>
      </c>
      <c r="E46" s="7">
        <f>IF(DATE(2025,4,1)&gt;TODAY(),"",SUMIFS('2024'!$X$5:$X$178,'2024'!$AG$5:$AG$178,"&gt;="&amp;DATE(2025,4,1),'2024'!$AG$5:$AG$178,"&lt;"&amp;EDATE(DATE(2025,4,1),1)))</f>
        <v/>
      </c>
      <c r="F46" s="7">
        <f>IF(N(D46)=0,"",E46/D46)</f>
        <v/>
      </c>
      <c r="G46" s="7">
        <f>IF(E46="","",E46/2)</f>
        <v/>
      </c>
      <c r="H46" s="7">
        <f>IF(DATE(2025,4,1)&gt;TODAY(),"",SUMIFS('2024'!$V$5:$V$178,'2024'!$AG$5:$AG$178,"&gt;="&amp;DATE(2025,4,1),'2024'!$AG$5:$AG$178,"&lt;"&amp;EDATE(DATE(2025,4,1),1)))</f>
        <v/>
      </c>
      <c r="I46" s="6">
        <f>IF(N(D46)=0,"",(SUMIFS('2024'!$AH$5:$AH$178,'2024'!$AG$5:$AG$178,"&gt;="&amp;DATE(2025,4,1),'2024'!$AG$5:$AG$178,"&lt;"&amp;EDATE(DATE(2025,4,1),1)))/D46)</f>
        <v/>
      </c>
      <c r="J46" s="6">
        <f>IF(N(D46)=0,"",(SUMIFS('2024'!$AI$5:$AI$178,'2024'!$AG$5:$AG$178,"&gt;="&amp;DATE(2025,4,1),'2024'!$AG$5:$AG$178,"&lt;"&amp;EDATE(DATE(2025,4,1),1)))/D46)</f>
        <v/>
      </c>
    </row>
    <row r="47">
      <c r="B47" s="12">
        <f>IF(DATE(2025,5,1)&gt;TODAY(),"",DATE(2025,5,1))</f>
        <v/>
      </c>
      <c r="C47" s="6">
        <f>IF(DATE(2025,5,1)&gt;TODAY(),"",COUNTIFS('2024'!$AD$5:$AD$178,"&gt;="&amp;DATE(2025,5,1),'2024'!$AD$5:$AD$178,"&lt;"&amp;EDATE(DATE(2025,5,1),1)))</f>
        <v/>
      </c>
      <c r="D47" s="6">
        <f>IF(DATE(2025,5,1)&gt;TODAY(),"",COUNTIFS('2024'!$AG$5:$AG$178,"&gt;="&amp;DATE(2025,5,1),'2024'!$AG$5:$AG$178,"&lt;"&amp;EDATE(DATE(2025,5,1),1)))</f>
        <v/>
      </c>
      <c r="E47" s="7">
        <f>IF(DATE(2025,5,1)&gt;TODAY(),"",SUMIFS('2024'!$X$5:$X$178,'2024'!$AG$5:$AG$178,"&gt;="&amp;DATE(2025,5,1),'2024'!$AG$5:$AG$178,"&lt;"&amp;EDATE(DATE(2025,5,1),1)))</f>
        <v/>
      </c>
      <c r="F47" s="7">
        <f>IF(N(D47)=0,"",E47/D47)</f>
        <v/>
      </c>
      <c r="G47" s="7">
        <f>IF(E47="","",E47/2)</f>
        <v/>
      </c>
      <c r="H47" s="7">
        <f>IF(DATE(2025,5,1)&gt;TODAY(),"",SUMIFS('2024'!$V$5:$V$178,'2024'!$AG$5:$AG$178,"&gt;="&amp;DATE(2025,5,1),'2024'!$AG$5:$AG$178,"&lt;"&amp;EDATE(DATE(2025,5,1),1)))</f>
        <v/>
      </c>
      <c r="I47" s="6">
        <f>IF(N(D47)=0,"",(SUMIFS('2024'!$AH$5:$AH$178,'2024'!$AG$5:$AG$178,"&gt;="&amp;DATE(2025,5,1),'2024'!$AG$5:$AG$178,"&lt;"&amp;EDATE(DATE(2025,5,1),1)))/D47)</f>
        <v/>
      </c>
      <c r="J47" s="6">
        <f>IF(N(D47)=0,"",(SUMIFS('2024'!$AI$5:$AI$178,'2024'!$AG$5:$AG$178,"&gt;="&amp;DATE(2025,5,1),'2024'!$AG$5:$AG$178,"&lt;"&amp;EDATE(DATE(2025,5,1),1)))/D47)</f>
        <v/>
      </c>
    </row>
    <row r="48">
      <c r="B48" s="12">
        <f>IF(DATE(2025,6,1)&gt;TODAY(),"",DATE(2025,6,1))</f>
        <v/>
      </c>
      <c r="C48" s="6">
        <f>IF(DATE(2025,6,1)&gt;TODAY(),"",COUNTIFS('2024'!$AD$5:$AD$178,"&gt;="&amp;DATE(2025,6,1),'2024'!$AD$5:$AD$178,"&lt;"&amp;EDATE(DATE(2025,6,1),1)))</f>
        <v/>
      </c>
      <c r="D48" s="6">
        <f>IF(DATE(2025,6,1)&gt;TODAY(),"",COUNTIFS('2024'!$AG$5:$AG$178,"&gt;="&amp;DATE(2025,6,1),'2024'!$AG$5:$AG$178,"&lt;"&amp;EDATE(DATE(2025,6,1),1)))</f>
        <v/>
      </c>
      <c r="E48" s="7">
        <f>IF(DATE(2025,6,1)&gt;TODAY(),"",SUMIFS('2024'!$X$5:$X$178,'2024'!$AG$5:$AG$178,"&gt;="&amp;DATE(2025,6,1),'2024'!$AG$5:$AG$178,"&lt;"&amp;EDATE(DATE(2025,6,1),1)))</f>
        <v/>
      </c>
      <c r="F48" s="7">
        <f>IF(N(D48)=0,"",E48/D48)</f>
        <v/>
      </c>
      <c r="G48" s="7">
        <f>IF(E48="","",E48/2)</f>
        <v/>
      </c>
      <c r="H48" s="7">
        <f>IF(DATE(2025,6,1)&gt;TODAY(),"",SUMIFS('2024'!$V$5:$V$178,'2024'!$AG$5:$AG$178,"&gt;="&amp;DATE(2025,6,1),'2024'!$AG$5:$AG$178,"&lt;"&amp;EDATE(DATE(2025,6,1),1)))</f>
        <v/>
      </c>
      <c r="I48" s="6">
        <f>IF(N(D48)=0,"",(SUMIFS('2024'!$AH$5:$AH$178,'2024'!$AG$5:$AG$178,"&gt;="&amp;DATE(2025,6,1),'2024'!$AG$5:$AG$178,"&lt;"&amp;EDATE(DATE(2025,6,1),1)))/D48)</f>
        <v/>
      </c>
      <c r="J48" s="6">
        <f>IF(N(D48)=0,"",(SUMIFS('2024'!$AI$5:$AI$178,'2024'!$AG$5:$AG$178,"&gt;="&amp;DATE(2025,6,1),'2024'!$AG$5:$AG$178,"&lt;"&amp;EDATE(DATE(2025,6,1),1)))/D48)</f>
        <v/>
      </c>
    </row>
    <row r="49">
      <c r="B49" s="12">
        <f>IF(DATE(2025,7,1)&gt;TODAY(),"",DATE(2025,7,1))</f>
        <v/>
      </c>
      <c r="C49" s="6">
        <f>IF(DATE(2025,7,1)&gt;TODAY(),"",COUNTIFS('2024'!$AD$5:$AD$178,"&gt;="&amp;DATE(2025,7,1),'2024'!$AD$5:$AD$178,"&lt;"&amp;EDATE(DATE(2025,7,1),1)))</f>
        <v/>
      </c>
      <c r="D49" s="6">
        <f>IF(DATE(2025,7,1)&gt;TODAY(),"",COUNTIFS('2024'!$AG$5:$AG$178,"&gt;="&amp;DATE(2025,7,1),'2024'!$AG$5:$AG$178,"&lt;"&amp;EDATE(DATE(2025,7,1),1)))</f>
        <v/>
      </c>
      <c r="E49" s="7">
        <f>IF(DATE(2025,7,1)&gt;TODAY(),"",SUMIFS('2024'!$X$5:$X$178,'2024'!$AG$5:$AG$178,"&gt;="&amp;DATE(2025,7,1),'2024'!$AG$5:$AG$178,"&lt;"&amp;EDATE(DATE(2025,7,1),1)))</f>
        <v/>
      </c>
      <c r="F49" s="7">
        <f>IF(N(D49)=0,"",E49/D49)</f>
        <v/>
      </c>
      <c r="G49" s="7">
        <f>IF(E49="","",E49/2)</f>
        <v/>
      </c>
      <c r="H49" s="7">
        <f>IF(DATE(2025,7,1)&gt;TODAY(),"",SUMIFS('2024'!$V$5:$V$178,'2024'!$AG$5:$AG$178,"&gt;="&amp;DATE(2025,7,1),'2024'!$AG$5:$AG$178,"&lt;"&amp;EDATE(DATE(2025,7,1),1)))</f>
        <v/>
      </c>
      <c r="I49" s="6">
        <f>IF(N(D49)=0,"",(SUMIFS('2024'!$AH$5:$AH$178,'2024'!$AG$5:$AG$178,"&gt;="&amp;DATE(2025,7,1),'2024'!$AG$5:$AG$178,"&lt;"&amp;EDATE(DATE(2025,7,1),1)))/D49)</f>
        <v/>
      </c>
      <c r="J49" s="6">
        <f>IF(N(D49)=0,"",(SUMIFS('2024'!$AI$5:$AI$178,'2024'!$AG$5:$AG$178,"&gt;="&amp;DATE(2025,7,1),'2024'!$AG$5:$AG$178,"&lt;"&amp;EDATE(DATE(2025,7,1),1)))/D49)</f>
        <v/>
      </c>
    </row>
    <row r="50">
      <c r="B50" s="12">
        <f>IF(DATE(2025,8,1)&gt;TODAY(),"",DATE(2025,8,1))</f>
        <v/>
      </c>
      <c r="C50" s="6">
        <f>IF(DATE(2025,8,1)&gt;TODAY(),"",COUNTIFS('2024'!$AD$5:$AD$178,"&gt;="&amp;DATE(2025,8,1),'2024'!$AD$5:$AD$178,"&lt;"&amp;EDATE(DATE(2025,8,1),1)))</f>
        <v/>
      </c>
      <c r="D50" s="6">
        <f>IF(DATE(2025,8,1)&gt;TODAY(),"",COUNTIFS('2024'!$AG$5:$AG$178,"&gt;="&amp;DATE(2025,8,1),'2024'!$AG$5:$AG$178,"&lt;"&amp;EDATE(DATE(2025,8,1),1)))</f>
        <v/>
      </c>
      <c r="E50" s="7">
        <f>IF(DATE(2025,8,1)&gt;TODAY(),"",SUMIFS('2024'!$X$5:$X$178,'2024'!$AG$5:$AG$178,"&gt;="&amp;DATE(2025,8,1),'2024'!$AG$5:$AG$178,"&lt;"&amp;EDATE(DATE(2025,8,1),1)))</f>
        <v/>
      </c>
      <c r="F50" s="7">
        <f>IF(N(D50)=0,"",E50/D50)</f>
        <v/>
      </c>
      <c r="G50" s="7">
        <f>IF(E50="","",E50/2)</f>
        <v/>
      </c>
      <c r="H50" s="7">
        <f>IF(DATE(2025,8,1)&gt;TODAY(),"",SUMIFS('2024'!$V$5:$V$178,'2024'!$AG$5:$AG$178,"&gt;="&amp;DATE(2025,8,1),'2024'!$AG$5:$AG$178,"&lt;"&amp;EDATE(DATE(2025,8,1),1)))</f>
        <v/>
      </c>
      <c r="I50" s="6">
        <f>IF(N(D50)=0,"",(SUMIFS('2024'!$AH$5:$AH$178,'2024'!$AG$5:$AG$178,"&gt;="&amp;DATE(2025,8,1),'2024'!$AG$5:$AG$178,"&lt;"&amp;EDATE(DATE(2025,8,1),1)))/D50)</f>
        <v/>
      </c>
      <c r="J50" s="6">
        <f>IF(N(D50)=0,"",(SUMIFS('2024'!$AI$5:$AI$178,'2024'!$AG$5:$AG$178,"&gt;="&amp;DATE(2025,8,1),'2024'!$AG$5:$AG$178,"&lt;"&amp;EDATE(DATE(2025,8,1),1)))/D50)</f>
        <v/>
      </c>
    </row>
    <row r="51">
      <c r="B51" s="12">
        <f>IF(DATE(2025,9,1)&gt;TODAY(),"",DATE(2025,9,1))</f>
        <v/>
      </c>
      <c r="C51" s="6">
        <f>IF(DATE(2025,9,1)&gt;TODAY(),"",COUNTIFS('2024'!$AD$5:$AD$178,"&gt;="&amp;DATE(2025,9,1),'2024'!$AD$5:$AD$178,"&lt;"&amp;EDATE(DATE(2025,9,1),1)))</f>
        <v/>
      </c>
      <c r="D51" s="6">
        <f>IF(DATE(2025,9,1)&gt;TODAY(),"",COUNTIFS('2024'!$AG$5:$AG$178,"&gt;="&amp;DATE(2025,9,1),'2024'!$AG$5:$AG$178,"&lt;"&amp;EDATE(DATE(2025,9,1),1)))</f>
        <v/>
      </c>
      <c r="E51" s="7">
        <f>IF(DATE(2025,9,1)&gt;TODAY(),"",SUMIFS('2024'!$X$5:$X$178,'2024'!$AG$5:$AG$178,"&gt;="&amp;DATE(2025,9,1),'2024'!$AG$5:$AG$178,"&lt;"&amp;EDATE(DATE(2025,9,1),1)))</f>
        <v/>
      </c>
      <c r="F51" s="7">
        <f>IF(N(D51)=0,"",E51/D51)</f>
        <v/>
      </c>
      <c r="G51" s="7">
        <f>IF(E51="","",E51/2)</f>
        <v/>
      </c>
      <c r="H51" s="7">
        <f>IF(DATE(2025,9,1)&gt;TODAY(),"",SUMIFS('2024'!$V$5:$V$178,'2024'!$AG$5:$AG$178,"&gt;="&amp;DATE(2025,9,1),'2024'!$AG$5:$AG$178,"&lt;"&amp;EDATE(DATE(2025,9,1),1)))</f>
        <v/>
      </c>
      <c r="I51" s="6">
        <f>IF(N(D51)=0,"",(SUMIFS('2024'!$AH$5:$AH$178,'2024'!$AG$5:$AG$178,"&gt;="&amp;DATE(2025,9,1),'2024'!$AG$5:$AG$178,"&lt;"&amp;EDATE(DATE(2025,9,1),1)))/D51)</f>
        <v/>
      </c>
      <c r="J51" s="6">
        <f>IF(N(D51)=0,"",(SUMIFS('2024'!$AI$5:$AI$178,'2024'!$AG$5:$AG$178,"&gt;="&amp;DATE(2025,9,1),'2024'!$AG$5:$AG$178,"&lt;"&amp;EDATE(DATE(2025,9,1),1)))/D51)</f>
        <v/>
      </c>
    </row>
    <row r="52">
      <c r="B52" s="12">
        <f>IF(DATE(2025,10,1)&gt;TODAY(),"",DATE(2025,10,1))</f>
        <v/>
      </c>
      <c r="C52" s="6">
        <f>IF(DATE(2025,10,1)&gt;TODAY(),"",COUNTIFS('2024'!$AD$5:$AD$178,"&gt;="&amp;DATE(2025,10,1),'2024'!$AD$5:$AD$178,"&lt;"&amp;EDATE(DATE(2025,10,1),1)))</f>
        <v/>
      </c>
      <c r="D52" s="6">
        <f>IF(DATE(2025,10,1)&gt;TODAY(),"",COUNTIFS('2024'!$AG$5:$AG$178,"&gt;="&amp;DATE(2025,10,1),'2024'!$AG$5:$AG$178,"&lt;"&amp;EDATE(DATE(2025,10,1),1)))</f>
        <v/>
      </c>
      <c r="E52" s="7">
        <f>IF(DATE(2025,10,1)&gt;TODAY(),"",SUMIFS('2024'!$X$5:$X$178,'2024'!$AG$5:$AG$178,"&gt;="&amp;DATE(2025,10,1),'2024'!$AG$5:$AG$178,"&lt;"&amp;EDATE(DATE(2025,10,1),1)))</f>
        <v/>
      </c>
      <c r="F52" s="7">
        <f>IF(N(D52)=0,"",E52/D52)</f>
        <v/>
      </c>
      <c r="G52" s="7">
        <f>IF(E52="","",E52/2)</f>
        <v/>
      </c>
      <c r="H52" s="7">
        <f>IF(DATE(2025,10,1)&gt;TODAY(),"",SUMIFS('2024'!$V$5:$V$178,'2024'!$AG$5:$AG$178,"&gt;="&amp;DATE(2025,10,1),'2024'!$AG$5:$AG$178,"&lt;"&amp;EDATE(DATE(2025,10,1),1)))</f>
        <v/>
      </c>
      <c r="I52" s="6">
        <f>IF(N(D52)=0,"",(SUMIFS('2024'!$AH$5:$AH$178,'2024'!$AG$5:$AG$178,"&gt;="&amp;DATE(2025,10,1),'2024'!$AG$5:$AG$178,"&lt;"&amp;EDATE(DATE(2025,10,1),1)))/D52)</f>
        <v/>
      </c>
      <c r="J52" s="6">
        <f>IF(N(D52)=0,"",(SUMIFS('2024'!$AI$5:$AI$178,'2024'!$AG$5:$AG$178,"&gt;="&amp;DATE(2025,10,1),'2024'!$AG$5:$AG$178,"&lt;"&amp;EDATE(DATE(2025,10,1),1)))/D52)</f>
        <v/>
      </c>
    </row>
    <row r="53">
      <c r="B53" s="12">
        <f>IF(DATE(2025,11,1)&gt;TODAY(),"",DATE(2025,11,1))</f>
        <v/>
      </c>
      <c r="C53" s="6">
        <f>IF(DATE(2025,11,1)&gt;TODAY(),"",COUNTIFS('2024'!$AD$5:$AD$178,"&gt;="&amp;DATE(2025,11,1),'2024'!$AD$5:$AD$178,"&lt;"&amp;EDATE(DATE(2025,11,1),1)))</f>
        <v/>
      </c>
      <c r="D53" s="6">
        <f>IF(DATE(2025,11,1)&gt;TODAY(),"",COUNTIFS('2024'!$AG$5:$AG$178,"&gt;="&amp;DATE(2025,11,1),'2024'!$AG$5:$AG$178,"&lt;"&amp;EDATE(DATE(2025,11,1),1)))</f>
        <v/>
      </c>
      <c r="E53" s="7">
        <f>IF(DATE(2025,11,1)&gt;TODAY(),"",SUMIFS('2024'!$X$5:$X$178,'2024'!$AG$5:$AG$178,"&gt;="&amp;DATE(2025,11,1),'2024'!$AG$5:$AG$178,"&lt;"&amp;EDATE(DATE(2025,11,1),1)))</f>
        <v/>
      </c>
      <c r="F53" s="7">
        <f>IF(N(D53)=0,"",E53/D53)</f>
        <v/>
      </c>
      <c r="G53" s="7">
        <f>IF(E53="","",E53/2)</f>
        <v/>
      </c>
      <c r="H53" s="7">
        <f>IF(DATE(2025,11,1)&gt;TODAY(),"",SUMIFS('2024'!$V$5:$V$178,'2024'!$AG$5:$AG$178,"&gt;="&amp;DATE(2025,11,1),'2024'!$AG$5:$AG$178,"&lt;"&amp;EDATE(DATE(2025,11,1),1)))</f>
        <v/>
      </c>
      <c r="I53" s="6">
        <f>IF(N(D53)=0,"",(SUMIFS('2024'!$AH$5:$AH$178,'2024'!$AG$5:$AG$178,"&gt;="&amp;DATE(2025,11,1),'2024'!$AG$5:$AG$178,"&lt;"&amp;EDATE(DATE(2025,11,1),1)))/D53)</f>
        <v/>
      </c>
      <c r="J53" s="6">
        <f>IF(N(D53)=0,"",(SUMIFS('2024'!$AI$5:$AI$178,'2024'!$AG$5:$AG$178,"&gt;="&amp;DATE(2025,11,1),'2024'!$AG$5:$AG$178,"&lt;"&amp;EDATE(DATE(2025,11,1),1)))/D53)</f>
        <v/>
      </c>
    </row>
    <row r="54">
      <c r="B54" s="12">
        <f>IF(DATE(2025,12,1)&gt;TODAY(),"",DATE(2025,12,1))</f>
        <v/>
      </c>
      <c r="C54" s="6">
        <f>IF(DATE(2025,12,1)&gt;TODAY(),"",COUNTIFS('2024'!$AD$5:$AD$178,"&gt;="&amp;DATE(2025,12,1),'2024'!$AD$5:$AD$178,"&lt;"&amp;EDATE(DATE(2025,12,1),1)))</f>
        <v/>
      </c>
      <c r="D54" s="6">
        <f>IF(DATE(2025,12,1)&gt;TODAY(),"",COUNTIFS('2024'!$AG$5:$AG$178,"&gt;="&amp;DATE(2025,12,1),'2024'!$AG$5:$AG$178,"&lt;"&amp;EDATE(DATE(2025,12,1),1)))</f>
        <v/>
      </c>
      <c r="E54" s="7">
        <f>IF(DATE(2025,12,1)&gt;TODAY(),"",SUMIFS('2024'!$X$5:$X$178,'2024'!$AG$5:$AG$178,"&gt;="&amp;DATE(2025,12,1),'2024'!$AG$5:$AG$178,"&lt;"&amp;EDATE(DATE(2025,12,1),1)))</f>
        <v/>
      </c>
      <c r="F54" s="7">
        <f>IF(N(D54)=0,"",E54/D54)</f>
        <v/>
      </c>
      <c r="G54" s="7">
        <f>IF(E54="","",E54/2)</f>
        <v/>
      </c>
      <c r="H54" s="7">
        <f>IF(DATE(2025,12,1)&gt;TODAY(),"",SUMIFS('2024'!$V$5:$V$178,'2024'!$AG$5:$AG$178,"&gt;="&amp;DATE(2025,12,1),'2024'!$AG$5:$AG$178,"&lt;"&amp;EDATE(DATE(2025,12,1),1)))</f>
        <v/>
      </c>
      <c r="I54" s="6">
        <f>IF(N(D54)=0,"",(SUMIFS('2024'!$AH$5:$AH$178,'2024'!$AG$5:$AG$178,"&gt;="&amp;DATE(2025,12,1),'2024'!$AG$5:$AG$178,"&lt;"&amp;EDATE(DATE(2025,12,1),1)))/D54)</f>
        <v/>
      </c>
      <c r="J54" s="6">
        <f>IF(N(D54)=0,"",(SUMIFS('2024'!$AI$5:$AI$178,'2024'!$AG$5:$AG$178,"&gt;="&amp;DATE(2025,12,1),'2024'!$AG$5:$AG$178,"&lt;"&amp;EDATE(DATE(2025,12,1),1)))/D54)</f>
        <v/>
      </c>
    </row>
    <row r="55">
      <c r="B55" s="12">
        <f>IF(DATE(2026,1,1)&gt;TODAY(),"",DATE(2026,1,1))</f>
        <v/>
      </c>
      <c r="C55" s="6">
        <f>IF(DATE(2026,1,1)&gt;TODAY(),"",COUNTIFS('2024'!$AD$5:$AD$178,"&gt;="&amp;DATE(2026,1,1),'2024'!$AD$5:$AD$178,"&lt;"&amp;EDATE(DATE(2026,1,1),1)))</f>
        <v/>
      </c>
      <c r="D55" s="6">
        <f>IF(DATE(2026,1,1)&gt;TODAY(),"",COUNTIFS('2024'!$AG$5:$AG$178,"&gt;="&amp;DATE(2026,1,1),'2024'!$AG$5:$AG$178,"&lt;"&amp;EDATE(DATE(2026,1,1),1)))</f>
        <v/>
      </c>
      <c r="E55" s="7">
        <f>IF(DATE(2026,1,1)&gt;TODAY(),"",SUMIFS('2024'!$X$5:$X$178,'2024'!$AG$5:$AG$178,"&gt;="&amp;DATE(2026,1,1),'2024'!$AG$5:$AG$178,"&lt;"&amp;EDATE(DATE(2026,1,1),1)))</f>
        <v/>
      </c>
      <c r="F55" s="7">
        <f>IF(N(D55)=0,"",E55/D55)</f>
        <v/>
      </c>
      <c r="G55" s="7">
        <f>IF(E55="","",E55/2)</f>
        <v/>
      </c>
      <c r="H55" s="7">
        <f>IF(DATE(2026,1,1)&gt;TODAY(),"",SUMIFS('2024'!$V$5:$V$178,'2024'!$AG$5:$AG$178,"&gt;="&amp;DATE(2026,1,1),'2024'!$AG$5:$AG$178,"&lt;"&amp;EDATE(DATE(2026,1,1),1)))</f>
        <v/>
      </c>
      <c r="I55" s="6">
        <f>IF(N(D55)=0,"",(SUMIFS('2024'!$AH$5:$AH$178,'2024'!$AG$5:$AG$178,"&gt;="&amp;DATE(2026,1,1),'2024'!$AG$5:$AG$178,"&lt;"&amp;EDATE(DATE(2026,1,1),1)))/D55)</f>
        <v/>
      </c>
      <c r="J55" s="6">
        <f>IF(N(D55)=0,"",(SUMIFS('2024'!$AI$5:$AI$178,'2024'!$AG$5:$AG$178,"&gt;="&amp;DATE(2026,1,1),'2024'!$AG$5:$AG$178,"&lt;"&amp;EDATE(DATE(2026,1,1),1)))/D55)</f>
        <v/>
      </c>
    </row>
    <row r="56">
      <c r="B56" s="12">
        <f>IF(DATE(2026,2,1)&gt;TODAY(),"",DATE(2026,2,1))</f>
        <v/>
      </c>
      <c r="C56" s="6">
        <f>IF(DATE(2026,2,1)&gt;TODAY(),"",COUNTIFS('2024'!$AD$5:$AD$178,"&gt;="&amp;DATE(2026,2,1),'2024'!$AD$5:$AD$178,"&lt;"&amp;EDATE(DATE(2026,2,1),1)))</f>
        <v/>
      </c>
      <c r="D56" s="6">
        <f>IF(DATE(2026,2,1)&gt;TODAY(),"",COUNTIFS('2024'!$AG$5:$AG$178,"&gt;="&amp;DATE(2026,2,1),'2024'!$AG$5:$AG$178,"&lt;"&amp;EDATE(DATE(2026,2,1),1)))</f>
        <v/>
      </c>
      <c r="E56" s="7">
        <f>IF(DATE(2026,2,1)&gt;TODAY(),"",SUMIFS('2024'!$X$5:$X$178,'2024'!$AG$5:$AG$178,"&gt;="&amp;DATE(2026,2,1),'2024'!$AG$5:$AG$178,"&lt;"&amp;EDATE(DATE(2026,2,1),1)))</f>
        <v/>
      </c>
      <c r="F56" s="7">
        <f>IF(N(D56)=0,"",E56/D56)</f>
        <v/>
      </c>
      <c r="G56" s="7">
        <f>IF(E56="","",E56/2)</f>
        <v/>
      </c>
      <c r="H56" s="7">
        <f>IF(DATE(2026,2,1)&gt;TODAY(),"",SUMIFS('2024'!$V$5:$V$178,'2024'!$AG$5:$AG$178,"&gt;="&amp;DATE(2026,2,1),'2024'!$AG$5:$AG$178,"&lt;"&amp;EDATE(DATE(2026,2,1),1)))</f>
        <v/>
      </c>
      <c r="I56" s="6">
        <f>IF(N(D56)=0,"",(SUMIFS('2024'!$AH$5:$AH$178,'2024'!$AG$5:$AG$178,"&gt;="&amp;DATE(2026,2,1),'2024'!$AG$5:$AG$178,"&lt;"&amp;EDATE(DATE(2026,2,1),1)))/D56)</f>
        <v/>
      </c>
      <c r="J56" s="6">
        <f>IF(N(D56)=0,"",(SUMIFS('2024'!$AI$5:$AI$178,'2024'!$AG$5:$AG$178,"&gt;="&amp;DATE(2026,2,1),'2024'!$AG$5:$AG$178,"&lt;"&amp;EDATE(DATE(2026,2,1),1)))/D56)</f>
        <v/>
      </c>
    </row>
    <row r="57">
      <c r="B57" s="12">
        <f>IF(DATE(2026,3,1)&gt;TODAY(),"",DATE(2026,3,1))</f>
        <v/>
      </c>
      <c r="C57" s="6">
        <f>IF(DATE(2026,3,1)&gt;TODAY(),"",COUNTIFS('2024'!$AD$5:$AD$178,"&gt;="&amp;DATE(2026,3,1),'2024'!$AD$5:$AD$178,"&lt;"&amp;EDATE(DATE(2026,3,1),1)))</f>
        <v/>
      </c>
      <c r="D57" s="6">
        <f>IF(DATE(2026,3,1)&gt;TODAY(),"",COUNTIFS('2024'!$AG$5:$AG$178,"&gt;="&amp;DATE(2026,3,1),'2024'!$AG$5:$AG$178,"&lt;"&amp;EDATE(DATE(2026,3,1),1)))</f>
        <v/>
      </c>
      <c r="E57" s="7">
        <f>IF(DATE(2026,3,1)&gt;TODAY(),"",SUMIFS('2024'!$X$5:$X$178,'2024'!$AG$5:$AG$178,"&gt;="&amp;DATE(2026,3,1),'2024'!$AG$5:$AG$178,"&lt;"&amp;EDATE(DATE(2026,3,1),1)))</f>
        <v/>
      </c>
      <c r="F57" s="7">
        <f>IF(N(D57)=0,"",E57/D57)</f>
        <v/>
      </c>
      <c r="G57" s="7">
        <f>IF(E57="","",E57/2)</f>
        <v/>
      </c>
      <c r="H57" s="7">
        <f>IF(DATE(2026,3,1)&gt;TODAY(),"",SUMIFS('2024'!$V$5:$V$178,'2024'!$AG$5:$AG$178,"&gt;="&amp;DATE(2026,3,1),'2024'!$AG$5:$AG$178,"&lt;"&amp;EDATE(DATE(2026,3,1),1)))</f>
        <v/>
      </c>
      <c r="I57" s="6">
        <f>IF(N(D57)=0,"",(SUMIFS('2024'!$AH$5:$AH$178,'2024'!$AG$5:$AG$178,"&gt;="&amp;DATE(2026,3,1),'2024'!$AG$5:$AG$178,"&lt;"&amp;EDATE(DATE(2026,3,1),1)))/D57)</f>
        <v/>
      </c>
      <c r="J57" s="6">
        <f>IF(N(D57)=0,"",(SUMIFS('2024'!$AI$5:$AI$178,'2024'!$AG$5:$AG$178,"&gt;="&amp;DATE(2026,3,1),'2024'!$AG$5:$AG$178,"&lt;"&amp;EDATE(DATE(2026,3,1),1)))/D57)</f>
        <v/>
      </c>
    </row>
    <row r="58">
      <c r="B58" s="12">
        <f>IF(DATE(2026,4,1)&gt;TODAY(),"",DATE(2026,4,1))</f>
        <v/>
      </c>
      <c r="C58" s="6">
        <f>IF(DATE(2026,4,1)&gt;TODAY(),"",COUNTIFS('2024'!$AD$5:$AD$178,"&gt;="&amp;DATE(2026,4,1),'2024'!$AD$5:$AD$178,"&lt;"&amp;EDATE(DATE(2026,4,1),1)))</f>
        <v/>
      </c>
      <c r="D58" s="6">
        <f>IF(DATE(2026,4,1)&gt;TODAY(),"",COUNTIFS('2024'!$AG$5:$AG$178,"&gt;="&amp;DATE(2026,4,1),'2024'!$AG$5:$AG$178,"&lt;"&amp;EDATE(DATE(2026,4,1),1)))</f>
        <v/>
      </c>
      <c r="E58" s="7">
        <f>IF(DATE(2026,4,1)&gt;TODAY(),"",SUMIFS('2024'!$X$5:$X$178,'2024'!$AG$5:$AG$178,"&gt;="&amp;DATE(2026,4,1),'2024'!$AG$5:$AG$178,"&lt;"&amp;EDATE(DATE(2026,4,1),1)))</f>
        <v/>
      </c>
      <c r="F58" s="7">
        <f>IF(N(D58)=0,"",E58/D58)</f>
        <v/>
      </c>
      <c r="G58" s="7">
        <f>IF(E58="","",E58/2)</f>
        <v/>
      </c>
      <c r="H58" s="7">
        <f>IF(DATE(2026,4,1)&gt;TODAY(),"",SUMIFS('2024'!$V$5:$V$178,'2024'!$AG$5:$AG$178,"&gt;="&amp;DATE(2026,4,1),'2024'!$AG$5:$AG$178,"&lt;"&amp;EDATE(DATE(2026,4,1),1)))</f>
        <v/>
      </c>
      <c r="I58" s="6">
        <f>IF(N(D58)=0,"",(SUMIFS('2024'!$AH$5:$AH$178,'2024'!$AG$5:$AG$178,"&gt;="&amp;DATE(2026,4,1),'2024'!$AG$5:$AG$178,"&lt;"&amp;EDATE(DATE(2026,4,1),1)))/D58)</f>
        <v/>
      </c>
      <c r="J58" s="6">
        <f>IF(N(D58)=0,"",(SUMIFS('2024'!$AI$5:$AI$178,'2024'!$AG$5:$AG$178,"&gt;="&amp;DATE(2026,4,1),'2024'!$AG$5:$AG$178,"&lt;"&amp;EDATE(DATE(2026,4,1),1)))/D58)</f>
        <v/>
      </c>
    </row>
    <row r="59">
      <c r="B59" s="12">
        <f>IF(DATE(2026,5,1)&gt;TODAY(),"",DATE(2026,5,1))</f>
        <v/>
      </c>
      <c r="C59" s="6">
        <f>IF(DATE(2026,5,1)&gt;TODAY(),"",COUNTIFS('2024'!$AD$5:$AD$178,"&gt;="&amp;DATE(2026,5,1),'2024'!$AD$5:$AD$178,"&lt;"&amp;EDATE(DATE(2026,5,1),1)))</f>
        <v/>
      </c>
      <c r="D59" s="6">
        <f>IF(DATE(2026,5,1)&gt;TODAY(),"",COUNTIFS('2024'!$AG$5:$AG$178,"&gt;="&amp;DATE(2026,5,1),'2024'!$AG$5:$AG$178,"&lt;"&amp;EDATE(DATE(2026,5,1),1)))</f>
        <v/>
      </c>
      <c r="E59" s="7">
        <f>IF(DATE(2026,5,1)&gt;TODAY(),"",SUMIFS('2024'!$X$5:$X$178,'2024'!$AG$5:$AG$178,"&gt;="&amp;DATE(2026,5,1),'2024'!$AG$5:$AG$178,"&lt;"&amp;EDATE(DATE(2026,5,1),1)))</f>
        <v/>
      </c>
      <c r="F59" s="7">
        <f>IF(N(D59)=0,"",E59/D59)</f>
        <v/>
      </c>
      <c r="G59" s="7">
        <f>IF(E59="","",E59/2)</f>
        <v/>
      </c>
      <c r="H59" s="7">
        <f>IF(DATE(2026,5,1)&gt;TODAY(),"",SUMIFS('2024'!$V$5:$V$178,'2024'!$AG$5:$AG$178,"&gt;="&amp;DATE(2026,5,1),'2024'!$AG$5:$AG$178,"&lt;"&amp;EDATE(DATE(2026,5,1),1)))</f>
        <v/>
      </c>
      <c r="I59" s="6">
        <f>IF(N(D59)=0,"",(SUMIFS('2024'!$AH$5:$AH$178,'2024'!$AG$5:$AG$178,"&gt;="&amp;DATE(2026,5,1),'2024'!$AG$5:$AG$178,"&lt;"&amp;EDATE(DATE(2026,5,1),1)))/D59)</f>
        <v/>
      </c>
      <c r="J59" s="6">
        <f>IF(N(D59)=0,"",(SUMIFS('2024'!$AI$5:$AI$178,'2024'!$AG$5:$AG$178,"&gt;="&amp;DATE(2026,5,1),'2024'!$AG$5:$AG$178,"&lt;"&amp;EDATE(DATE(2026,5,1),1)))/D59)</f>
        <v/>
      </c>
    </row>
    <row r="60">
      <c r="B60" s="12">
        <f>IF(DATE(2026,6,1)&gt;TODAY(),"",DATE(2026,6,1))</f>
        <v/>
      </c>
      <c r="C60" s="6">
        <f>IF(DATE(2026,6,1)&gt;TODAY(),"",COUNTIFS('2024'!$AD$5:$AD$178,"&gt;="&amp;DATE(2026,6,1),'2024'!$AD$5:$AD$178,"&lt;"&amp;EDATE(DATE(2026,6,1),1)))</f>
        <v/>
      </c>
      <c r="D60" s="6">
        <f>IF(DATE(2026,6,1)&gt;TODAY(),"",COUNTIFS('2024'!$AG$5:$AG$178,"&gt;="&amp;DATE(2026,6,1),'2024'!$AG$5:$AG$178,"&lt;"&amp;EDATE(DATE(2026,6,1),1)))</f>
        <v/>
      </c>
      <c r="E60" s="7">
        <f>IF(DATE(2026,6,1)&gt;TODAY(),"",SUMIFS('2024'!$X$5:$X$178,'2024'!$AG$5:$AG$178,"&gt;="&amp;DATE(2026,6,1),'2024'!$AG$5:$AG$178,"&lt;"&amp;EDATE(DATE(2026,6,1),1)))</f>
        <v/>
      </c>
      <c r="F60" s="7">
        <f>IF(N(D60)=0,"",E60/D60)</f>
        <v/>
      </c>
      <c r="G60" s="7">
        <f>IF(E60="","",E60/2)</f>
        <v/>
      </c>
      <c r="H60" s="7">
        <f>IF(DATE(2026,6,1)&gt;TODAY(),"",SUMIFS('2024'!$V$5:$V$178,'2024'!$AG$5:$AG$178,"&gt;="&amp;DATE(2026,6,1),'2024'!$AG$5:$AG$178,"&lt;"&amp;EDATE(DATE(2026,6,1),1)))</f>
        <v/>
      </c>
      <c r="I60" s="6">
        <f>IF(N(D60)=0,"",(SUMIFS('2024'!$AH$5:$AH$178,'2024'!$AG$5:$AG$178,"&gt;="&amp;DATE(2026,6,1),'2024'!$AG$5:$AG$178,"&lt;"&amp;EDATE(DATE(2026,6,1),1)))/D60)</f>
        <v/>
      </c>
      <c r="J60" s="6">
        <f>IF(N(D60)=0,"",(SUMIFS('2024'!$AI$5:$AI$178,'2024'!$AG$5:$AG$178,"&gt;="&amp;DATE(2026,6,1),'2024'!$AG$5:$AG$178,"&lt;"&amp;EDATE(DATE(2026,6,1),1)))/D60)</f>
        <v/>
      </c>
    </row>
    <row r="61">
      <c r="B61" s="12">
        <f>IF(DATE(2026,7,1)&gt;TODAY(),"",DATE(2026,7,1))</f>
        <v/>
      </c>
      <c r="C61" s="6">
        <f>IF(DATE(2026,7,1)&gt;TODAY(),"",COUNTIFS('2024'!$AD$5:$AD$178,"&gt;="&amp;DATE(2026,7,1),'2024'!$AD$5:$AD$178,"&lt;"&amp;EDATE(DATE(2026,7,1),1)))</f>
        <v/>
      </c>
      <c r="D61" s="6">
        <f>IF(DATE(2026,7,1)&gt;TODAY(),"",COUNTIFS('2024'!$AG$5:$AG$178,"&gt;="&amp;DATE(2026,7,1),'2024'!$AG$5:$AG$178,"&lt;"&amp;EDATE(DATE(2026,7,1),1)))</f>
        <v/>
      </c>
      <c r="E61" s="7">
        <f>IF(DATE(2026,7,1)&gt;TODAY(),"",SUMIFS('2024'!$X$5:$X$178,'2024'!$AG$5:$AG$178,"&gt;="&amp;DATE(2026,7,1),'2024'!$AG$5:$AG$178,"&lt;"&amp;EDATE(DATE(2026,7,1),1)))</f>
        <v/>
      </c>
      <c r="F61" s="7">
        <f>IF(N(D61)=0,"",E61/D61)</f>
        <v/>
      </c>
      <c r="G61" s="7">
        <f>IF(E61="","",E61/2)</f>
        <v/>
      </c>
      <c r="H61" s="7">
        <f>IF(DATE(2026,7,1)&gt;TODAY(),"",SUMIFS('2024'!$V$5:$V$178,'2024'!$AG$5:$AG$178,"&gt;="&amp;DATE(2026,7,1),'2024'!$AG$5:$AG$178,"&lt;"&amp;EDATE(DATE(2026,7,1),1)))</f>
        <v/>
      </c>
      <c r="I61" s="6">
        <f>IF(N(D61)=0,"",(SUMIFS('2024'!$AH$5:$AH$178,'2024'!$AG$5:$AG$178,"&gt;="&amp;DATE(2026,7,1),'2024'!$AG$5:$AG$178,"&lt;"&amp;EDATE(DATE(2026,7,1),1)))/D61)</f>
        <v/>
      </c>
      <c r="J61" s="6">
        <f>IF(N(D61)=0,"",(SUMIFS('2024'!$AI$5:$AI$178,'2024'!$AG$5:$AG$178,"&gt;="&amp;DATE(2026,7,1),'2024'!$AG$5:$AG$178,"&lt;"&amp;EDATE(DATE(2026,7,1),1)))/D61)</f>
        <v/>
      </c>
    </row>
    <row r="62">
      <c r="B62" s="12">
        <f>IF(DATE(2026,8,1)&gt;TODAY(),"",DATE(2026,8,1))</f>
        <v/>
      </c>
      <c r="C62" s="6">
        <f>IF(DATE(2026,8,1)&gt;TODAY(),"",COUNTIFS('2024'!$AD$5:$AD$178,"&gt;="&amp;DATE(2026,8,1),'2024'!$AD$5:$AD$178,"&lt;"&amp;EDATE(DATE(2026,8,1),1)))</f>
        <v/>
      </c>
      <c r="D62" s="6">
        <f>IF(DATE(2026,8,1)&gt;TODAY(),"",COUNTIFS('2024'!$AG$5:$AG$178,"&gt;="&amp;DATE(2026,8,1),'2024'!$AG$5:$AG$178,"&lt;"&amp;EDATE(DATE(2026,8,1),1)))</f>
        <v/>
      </c>
      <c r="E62" s="7">
        <f>IF(DATE(2026,8,1)&gt;TODAY(),"",SUMIFS('2024'!$X$5:$X$178,'2024'!$AG$5:$AG$178,"&gt;="&amp;DATE(2026,8,1),'2024'!$AG$5:$AG$178,"&lt;"&amp;EDATE(DATE(2026,8,1),1)))</f>
        <v/>
      </c>
      <c r="F62" s="7">
        <f>IF(N(D62)=0,"",E62/D62)</f>
        <v/>
      </c>
      <c r="G62" s="7">
        <f>IF(E62="","",E62/2)</f>
        <v/>
      </c>
      <c r="H62" s="7">
        <f>IF(DATE(2026,8,1)&gt;TODAY(),"",SUMIFS('2024'!$V$5:$V$178,'2024'!$AG$5:$AG$178,"&gt;="&amp;DATE(2026,8,1),'2024'!$AG$5:$AG$178,"&lt;"&amp;EDATE(DATE(2026,8,1),1)))</f>
        <v/>
      </c>
      <c r="I62" s="6">
        <f>IF(N(D62)=0,"",(SUMIFS('2024'!$AH$5:$AH$178,'2024'!$AG$5:$AG$178,"&gt;="&amp;DATE(2026,8,1),'2024'!$AG$5:$AG$178,"&lt;"&amp;EDATE(DATE(2026,8,1),1)))/D62)</f>
        <v/>
      </c>
      <c r="J62" s="6">
        <f>IF(N(D62)=0,"",(SUMIFS('2024'!$AI$5:$AI$178,'2024'!$AG$5:$AG$178,"&gt;="&amp;DATE(2026,8,1),'2024'!$AG$5:$AG$178,"&lt;"&amp;EDATE(DATE(2026,8,1),1)))/D62)</f>
        <v/>
      </c>
    </row>
    <row r="63">
      <c r="B63" s="12">
        <f>IF(DATE(2026,9,1)&gt;TODAY(),"",DATE(2026,9,1))</f>
        <v/>
      </c>
      <c r="C63" s="6">
        <f>IF(DATE(2026,9,1)&gt;TODAY(),"",COUNTIFS('2024'!$AD$5:$AD$178,"&gt;="&amp;DATE(2026,9,1),'2024'!$AD$5:$AD$178,"&lt;"&amp;EDATE(DATE(2026,9,1),1)))</f>
        <v/>
      </c>
      <c r="D63" s="6">
        <f>IF(DATE(2026,9,1)&gt;TODAY(),"",COUNTIFS('2024'!$AG$5:$AG$178,"&gt;="&amp;DATE(2026,9,1),'2024'!$AG$5:$AG$178,"&lt;"&amp;EDATE(DATE(2026,9,1),1)))</f>
        <v/>
      </c>
      <c r="E63" s="7">
        <f>IF(DATE(2026,9,1)&gt;TODAY(),"",SUMIFS('2024'!$X$5:$X$178,'2024'!$AG$5:$AG$178,"&gt;="&amp;DATE(2026,9,1),'2024'!$AG$5:$AG$178,"&lt;"&amp;EDATE(DATE(2026,9,1),1)))</f>
        <v/>
      </c>
      <c r="F63" s="7">
        <f>IF(N(D63)=0,"",E63/D63)</f>
        <v/>
      </c>
      <c r="G63" s="7">
        <f>IF(E63="","",E63/2)</f>
        <v/>
      </c>
      <c r="H63" s="7">
        <f>IF(DATE(2026,9,1)&gt;TODAY(),"",SUMIFS('2024'!$V$5:$V$178,'2024'!$AG$5:$AG$178,"&gt;="&amp;DATE(2026,9,1),'2024'!$AG$5:$AG$178,"&lt;"&amp;EDATE(DATE(2026,9,1),1)))</f>
        <v/>
      </c>
      <c r="I63" s="6">
        <f>IF(N(D63)=0,"",(SUMIFS('2024'!$AH$5:$AH$178,'2024'!$AG$5:$AG$178,"&gt;="&amp;DATE(2026,9,1),'2024'!$AG$5:$AG$178,"&lt;"&amp;EDATE(DATE(2026,9,1),1)))/D63)</f>
        <v/>
      </c>
      <c r="J63" s="6">
        <f>IF(N(D63)=0,"",(SUMIFS('2024'!$AI$5:$AI$178,'2024'!$AG$5:$AG$178,"&gt;="&amp;DATE(2026,9,1),'2024'!$AG$5:$AG$178,"&lt;"&amp;EDATE(DATE(2026,9,1),1)))/D63)</f>
        <v/>
      </c>
    </row>
    <row r="64">
      <c r="B64" s="12">
        <f>IF(DATE(2026,10,1)&gt;TODAY(),"",DATE(2026,10,1))</f>
        <v/>
      </c>
      <c r="C64" s="6">
        <f>IF(DATE(2026,10,1)&gt;TODAY(),"",COUNTIFS('2024'!$AD$5:$AD$178,"&gt;="&amp;DATE(2026,10,1),'2024'!$AD$5:$AD$178,"&lt;"&amp;EDATE(DATE(2026,10,1),1)))</f>
        <v/>
      </c>
      <c r="D64" s="6">
        <f>IF(DATE(2026,10,1)&gt;TODAY(),"",COUNTIFS('2024'!$AG$5:$AG$178,"&gt;="&amp;DATE(2026,10,1),'2024'!$AG$5:$AG$178,"&lt;"&amp;EDATE(DATE(2026,10,1),1)))</f>
        <v/>
      </c>
      <c r="E64" s="7">
        <f>IF(DATE(2026,10,1)&gt;TODAY(),"",SUMIFS('2024'!$X$5:$X$178,'2024'!$AG$5:$AG$178,"&gt;="&amp;DATE(2026,10,1),'2024'!$AG$5:$AG$178,"&lt;"&amp;EDATE(DATE(2026,10,1),1)))</f>
        <v/>
      </c>
      <c r="F64" s="7">
        <f>IF(N(D64)=0,"",E64/D64)</f>
        <v/>
      </c>
      <c r="G64" s="7">
        <f>IF(E64="","",E64/2)</f>
        <v/>
      </c>
      <c r="H64" s="7">
        <f>IF(DATE(2026,10,1)&gt;TODAY(),"",SUMIFS('2024'!$V$5:$V$178,'2024'!$AG$5:$AG$178,"&gt;="&amp;DATE(2026,10,1),'2024'!$AG$5:$AG$178,"&lt;"&amp;EDATE(DATE(2026,10,1),1)))</f>
        <v/>
      </c>
      <c r="I64" s="6">
        <f>IF(N(D64)=0,"",(SUMIFS('2024'!$AH$5:$AH$178,'2024'!$AG$5:$AG$178,"&gt;="&amp;DATE(2026,10,1),'2024'!$AG$5:$AG$178,"&lt;"&amp;EDATE(DATE(2026,10,1),1)))/D64)</f>
        <v/>
      </c>
      <c r="J64" s="6">
        <f>IF(N(D64)=0,"",(SUMIFS('2024'!$AI$5:$AI$178,'2024'!$AG$5:$AG$178,"&gt;="&amp;DATE(2026,10,1),'2024'!$AG$5:$AG$178,"&lt;"&amp;EDATE(DATE(2026,10,1),1)))/D64)</f>
        <v/>
      </c>
    </row>
    <row r="65">
      <c r="B65" s="12">
        <f>IF(DATE(2026,11,1)&gt;TODAY(),"",DATE(2026,11,1))</f>
        <v/>
      </c>
      <c r="C65" s="6">
        <f>IF(DATE(2026,11,1)&gt;TODAY(),"",COUNTIFS('2024'!$AD$5:$AD$178,"&gt;="&amp;DATE(2026,11,1),'2024'!$AD$5:$AD$178,"&lt;"&amp;EDATE(DATE(2026,11,1),1)))</f>
        <v/>
      </c>
      <c r="D65" s="6">
        <f>IF(DATE(2026,11,1)&gt;TODAY(),"",COUNTIFS('2024'!$AG$5:$AG$178,"&gt;="&amp;DATE(2026,11,1),'2024'!$AG$5:$AG$178,"&lt;"&amp;EDATE(DATE(2026,11,1),1)))</f>
        <v/>
      </c>
      <c r="E65" s="7">
        <f>IF(DATE(2026,11,1)&gt;TODAY(),"",SUMIFS('2024'!$X$5:$X$178,'2024'!$AG$5:$AG$178,"&gt;="&amp;DATE(2026,11,1),'2024'!$AG$5:$AG$178,"&lt;"&amp;EDATE(DATE(2026,11,1),1)))</f>
        <v/>
      </c>
      <c r="F65" s="7">
        <f>IF(N(D65)=0,"",E65/D65)</f>
        <v/>
      </c>
      <c r="G65" s="7">
        <f>IF(E65="","",E65/2)</f>
        <v/>
      </c>
      <c r="H65" s="7">
        <f>IF(DATE(2026,11,1)&gt;TODAY(),"",SUMIFS('2024'!$V$5:$V$178,'2024'!$AG$5:$AG$178,"&gt;="&amp;DATE(2026,11,1),'2024'!$AG$5:$AG$178,"&lt;"&amp;EDATE(DATE(2026,11,1),1)))</f>
        <v/>
      </c>
      <c r="I65" s="6">
        <f>IF(N(D65)=0,"",(SUMIFS('2024'!$AH$5:$AH$178,'2024'!$AG$5:$AG$178,"&gt;="&amp;DATE(2026,11,1),'2024'!$AG$5:$AG$178,"&lt;"&amp;EDATE(DATE(2026,11,1),1)))/D65)</f>
        <v/>
      </c>
      <c r="J65" s="6">
        <f>IF(N(D65)=0,"",(SUMIFS('2024'!$AI$5:$AI$178,'2024'!$AG$5:$AG$178,"&gt;="&amp;DATE(2026,11,1),'2024'!$AG$5:$AG$178,"&lt;"&amp;EDATE(DATE(2026,11,1),1)))/D65)</f>
        <v/>
      </c>
    </row>
    <row r="66">
      <c r="B66" s="12">
        <f>IF(DATE(2026,12,1)&gt;TODAY(),"",DATE(2026,12,1))</f>
        <v/>
      </c>
      <c r="C66" s="6">
        <f>IF(DATE(2026,12,1)&gt;TODAY(),"",COUNTIFS('2024'!$AD$5:$AD$178,"&gt;="&amp;DATE(2026,12,1),'2024'!$AD$5:$AD$178,"&lt;"&amp;EDATE(DATE(2026,12,1),1)))</f>
        <v/>
      </c>
      <c r="D66" s="6">
        <f>IF(DATE(2026,12,1)&gt;TODAY(),"",COUNTIFS('2024'!$AG$5:$AG$178,"&gt;="&amp;DATE(2026,12,1),'2024'!$AG$5:$AG$178,"&lt;"&amp;EDATE(DATE(2026,12,1),1)))</f>
        <v/>
      </c>
      <c r="E66" s="7">
        <f>IF(DATE(2026,12,1)&gt;TODAY(),"",SUMIFS('2024'!$X$5:$X$178,'2024'!$AG$5:$AG$178,"&gt;="&amp;DATE(2026,12,1),'2024'!$AG$5:$AG$178,"&lt;"&amp;EDATE(DATE(2026,12,1),1)))</f>
        <v/>
      </c>
      <c r="F66" s="7">
        <f>IF(N(D66)=0,"",E66/D66)</f>
        <v/>
      </c>
      <c r="G66" s="7">
        <f>IF(E66="","",E66/2)</f>
        <v/>
      </c>
      <c r="H66" s="7">
        <f>IF(DATE(2026,12,1)&gt;TODAY(),"",SUMIFS('2024'!$V$5:$V$178,'2024'!$AG$5:$AG$178,"&gt;="&amp;DATE(2026,12,1),'2024'!$AG$5:$AG$178,"&lt;"&amp;EDATE(DATE(2026,12,1),1)))</f>
        <v/>
      </c>
      <c r="I66" s="6">
        <f>IF(N(D66)=0,"",(SUMIFS('2024'!$AH$5:$AH$178,'2024'!$AG$5:$AG$178,"&gt;="&amp;DATE(2026,12,1),'2024'!$AG$5:$AG$178,"&lt;"&amp;EDATE(DATE(2026,12,1),1)))/D66)</f>
        <v/>
      </c>
      <c r="J66" s="6">
        <f>IF(N(D66)=0,"",(SUMIFS('2024'!$AI$5:$AI$178,'2024'!$AG$5:$AG$178,"&gt;="&amp;DATE(2026,12,1),'2024'!$AG$5:$AG$178,"&lt;"&amp;EDATE(DATE(2026,12,1),1)))/D66)</f>
        <v/>
      </c>
    </row>
    <row r="67">
      <c r="B67" s="12">
        <f>IF(DATE(2027,1,1)&gt;TODAY(),"",DATE(2027,1,1))</f>
        <v/>
      </c>
      <c r="C67" s="6">
        <f>IF(DATE(2027,1,1)&gt;TODAY(),"",COUNTIFS('2024'!$AD$5:$AD$178,"&gt;="&amp;DATE(2027,1,1),'2024'!$AD$5:$AD$178,"&lt;"&amp;EDATE(DATE(2027,1,1),1)))</f>
        <v/>
      </c>
      <c r="D67" s="6">
        <f>IF(DATE(2027,1,1)&gt;TODAY(),"",COUNTIFS('2024'!$AG$5:$AG$178,"&gt;="&amp;DATE(2027,1,1),'2024'!$AG$5:$AG$178,"&lt;"&amp;EDATE(DATE(2027,1,1),1)))</f>
        <v/>
      </c>
      <c r="E67" s="7">
        <f>IF(DATE(2027,1,1)&gt;TODAY(),"",SUMIFS('2024'!$X$5:$X$178,'2024'!$AG$5:$AG$178,"&gt;="&amp;DATE(2027,1,1),'2024'!$AG$5:$AG$178,"&lt;"&amp;EDATE(DATE(2027,1,1),1)))</f>
        <v/>
      </c>
      <c r="F67" s="7">
        <f>IF(N(D67)=0,"",E67/D67)</f>
        <v/>
      </c>
      <c r="G67" s="7">
        <f>IF(E67="","",E67/2)</f>
        <v/>
      </c>
      <c r="H67" s="7">
        <f>IF(DATE(2027,1,1)&gt;TODAY(),"",SUMIFS('2024'!$V$5:$V$178,'2024'!$AG$5:$AG$178,"&gt;="&amp;DATE(2027,1,1),'2024'!$AG$5:$AG$178,"&lt;"&amp;EDATE(DATE(2027,1,1),1)))</f>
        <v/>
      </c>
      <c r="I67" s="6">
        <f>IF(N(D67)=0,"",(SUMIFS('2024'!$AH$5:$AH$178,'2024'!$AG$5:$AG$178,"&gt;="&amp;DATE(2027,1,1),'2024'!$AG$5:$AG$178,"&lt;"&amp;EDATE(DATE(2027,1,1),1)))/D67)</f>
        <v/>
      </c>
      <c r="J67" s="6">
        <f>IF(N(D67)=0,"",(SUMIFS('2024'!$AI$5:$AI$178,'2024'!$AG$5:$AG$178,"&gt;="&amp;DATE(2027,1,1),'2024'!$AG$5:$AG$178,"&lt;"&amp;EDATE(DATE(2027,1,1),1)))/D67)</f>
        <v/>
      </c>
    </row>
    <row r="68">
      <c r="B68" s="12">
        <f>IF(DATE(2027,2,1)&gt;TODAY(),"",DATE(2027,2,1))</f>
        <v/>
      </c>
      <c r="C68" s="6">
        <f>IF(DATE(2027,2,1)&gt;TODAY(),"",COUNTIFS('2024'!$AD$5:$AD$178,"&gt;="&amp;DATE(2027,2,1),'2024'!$AD$5:$AD$178,"&lt;"&amp;EDATE(DATE(2027,2,1),1)))</f>
        <v/>
      </c>
      <c r="D68" s="6">
        <f>IF(DATE(2027,2,1)&gt;TODAY(),"",COUNTIFS('2024'!$AG$5:$AG$178,"&gt;="&amp;DATE(2027,2,1),'2024'!$AG$5:$AG$178,"&lt;"&amp;EDATE(DATE(2027,2,1),1)))</f>
        <v/>
      </c>
      <c r="E68" s="7">
        <f>IF(DATE(2027,2,1)&gt;TODAY(),"",SUMIFS('2024'!$X$5:$X$178,'2024'!$AG$5:$AG$178,"&gt;="&amp;DATE(2027,2,1),'2024'!$AG$5:$AG$178,"&lt;"&amp;EDATE(DATE(2027,2,1),1)))</f>
        <v/>
      </c>
      <c r="F68" s="7">
        <f>IF(N(D68)=0,"",E68/D68)</f>
        <v/>
      </c>
      <c r="G68" s="7">
        <f>IF(E68="","",E68/2)</f>
        <v/>
      </c>
      <c r="H68" s="7">
        <f>IF(DATE(2027,2,1)&gt;TODAY(),"",SUMIFS('2024'!$V$5:$V$178,'2024'!$AG$5:$AG$178,"&gt;="&amp;DATE(2027,2,1),'2024'!$AG$5:$AG$178,"&lt;"&amp;EDATE(DATE(2027,2,1),1)))</f>
        <v/>
      </c>
      <c r="I68" s="6">
        <f>IF(N(D68)=0,"",(SUMIFS('2024'!$AH$5:$AH$178,'2024'!$AG$5:$AG$178,"&gt;="&amp;DATE(2027,2,1),'2024'!$AG$5:$AG$178,"&lt;"&amp;EDATE(DATE(2027,2,1),1)))/D68)</f>
        <v/>
      </c>
      <c r="J68" s="6">
        <f>IF(N(D68)=0,"",(SUMIFS('2024'!$AI$5:$AI$178,'2024'!$AG$5:$AG$178,"&gt;="&amp;DATE(2027,2,1),'2024'!$AG$5:$AG$178,"&lt;"&amp;EDATE(DATE(2027,2,1),1)))/D68)</f>
        <v/>
      </c>
    </row>
    <row r="69">
      <c r="B69" s="12">
        <f>IF(DATE(2027,3,1)&gt;TODAY(),"",DATE(2027,3,1))</f>
        <v/>
      </c>
      <c r="C69" s="6">
        <f>IF(DATE(2027,3,1)&gt;TODAY(),"",COUNTIFS('2024'!$AD$5:$AD$178,"&gt;="&amp;DATE(2027,3,1),'2024'!$AD$5:$AD$178,"&lt;"&amp;EDATE(DATE(2027,3,1),1)))</f>
        <v/>
      </c>
      <c r="D69" s="6">
        <f>IF(DATE(2027,3,1)&gt;TODAY(),"",COUNTIFS('2024'!$AG$5:$AG$178,"&gt;="&amp;DATE(2027,3,1),'2024'!$AG$5:$AG$178,"&lt;"&amp;EDATE(DATE(2027,3,1),1)))</f>
        <v/>
      </c>
      <c r="E69" s="7">
        <f>IF(DATE(2027,3,1)&gt;TODAY(),"",SUMIFS('2024'!$X$5:$X$178,'2024'!$AG$5:$AG$178,"&gt;="&amp;DATE(2027,3,1),'2024'!$AG$5:$AG$178,"&lt;"&amp;EDATE(DATE(2027,3,1),1)))</f>
        <v/>
      </c>
      <c r="F69" s="7">
        <f>IF(N(D69)=0,"",E69/D69)</f>
        <v/>
      </c>
      <c r="G69" s="7">
        <f>IF(E69="","",E69/2)</f>
        <v/>
      </c>
      <c r="H69" s="7">
        <f>IF(DATE(2027,3,1)&gt;TODAY(),"",SUMIFS('2024'!$V$5:$V$178,'2024'!$AG$5:$AG$178,"&gt;="&amp;DATE(2027,3,1),'2024'!$AG$5:$AG$178,"&lt;"&amp;EDATE(DATE(2027,3,1),1)))</f>
        <v/>
      </c>
      <c r="I69" s="6">
        <f>IF(N(D69)=0,"",(SUMIFS('2024'!$AH$5:$AH$178,'2024'!$AG$5:$AG$178,"&gt;="&amp;DATE(2027,3,1),'2024'!$AG$5:$AG$178,"&lt;"&amp;EDATE(DATE(2027,3,1),1)))/D69)</f>
        <v/>
      </c>
      <c r="J69" s="6">
        <f>IF(N(D69)=0,"",(SUMIFS('2024'!$AI$5:$AI$178,'2024'!$AG$5:$AG$178,"&gt;="&amp;DATE(2027,3,1),'2024'!$AG$5:$AG$178,"&lt;"&amp;EDATE(DATE(2027,3,1),1)))/D69)</f>
        <v/>
      </c>
    </row>
    <row r="70">
      <c r="B70" s="12">
        <f>IF(DATE(2027,4,1)&gt;TODAY(),"",DATE(2027,4,1))</f>
        <v/>
      </c>
      <c r="C70" s="6">
        <f>IF(DATE(2027,4,1)&gt;TODAY(),"",COUNTIFS('2024'!$AD$5:$AD$178,"&gt;="&amp;DATE(2027,4,1),'2024'!$AD$5:$AD$178,"&lt;"&amp;EDATE(DATE(2027,4,1),1)))</f>
        <v/>
      </c>
      <c r="D70" s="6">
        <f>IF(DATE(2027,4,1)&gt;TODAY(),"",COUNTIFS('2024'!$AG$5:$AG$178,"&gt;="&amp;DATE(2027,4,1),'2024'!$AG$5:$AG$178,"&lt;"&amp;EDATE(DATE(2027,4,1),1)))</f>
        <v/>
      </c>
      <c r="E70" s="7">
        <f>IF(DATE(2027,4,1)&gt;TODAY(),"",SUMIFS('2024'!$X$5:$X$178,'2024'!$AG$5:$AG$178,"&gt;="&amp;DATE(2027,4,1),'2024'!$AG$5:$AG$178,"&lt;"&amp;EDATE(DATE(2027,4,1),1)))</f>
        <v/>
      </c>
      <c r="F70" s="7">
        <f>IF(N(D70)=0,"",E70/D70)</f>
        <v/>
      </c>
      <c r="G70" s="7">
        <f>IF(E70="","",E70/2)</f>
        <v/>
      </c>
      <c r="H70" s="7">
        <f>IF(DATE(2027,4,1)&gt;TODAY(),"",SUMIFS('2024'!$V$5:$V$178,'2024'!$AG$5:$AG$178,"&gt;="&amp;DATE(2027,4,1),'2024'!$AG$5:$AG$178,"&lt;"&amp;EDATE(DATE(2027,4,1),1)))</f>
        <v/>
      </c>
      <c r="I70" s="6">
        <f>IF(N(D70)=0,"",(SUMIFS('2024'!$AH$5:$AH$178,'2024'!$AG$5:$AG$178,"&gt;="&amp;DATE(2027,4,1),'2024'!$AG$5:$AG$178,"&lt;"&amp;EDATE(DATE(2027,4,1),1)))/D70)</f>
        <v/>
      </c>
      <c r="J70" s="6">
        <f>IF(N(D70)=0,"",(SUMIFS('2024'!$AI$5:$AI$178,'2024'!$AG$5:$AG$178,"&gt;="&amp;DATE(2027,4,1),'2024'!$AG$5:$AG$178,"&lt;"&amp;EDATE(DATE(2027,4,1),1)))/D70)</f>
        <v/>
      </c>
    </row>
    <row r="71">
      <c r="B71" s="12">
        <f>IF(DATE(2027,5,1)&gt;TODAY(),"",DATE(2027,5,1))</f>
        <v/>
      </c>
      <c r="C71" s="6">
        <f>IF(DATE(2027,5,1)&gt;TODAY(),"",COUNTIFS('2024'!$AD$5:$AD$178,"&gt;="&amp;DATE(2027,5,1),'2024'!$AD$5:$AD$178,"&lt;"&amp;EDATE(DATE(2027,5,1),1)))</f>
        <v/>
      </c>
      <c r="D71" s="6">
        <f>IF(DATE(2027,5,1)&gt;TODAY(),"",COUNTIFS('2024'!$AG$5:$AG$178,"&gt;="&amp;DATE(2027,5,1),'2024'!$AG$5:$AG$178,"&lt;"&amp;EDATE(DATE(2027,5,1),1)))</f>
        <v/>
      </c>
      <c r="E71" s="7">
        <f>IF(DATE(2027,5,1)&gt;TODAY(),"",SUMIFS('2024'!$X$5:$X$178,'2024'!$AG$5:$AG$178,"&gt;="&amp;DATE(2027,5,1),'2024'!$AG$5:$AG$178,"&lt;"&amp;EDATE(DATE(2027,5,1),1)))</f>
        <v/>
      </c>
      <c r="F71" s="7">
        <f>IF(N(D71)=0,"",E71/D71)</f>
        <v/>
      </c>
      <c r="G71" s="7">
        <f>IF(E71="","",E71/2)</f>
        <v/>
      </c>
      <c r="H71" s="7">
        <f>IF(DATE(2027,5,1)&gt;TODAY(),"",SUMIFS('2024'!$V$5:$V$178,'2024'!$AG$5:$AG$178,"&gt;="&amp;DATE(2027,5,1),'2024'!$AG$5:$AG$178,"&lt;"&amp;EDATE(DATE(2027,5,1),1)))</f>
        <v/>
      </c>
      <c r="I71" s="6">
        <f>IF(N(D71)=0,"",(SUMIFS('2024'!$AH$5:$AH$178,'2024'!$AG$5:$AG$178,"&gt;="&amp;DATE(2027,5,1),'2024'!$AG$5:$AG$178,"&lt;"&amp;EDATE(DATE(2027,5,1),1)))/D71)</f>
        <v/>
      </c>
      <c r="J71" s="6">
        <f>IF(N(D71)=0,"",(SUMIFS('2024'!$AI$5:$AI$178,'2024'!$AG$5:$AG$178,"&gt;="&amp;DATE(2027,5,1),'2024'!$AG$5:$AG$178,"&lt;"&amp;EDATE(DATE(2027,5,1),1)))/D71)</f>
        <v/>
      </c>
    </row>
    <row r="72">
      <c r="B72" s="12">
        <f>IF(DATE(2027,6,1)&gt;TODAY(),"",DATE(2027,6,1))</f>
        <v/>
      </c>
      <c r="C72" s="6">
        <f>IF(DATE(2027,6,1)&gt;TODAY(),"",COUNTIFS('2024'!$AD$5:$AD$178,"&gt;="&amp;DATE(2027,6,1),'2024'!$AD$5:$AD$178,"&lt;"&amp;EDATE(DATE(2027,6,1),1)))</f>
        <v/>
      </c>
      <c r="D72" s="6">
        <f>IF(DATE(2027,6,1)&gt;TODAY(),"",COUNTIFS('2024'!$AG$5:$AG$178,"&gt;="&amp;DATE(2027,6,1),'2024'!$AG$5:$AG$178,"&lt;"&amp;EDATE(DATE(2027,6,1),1)))</f>
        <v/>
      </c>
      <c r="E72" s="7">
        <f>IF(DATE(2027,6,1)&gt;TODAY(),"",SUMIFS('2024'!$X$5:$X$178,'2024'!$AG$5:$AG$178,"&gt;="&amp;DATE(2027,6,1),'2024'!$AG$5:$AG$178,"&lt;"&amp;EDATE(DATE(2027,6,1),1)))</f>
        <v/>
      </c>
      <c r="F72" s="7">
        <f>IF(N(D72)=0,"",E72/D72)</f>
        <v/>
      </c>
      <c r="G72" s="7">
        <f>IF(E72="","",E72/2)</f>
        <v/>
      </c>
      <c r="H72" s="7">
        <f>IF(DATE(2027,6,1)&gt;TODAY(),"",SUMIFS('2024'!$V$5:$V$178,'2024'!$AG$5:$AG$178,"&gt;="&amp;DATE(2027,6,1),'2024'!$AG$5:$AG$178,"&lt;"&amp;EDATE(DATE(2027,6,1),1)))</f>
        <v/>
      </c>
      <c r="I72" s="6">
        <f>IF(N(D72)=0,"",(SUMIFS('2024'!$AH$5:$AH$178,'2024'!$AG$5:$AG$178,"&gt;="&amp;DATE(2027,6,1),'2024'!$AG$5:$AG$178,"&lt;"&amp;EDATE(DATE(2027,6,1),1)))/D72)</f>
        <v/>
      </c>
      <c r="J72" s="6">
        <f>IF(N(D72)=0,"",(SUMIFS('2024'!$AI$5:$AI$178,'2024'!$AG$5:$AG$178,"&gt;="&amp;DATE(2027,6,1),'2024'!$AG$5:$AG$178,"&lt;"&amp;EDATE(DATE(2027,6,1),1)))/D72)</f>
        <v/>
      </c>
    </row>
    <row r="73">
      <c r="B73" s="12">
        <f>IF(DATE(2027,7,1)&gt;TODAY(),"",DATE(2027,7,1))</f>
        <v/>
      </c>
      <c r="C73" s="6">
        <f>IF(DATE(2027,7,1)&gt;TODAY(),"",COUNTIFS('2024'!$AD$5:$AD$178,"&gt;="&amp;DATE(2027,7,1),'2024'!$AD$5:$AD$178,"&lt;"&amp;EDATE(DATE(2027,7,1),1)))</f>
        <v/>
      </c>
      <c r="D73" s="6">
        <f>IF(DATE(2027,7,1)&gt;TODAY(),"",COUNTIFS('2024'!$AG$5:$AG$178,"&gt;="&amp;DATE(2027,7,1),'2024'!$AG$5:$AG$178,"&lt;"&amp;EDATE(DATE(2027,7,1),1)))</f>
        <v/>
      </c>
      <c r="E73" s="7">
        <f>IF(DATE(2027,7,1)&gt;TODAY(),"",SUMIFS('2024'!$X$5:$X$178,'2024'!$AG$5:$AG$178,"&gt;="&amp;DATE(2027,7,1),'2024'!$AG$5:$AG$178,"&lt;"&amp;EDATE(DATE(2027,7,1),1)))</f>
        <v/>
      </c>
      <c r="F73" s="7">
        <f>IF(N(D73)=0,"",E73/D73)</f>
        <v/>
      </c>
      <c r="G73" s="7">
        <f>IF(E73="","",E73/2)</f>
        <v/>
      </c>
      <c r="H73" s="7">
        <f>IF(DATE(2027,7,1)&gt;TODAY(),"",SUMIFS('2024'!$V$5:$V$178,'2024'!$AG$5:$AG$178,"&gt;="&amp;DATE(2027,7,1),'2024'!$AG$5:$AG$178,"&lt;"&amp;EDATE(DATE(2027,7,1),1)))</f>
        <v/>
      </c>
      <c r="I73" s="6">
        <f>IF(N(D73)=0,"",(SUMIFS('2024'!$AH$5:$AH$178,'2024'!$AG$5:$AG$178,"&gt;="&amp;DATE(2027,7,1),'2024'!$AG$5:$AG$178,"&lt;"&amp;EDATE(DATE(2027,7,1),1)))/D73)</f>
        <v/>
      </c>
      <c r="J73" s="6">
        <f>IF(N(D73)=0,"",(SUMIFS('2024'!$AI$5:$AI$178,'2024'!$AG$5:$AG$178,"&gt;="&amp;DATE(2027,7,1),'2024'!$AG$5:$AG$178,"&lt;"&amp;EDATE(DATE(2027,7,1),1)))/D73)</f>
        <v/>
      </c>
    </row>
    <row r="74">
      <c r="B74" s="12">
        <f>IF(DATE(2027,8,1)&gt;TODAY(),"",DATE(2027,8,1))</f>
        <v/>
      </c>
      <c r="C74" s="6">
        <f>IF(DATE(2027,8,1)&gt;TODAY(),"",COUNTIFS('2024'!$AD$5:$AD$178,"&gt;="&amp;DATE(2027,8,1),'2024'!$AD$5:$AD$178,"&lt;"&amp;EDATE(DATE(2027,8,1),1)))</f>
        <v/>
      </c>
      <c r="D74" s="6">
        <f>IF(DATE(2027,8,1)&gt;TODAY(),"",COUNTIFS('2024'!$AG$5:$AG$178,"&gt;="&amp;DATE(2027,8,1),'2024'!$AG$5:$AG$178,"&lt;"&amp;EDATE(DATE(2027,8,1),1)))</f>
        <v/>
      </c>
      <c r="E74" s="7">
        <f>IF(DATE(2027,8,1)&gt;TODAY(),"",SUMIFS('2024'!$X$5:$X$178,'2024'!$AG$5:$AG$178,"&gt;="&amp;DATE(2027,8,1),'2024'!$AG$5:$AG$178,"&lt;"&amp;EDATE(DATE(2027,8,1),1)))</f>
        <v/>
      </c>
      <c r="F74" s="7">
        <f>IF(N(D74)=0,"",E74/D74)</f>
        <v/>
      </c>
      <c r="G74" s="7">
        <f>IF(E74="","",E74/2)</f>
        <v/>
      </c>
      <c r="H74" s="7">
        <f>IF(DATE(2027,8,1)&gt;TODAY(),"",SUMIFS('2024'!$V$5:$V$178,'2024'!$AG$5:$AG$178,"&gt;="&amp;DATE(2027,8,1),'2024'!$AG$5:$AG$178,"&lt;"&amp;EDATE(DATE(2027,8,1),1)))</f>
        <v/>
      </c>
      <c r="I74" s="6">
        <f>IF(N(D74)=0,"",(SUMIFS('2024'!$AH$5:$AH$178,'2024'!$AG$5:$AG$178,"&gt;="&amp;DATE(2027,8,1),'2024'!$AG$5:$AG$178,"&lt;"&amp;EDATE(DATE(2027,8,1),1)))/D74)</f>
        <v/>
      </c>
      <c r="J74" s="6">
        <f>IF(N(D74)=0,"",(SUMIFS('2024'!$AI$5:$AI$178,'2024'!$AG$5:$AG$178,"&gt;="&amp;DATE(2027,8,1),'2024'!$AG$5:$AG$178,"&lt;"&amp;EDATE(DATE(2027,8,1),1)))/D74)</f>
        <v/>
      </c>
    </row>
    <row r="75">
      <c r="B75" s="12">
        <f>IF(DATE(2027,9,1)&gt;TODAY(),"",DATE(2027,9,1))</f>
        <v/>
      </c>
      <c r="C75" s="6">
        <f>IF(DATE(2027,9,1)&gt;TODAY(),"",COUNTIFS('2024'!$AD$5:$AD$178,"&gt;="&amp;DATE(2027,9,1),'2024'!$AD$5:$AD$178,"&lt;"&amp;EDATE(DATE(2027,9,1),1)))</f>
        <v/>
      </c>
      <c r="D75" s="6">
        <f>IF(DATE(2027,9,1)&gt;TODAY(),"",COUNTIFS('2024'!$AG$5:$AG$178,"&gt;="&amp;DATE(2027,9,1),'2024'!$AG$5:$AG$178,"&lt;"&amp;EDATE(DATE(2027,9,1),1)))</f>
        <v/>
      </c>
      <c r="E75" s="7">
        <f>IF(DATE(2027,9,1)&gt;TODAY(),"",SUMIFS('2024'!$X$5:$X$178,'2024'!$AG$5:$AG$178,"&gt;="&amp;DATE(2027,9,1),'2024'!$AG$5:$AG$178,"&lt;"&amp;EDATE(DATE(2027,9,1),1)))</f>
        <v/>
      </c>
      <c r="F75" s="7">
        <f>IF(N(D75)=0,"",E75/D75)</f>
        <v/>
      </c>
      <c r="G75" s="7">
        <f>IF(E75="","",E75/2)</f>
        <v/>
      </c>
      <c r="H75" s="7">
        <f>IF(DATE(2027,9,1)&gt;TODAY(),"",SUMIFS('2024'!$V$5:$V$178,'2024'!$AG$5:$AG$178,"&gt;="&amp;DATE(2027,9,1),'2024'!$AG$5:$AG$178,"&lt;"&amp;EDATE(DATE(2027,9,1),1)))</f>
        <v/>
      </c>
      <c r="I75" s="6">
        <f>IF(N(D75)=0,"",(SUMIFS('2024'!$AH$5:$AH$178,'2024'!$AG$5:$AG$178,"&gt;="&amp;DATE(2027,9,1),'2024'!$AG$5:$AG$178,"&lt;"&amp;EDATE(DATE(2027,9,1),1)))/D75)</f>
        <v/>
      </c>
      <c r="J75" s="6">
        <f>IF(N(D75)=0,"",(SUMIFS('2024'!$AI$5:$AI$178,'2024'!$AG$5:$AG$178,"&gt;="&amp;DATE(2027,9,1),'2024'!$AG$5:$AG$178,"&lt;"&amp;EDATE(DATE(2027,9,1),1)))/D75)</f>
        <v/>
      </c>
    </row>
    <row r="76">
      <c r="B76" s="12">
        <f>IF(DATE(2027,10,1)&gt;TODAY(),"",DATE(2027,10,1))</f>
        <v/>
      </c>
      <c r="C76" s="6">
        <f>IF(DATE(2027,10,1)&gt;TODAY(),"",COUNTIFS('2024'!$AD$5:$AD$178,"&gt;="&amp;DATE(2027,10,1),'2024'!$AD$5:$AD$178,"&lt;"&amp;EDATE(DATE(2027,10,1),1)))</f>
        <v/>
      </c>
      <c r="D76" s="6">
        <f>IF(DATE(2027,10,1)&gt;TODAY(),"",COUNTIFS('2024'!$AG$5:$AG$178,"&gt;="&amp;DATE(2027,10,1),'2024'!$AG$5:$AG$178,"&lt;"&amp;EDATE(DATE(2027,10,1),1)))</f>
        <v/>
      </c>
      <c r="E76" s="7">
        <f>IF(DATE(2027,10,1)&gt;TODAY(),"",SUMIFS('2024'!$X$5:$X$178,'2024'!$AG$5:$AG$178,"&gt;="&amp;DATE(2027,10,1),'2024'!$AG$5:$AG$178,"&lt;"&amp;EDATE(DATE(2027,10,1),1)))</f>
        <v/>
      </c>
      <c r="F76" s="7">
        <f>IF(N(D76)=0,"",E76/D76)</f>
        <v/>
      </c>
      <c r="G76" s="7">
        <f>IF(E76="","",E76/2)</f>
        <v/>
      </c>
      <c r="H76" s="7">
        <f>IF(DATE(2027,10,1)&gt;TODAY(),"",SUMIFS('2024'!$V$5:$V$178,'2024'!$AG$5:$AG$178,"&gt;="&amp;DATE(2027,10,1),'2024'!$AG$5:$AG$178,"&lt;"&amp;EDATE(DATE(2027,10,1),1)))</f>
        <v/>
      </c>
      <c r="I76" s="6">
        <f>IF(N(D76)=0,"",(SUMIFS('2024'!$AH$5:$AH$178,'2024'!$AG$5:$AG$178,"&gt;="&amp;DATE(2027,10,1),'2024'!$AG$5:$AG$178,"&lt;"&amp;EDATE(DATE(2027,10,1),1)))/D76)</f>
        <v/>
      </c>
      <c r="J76" s="6">
        <f>IF(N(D76)=0,"",(SUMIFS('2024'!$AI$5:$AI$178,'2024'!$AG$5:$AG$178,"&gt;="&amp;DATE(2027,10,1),'2024'!$AG$5:$AG$178,"&lt;"&amp;EDATE(DATE(2027,10,1),1)))/D76)</f>
        <v/>
      </c>
    </row>
    <row r="77">
      <c r="B77" s="12">
        <f>IF(DATE(2027,11,1)&gt;TODAY(),"",DATE(2027,11,1))</f>
        <v/>
      </c>
      <c r="C77" s="6">
        <f>IF(DATE(2027,11,1)&gt;TODAY(),"",COUNTIFS('2024'!$AD$5:$AD$178,"&gt;="&amp;DATE(2027,11,1),'2024'!$AD$5:$AD$178,"&lt;"&amp;EDATE(DATE(2027,11,1),1)))</f>
        <v/>
      </c>
      <c r="D77" s="6">
        <f>IF(DATE(2027,11,1)&gt;TODAY(),"",COUNTIFS('2024'!$AG$5:$AG$178,"&gt;="&amp;DATE(2027,11,1),'2024'!$AG$5:$AG$178,"&lt;"&amp;EDATE(DATE(2027,11,1),1)))</f>
        <v/>
      </c>
      <c r="E77" s="7">
        <f>IF(DATE(2027,11,1)&gt;TODAY(),"",SUMIFS('2024'!$X$5:$X$178,'2024'!$AG$5:$AG$178,"&gt;="&amp;DATE(2027,11,1),'2024'!$AG$5:$AG$178,"&lt;"&amp;EDATE(DATE(2027,11,1),1)))</f>
        <v/>
      </c>
      <c r="F77" s="7">
        <f>IF(N(D77)=0,"",E77/D77)</f>
        <v/>
      </c>
      <c r="G77" s="7">
        <f>IF(E77="","",E77/2)</f>
        <v/>
      </c>
      <c r="H77" s="7">
        <f>IF(DATE(2027,11,1)&gt;TODAY(),"",SUMIFS('2024'!$V$5:$V$178,'2024'!$AG$5:$AG$178,"&gt;="&amp;DATE(2027,11,1),'2024'!$AG$5:$AG$178,"&lt;"&amp;EDATE(DATE(2027,11,1),1)))</f>
        <v/>
      </c>
      <c r="I77" s="6">
        <f>IF(N(D77)=0,"",(SUMIFS('2024'!$AH$5:$AH$178,'2024'!$AG$5:$AG$178,"&gt;="&amp;DATE(2027,11,1),'2024'!$AG$5:$AG$178,"&lt;"&amp;EDATE(DATE(2027,11,1),1)))/D77)</f>
        <v/>
      </c>
      <c r="J77" s="6">
        <f>IF(N(D77)=0,"",(SUMIFS('2024'!$AI$5:$AI$178,'2024'!$AG$5:$AG$178,"&gt;="&amp;DATE(2027,11,1),'2024'!$AG$5:$AG$178,"&lt;"&amp;EDATE(DATE(2027,11,1),1)))/D77)</f>
        <v/>
      </c>
    </row>
    <row r="78">
      <c r="B78" s="12">
        <f>IF(DATE(2027,12,1)&gt;TODAY(),"",DATE(2027,12,1))</f>
        <v/>
      </c>
      <c r="C78" s="6">
        <f>IF(DATE(2027,12,1)&gt;TODAY(),"",COUNTIFS('2024'!$AD$5:$AD$178,"&gt;="&amp;DATE(2027,12,1),'2024'!$AD$5:$AD$178,"&lt;"&amp;EDATE(DATE(2027,12,1),1)))</f>
        <v/>
      </c>
      <c r="D78" s="6">
        <f>IF(DATE(2027,12,1)&gt;TODAY(),"",COUNTIFS('2024'!$AG$5:$AG$178,"&gt;="&amp;DATE(2027,12,1),'2024'!$AG$5:$AG$178,"&lt;"&amp;EDATE(DATE(2027,12,1),1)))</f>
        <v/>
      </c>
      <c r="E78" s="7">
        <f>IF(DATE(2027,12,1)&gt;TODAY(),"",SUMIFS('2024'!$X$5:$X$178,'2024'!$AG$5:$AG$178,"&gt;="&amp;DATE(2027,12,1),'2024'!$AG$5:$AG$178,"&lt;"&amp;EDATE(DATE(2027,12,1),1)))</f>
        <v/>
      </c>
      <c r="F78" s="7">
        <f>IF(N(D78)=0,"",E78/D78)</f>
        <v/>
      </c>
      <c r="G78" s="7">
        <f>IF(E78="","",E78/2)</f>
        <v/>
      </c>
      <c r="H78" s="7">
        <f>IF(DATE(2027,12,1)&gt;TODAY(),"",SUMIFS('2024'!$V$5:$V$178,'2024'!$AG$5:$AG$178,"&gt;="&amp;DATE(2027,12,1),'2024'!$AG$5:$AG$178,"&lt;"&amp;EDATE(DATE(2027,12,1),1)))</f>
        <v/>
      </c>
      <c r="I78" s="6">
        <f>IF(N(D78)=0,"",(SUMIFS('2024'!$AH$5:$AH$178,'2024'!$AG$5:$AG$178,"&gt;="&amp;DATE(2027,12,1),'2024'!$AG$5:$AG$178,"&lt;"&amp;EDATE(DATE(2027,12,1),1)))/D78)</f>
        <v/>
      </c>
      <c r="J78" s="6">
        <f>IF(N(D78)=0,"",(SUMIFS('2024'!$AI$5:$AI$178,'2024'!$AG$5:$AG$178,"&gt;="&amp;DATE(2027,12,1),'2024'!$AG$5:$AG$178,"&lt;"&amp;EDATE(DATE(2027,12,1),1)))/D78)</f>
        <v/>
      </c>
    </row>
    <row r="79">
      <c r="B79" s="12">
        <f>IF(DATE(2028,1,1)&gt;TODAY(),"",DATE(2028,1,1))</f>
        <v/>
      </c>
      <c r="C79" s="6">
        <f>IF(DATE(2028,1,1)&gt;TODAY(),"",COUNTIFS('2024'!$AD$5:$AD$178,"&gt;="&amp;DATE(2028,1,1),'2024'!$AD$5:$AD$178,"&lt;"&amp;EDATE(DATE(2028,1,1),1)))</f>
        <v/>
      </c>
      <c r="D79" s="6">
        <f>IF(DATE(2028,1,1)&gt;TODAY(),"",COUNTIFS('2024'!$AG$5:$AG$178,"&gt;="&amp;DATE(2028,1,1),'2024'!$AG$5:$AG$178,"&lt;"&amp;EDATE(DATE(2028,1,1),1)))</f>
        <v/>
      </c>
      <c r="E79" s="7">
        <f>IF(DATE(2028,1,1)&gt;TODAY(),"",SUMIFS('2024'!$X$5:$X$178,'2024'!$AG$5:$AG$178,"&gt;="&amp;DATE(2028,1,1),'2024'!$AG$5:$AG$178,"&lt;"&amp;EDATE(DATE(2028,1,1),1)))</f>
        <v/>
      </c>
      <c r="F79" s="7">
        <f>IF(N(D79)=0,"",E79/D79)</f>
        <v/>
      </c>
      <c r="G79" s="7">
        <f>IF(E79="","",E79/2)</f>
        <v/>
      </c>
      <c r="H79" s="7">
        <f>IF(DATE(2028,1,1)&gt;TODAY(),"",SUMIFS('2024'!$V$5:$V$178,'2024'!$AG$5:$AG$178,"&gt;="&amp;DATE(2028,1,1),'2024'!$AG$5:$AG$178,"&lt;"&amp;EDATE(DATE(2028,1,1),1)))</f>
        <v/>
      </c>
      <c r="I79" s="6">
        <f>IF(N(D79)=0,"",(SUMIFS('2024'!$AH$5:$AH$178,'2024'!$AG$5:$AG$178,"&gt;="&amp;DATE(2028,1,1),'2024'!$AG$5:$AG$178,"&lt;"&amp;EDATE(DATE(2028,1,1),1)))/D79)</f>
        <v/>
      </c>
      <c r="J79" s="6">
        <f>IF(N(D79)=0,"",(SUMIFS('2024'!$AI$5:$AI$178,'2024'!$AG$5:$AG$178,"&gt;="&amp;DATE(2028,1,1),'2024'!$AG$5:$AG$178,"&lt;"&amp;EDATE(DATE(2028,1,1),1)))/D79)</f>
        <v/>
      </c>
    </row>
    <row r="80">
      <c r="B80" s="12">
        <f>IF(DATE(2028,2,1)&gt;TODAY(),"",DATE(2028,2,1))</f>
        <v/>
      </c>
      <c r="C80" s="6">
        <f>IF(DATE(2028,2,1)&gt;TODAY(),"",COUNTIFS('2024'!$AD$5:$AD$178,"&gt;="&amp;DATE(2028,2,1),'2024'!$AD$5:$AD$178,"&lt;"&amp;EDATE(DATE(2028,2,1),1)))</f>
        <v/>
      </c>
      <c r="D80" s="6">
        <f>IF(DATE(2028,2,1)&gt;TODAY(),"",COUNTIFS('2024'!$AG$5:$AG$178,"&gt;="&amp;DATE(2028,2,1),'2024'!$AG$5:$AG$178,"&lt;"&amp;EDATE(DATE(2028,2,1),1)))</f>
        <v/>
      </c>
      <c r="E80" s="7">
        <f>IF(DATE(2028,2,1)&gt;TODAY(),"",SUMIFS('2024'!$X$5:$X$178,'2024'!$AG$5:$AG$178,"&gt;="&amp;DATE(2028,2,1),'2024'!$AG$5:$AG$178,"&lt;"&amp;EDATE(DATE(2028,2,1),1)))</f>
        <v/>
      </c>
      <c r="F80" s="7">
        <f>IF(N(D80)=0,"",E80/D80)</f>
        <v/>
      </c>
      <c r="G80" s="7">
        <f>IF(E80="","",E80/2)</f>
        <v/>
      </c>
      <c r="H80" s="7">
        <f>IF(DATE(2028,2,1)&gt;TODAY(),"",SUMIFS('2024'!$V$5:$V$178,'2024'!$AG$5:$AG$178,"&gt;="&amp;DATE(2028,2,1),'2024'!$AG$5:$AG$178,"&lt;"&amp;EDATE(DATE(2028,2,1),1)))</f>
        <v/>
      </c>
      <c r="I80" s="6">
        <f>IF(N(D80)=0,"",(SUMIFS('2024'!$AH$5:$AH$178,'2024'!$AG$5:$AG$178,"&gt;="&amp;DATE(2028,2,1),'2024'!$AG$5:$AG$178,"&lt;"&amp;EDATE(DATE(2028,2,1),1)))/D80)</f>
        <v/>
      </c>
      <c r="J80" s="6">
        <f>IF(N(D80)=0,"",(SUMIFS('2024'!$AI$5:$AI$178,'2024'!$AG$5:$AG$178,"&gt;="&amp;DATE(2028,2,1),'2024'!$AG$5:$AG$178,"&lt;"&amp;EDATE(DATE(2028,2,1),1)))/D80)</f>
        <v/>
      </c>
    </row>
    <row r="81">
      <c r="B81" s="12">
        <f>IF(DATE(2028,3,1)&gt;TODAY(),"",DATE(2028,3,1))</f>
        <v/>
      </c>
      <c r="C81" s="6">
        <f>IF(DATE(2028,3,1)&gt;TODAY(),"",COUNTIFS('2024'!$AD$5:$AD$178,"&gt;="&amp;DATE(2028,3,1),'2024'!$AD$5:$AD$178,"&lt;"&amp;EDATE(DATE(2028,3,1),1)))</f>
        <v/>
      </c>
      <c r="D81" s="6">
        <f>IF(DATE(2028,3,1)&gt;TODAY(),"",COUNTIFS('2024'!$AG$5:$AG$178,"&gt;="&amp;DATE(2028,3,1),'2024'!$AG$5:$AG$178,"&lt;"&amp;EDATE(DATE(2028,3,1),1)))</f>
        <v/>
      </c>
      <c r="E81" s="7">
        <f>IF(DATE(2028,3,1)&gt;TODAY(),"",SUMIFS('2024'!$X$5:$X$178,'2024'!$AG$5:$AG$178,"&gt;="&amp;DATE(2028,3,1),'2024'!$AG$5:$AG$178,"&lt;"&amp;EDATE(DATE(2028,3,1),1)))</f>
        <v/>
      </c>
      <c r="F81" s="7">
        <f>IF(N(D81)=0,"",E81/D81)</f>
        <v/>
      </c>
      <c r="G81" s="7">
        <f>IF(E81="","",E81/2)</f>
        <v/>
      </c>
      <c r="H81" s="7">
        <f>IF(DATE(2028,3,1)&gt;TODAY(),"",SUMIFS('2024'!$V$5:$V$178,'2024'!$AG$5:$AG$178,"&gt;="&amp;DATE(2028,3,1),'2024'!$AG$5:$AG$178,"&lt;"&amp;EDATE(DATE(2028,3,1),1)))</f>
        <v/>
      </c>
      <c r="I81" s="6">
        <f>IF(N(D81)=0,"",(SUMIFS('2024'!$AH$5:$AH$178,'2024'!$AG$5:$AG$178,"&gt;="&amp;DATE(2028,3,1),'2024'!$AG$5:$AG$178,"&lt;"&amp;EDATE(DATE(2028,3,1),1)))/D81)</f>
        <v/>
      </c>
      <c r="J81" s="6">
        <f>IF(N(D81)=0,"",(SUMIFS('2024'!$AI$5:$AI$178,'2024'!$AG$5:$AG$178,"&gt;="&amp;DATE(2028,3,1),'2024'!$AG$5:$AG$178,"&lt;"&amp;EDATE(DATE(2028,3,1),1)))/D81)</f>
        <v/>
      </c>
    </row>
    <row r="82">
      <c r="B82" s="12">
        <f>IF(DATE(2028,4,1)&gt;TODAY(),"",DATE(2028,4,1))</f>
        <v/>
      </c>
      <c r="C82" s="6">
        <f>IF(DATE(2028,4,1)&gt;TODAY(),"",COUNTIFS('2024'!$AD$5:$AD$178,"&gt;="&amp;DATE(2028,4,1),'2024'!$AD$5:$AD$178,"&lt;"&amp;EDATE(DATE(2028,4,1),1)))</f>
        <v/>
      </c>
      <c r="D82" s="6">
        <f>IF(DATE(2028,4,1)&gt;TODAY(),"",COUNTIFS('2024'!$AG$5:$AG$178,"&gt;="&amp;DATE(2028,4,1),'2024'!$AG$5:$AG$178,"&lt;"&amp;EDATE(DATE(2028,4,1),1)))</f>
        <v/>
      </c>
      <c r="E82" s="7">
        <f>IF(DATE(2028,4,1)&gt;TODAY(),"",SUMIFS('2024'!$X$5:$X$178,'2024'!$AG$5:$AG$178,"&gt;="&amp;DATE(2028,4,1),'2024'!$AG$5:$AG$178,"&lt;"&amp;EDATE(DATE(2028,4,1),1)))</f>
        <v/>
      </c>
      <c r="F82" s="7">
        <f>IF(N(D82)=0,"",E82/D82)</f>
        <v/>
      </c>
      <c r="G82" s="7">
        <f>IF(E82="","",E82/2)</f>
        <v/>
      </c>
      <c r="H82" s="7">
        <f>IF(DATE(2028,4,1)&gt;TODAY(),"",SUMIFS('2024'!$V$5:$V$178,'2024'!$AG$5:$AG$178,"&gt;="&amp;DATE(2028,4,1),'2024'!$AG$5:$AG$178,"&lt;"&amp;EDATE(DATE(2028,4,1),1)))</f>
        <v/>
      </c>
      <c r="I82" s="6">
        <f>IF(N(D82)=0,"",(SUMIFS('2024'!$AH$5:$AH$178,'2024'!$AG$5:$AG$178,"&gt;="&amp;DATE(2028,4,1),'2024'!$AG$5:$AG$178,"&lt;"&amp;EDATE(DATE(2028,4,1),1)))/D82)</f>
        <v/>
      </c>
      <c r="J82" s="6">
        <f>IF(N(D82)=0,"",(SUMIFS('2024'!$AI$5:$AI$178,'2024'!$AG$5:$AG$178,"&gt;="&amp;DATE(2028,4,1),'2024'!$AG$5:$AG$178,"&lt;"&amp;EDATE(DATE(2028,4,1),1)))/D82)</f>
        <v/>
      </c>
    </row>
    <row r="83">
      <c r="B83" s="12">
        <f>IF(DATE(2028,5,1)&gt;TODAY(),"",DATE(2028,5,1))</f>
        <v/>
      </c>
      <c r="C83" s="6">
        <f>IF(DATE(2028,5,1)&gt;TODAY(),"",COUNTIFS('2024'!$AD$5:$AD$178,"&gt;="&amp;DATE(2028,5,1),'2024'!$AD$5:$AD$178,"&lt;"&amp;EDATE(DATE(2028,5,1),1)))</f>
        <v/>
      </c>
      <c r="D83" s="6">
        <f>IF(DATE(2028,5,1)&gt;TODAY(),"",COUNTIFS('2024'!$AG$5:$AG$178,"&gt;="&amp;DATE(2028,5,1),'2024'!$AG$5:$AG$178,"&lt;"&amp;EDATE(DATE(2028,5,1),1)))</f>
        <v/>
      </c>
      <c r="E83" s="7">
        <f>IF(DATE(2028,5,1)&gt;TODAY(),"",SUMIFS('2024'!$X$5:$X$178,'2024'!$AG$5:$AG$178,"&gt;="&amp;DATE(2028,5,1),'2024'!$AG$5:$AG$178,"&lt;"&amp;EDATE(DATE(2028,5,1),1)))</f>
        <v/>
      </c>
      <c r="F83" s="7">
        <f>IF(N(D83)=0,"",E83/D83)</f>
        <v/>
      </c>
      <c r="G83" s="7">
        <f>IF(E83="","",E83/2)</f>
        <v/>
      </c>
      <c r="H83" s="7">
        <f>IF(DATE(2028,5,1)&gt;TODAY(),"",SUMIFS('2024'!$V$5:$V$178,'2024'!$AG$5:$AG$178,"&gt;="&amp;DATE(2028,5,1),'2024'!$AG$5:$AG$178,"&lt;"&amp;EDATE(DATE(2028,5,1),1)))</f>
        <v/>
      </c>
      <c r="I83" s="6">
        <f>IF(N(D83)=0,"",(SUMIFS('2024'!$AH$5:$AH$178,'2024'!$AG$5:$AG$178,"&gt;="&amp;DATE(2028,5,1),'2024'!$AG$5:$AG$178,"&lt;"&amp;EDATE(DATE(2028,5,1),1)))/D83)</f>
        <v/>
      </c>
      <c r="J83" s="6">
        <f>IF(N(D83)=0,"",(SUMIFS('2024'!$AI$5:$AI$178,'2024'!$AG$5:$AG$178,"&gt;="&amp;DATE(2028,5,1),'2024'!$AG$5:$AG$178,"&lt;"&amp;EDATE(DATE(2028,5,1),1)))/D83)</f>
        <v/>
      </c>
    </row>
    <row r="84">
      <c r="B84" s="12">
        <f>IF(DATE(2028,6,1)&gt;TODAY(),"",DATE(2028,6,1))</f>
        <v/>
      </c>
      <c r="C84" s="6">
        <f>IF(DATE(2028,6,1)&gt;TODAY(),"",COUNTIFS('2024'!$AD$5:$AD$178,"&gt;="&amp;DATE(2028,6,1),'2024'!$AD$5:$AD$178,"&lt;"&amp;EDATE(DATE(2028,6,1),1)))</f>
        <v/>
      </c>
      <c r="D84" s="6">
        <f>IF(DATE(2028,6,1)&gt;TODAY(),"",COUNTIFS('2024'!$AG$5:$AG$178,"&gt;="&amp;DATE(2028,6,1),'2024'!$AG$5:$AG$178,"&lt;"&amp;EDATE(DATE(2028,6,1),1)))</f>
        <v/>
      </c>
      <c r="E84" s="7">
        <f>IF(DATE(2028,6,1)&gt;TODAY(),"",SUMIFS('2024'!$X$5:$X$178,'2024'!$AG$5:$AG$178,"&gt;="&amp;DATE(2028,6,1),'2024'!$AG$5:$AG$178,"&lt;"&amp;EDATE(DATE(2028,6,1),1)))</f>
        <v/>
      </c>
      <c r="F84" s="7">
        <f>IF(N(D84)=0,"",E84/D84)</f>
        <v/>
      </c>
      <c r="G84" s="7">
        <f>IF(E84="","",E84/2)</f>
        <v/>
      </c>
      <c r="H84" s="7">
        <f>IF(DATE(2028,6,1)&gt;TODAY(),"",SUMIFS('2024'!$V$5:$V$178,'2024'!$AG$5:$AG$178,"&gt;="&amp;DATE(2028,6,1),'2024'!$AG$5:$AG$178,"&lt;"&amp;EDATE(DATE(2028,6,1),1)))</f>
        <v/>
      </c>
      <c r="I84" s="6">
        <f>IF(N(D84)=0,"",(SUMIFS('2024'!$AH$5:$AH$178,'2024'!$AG$5:$AG$178,"&gt;="&amp;DATE(2028,6,1),'2024'!$AG$5:$AG$178,"&lt;"&amp;EDATE(DATE(2028,6,1),1)))/D84)</f>
        <v/>
      </c>
      <c r="J84" s="6">
        <f>IF(N(D84)=0,"",(SUMIFS('2024'!$AI$5:$AI$178,'2024'!$AG$5:$AG$178,"&gt;="&amp;DATE(2028,6,1),'2024'!$AG$5:$AG$178,"&lt;"&amp;EDATE(DATE(2028,6,1),1)))/D84)</f>
        <v/>
      </c>
    </row>
    <row r="85">
      <c r="B85" s="12">
        <f>IF(DATE(2028,7,1)&gt;TODAY(),"",DATE(2028,7,1))</f>
        <v/>
      </c>
      <c r="C85" s="6">
        <f>IF(DATE(2028,7,1)&gt;TODAY(),"",COUNTIFS('2024'!$AD$5:$AD$178,"&gt;="&amp;DATE(2028,7,1),'2024'!$AD$5:$AD$178,"&lt;"&amp;EDATE(DATE(2028,7,1),1)))</f>
        <v/>
      </c>
      <c r="D85" s="6">
        <f>IF(DATE(2028,7,1)&gt;TODAY(),"",COUNTIFS('2024'!$AG$5:$AG$178,"&gt;="&amp;DATE(2028,7,1),'2024'!$AG$5:$AG$178,"&lt;"&amp;EDATE(DATE(2028,7,1),1)))</f>
        <v/>
      </c>
      <c r="E85" s="7">
        <f>IF(DATE(2028,7,1)&gt;TODAY(),"",SUMIFS('2024'!$X$5:$X$178,'2024'!$AG$5:$AG$178,"&gt;="&amp;DATE(2028,7,1),'2024'!$AG$5:$AG$178,"&lt;"&amp;EDATE(DATE(2028,7,1),1)))</f>
        <v/>
      </c>
      <c r="F85" s="7">
        <f>IF(N(D85)=0,"",E85/D85)</f>
        <v/>
      </c>
      <c r="G85" s="7">
        <f>IF(E85="","",E85/2)</f>
        <v/>
      </c>
      <c r="H85" s="7">
        <f>IF(DATE(2028,7,1)&gt;TODAY(),"",SUMIFS('2024'!$V$5:$V$178,'2024'!$AG$5:$AG$178,"&gt;="&amp;DATE(2028,7,1),'2024'!$AG$5:$AG$178,"&lt;"&amp;EDATE(DATE(2028,7,1),1)))</f>
        <v/>
      </c>
      <c r="I85" s="6">
        <f>IF(N(D85)=0,"",(SUMIFS('2024'!$AH$5:$AH$178,'2024'!$AG$5:$AG$178,"&gt;="&amp;DATE(2028,7,1),'2024'!$AG$5:$AG$178,"&lt;"&amp;EDATE(DATE(2028,7,1),1)))/D85)</f>
        <v/>
      </c>
      <c r="J85" s="6">
        <f>IF(N(D85)=0,"",(SUMIFS('2024'!$AI$5:$AI$178,'2024'!$AG$5:$AG$178,"&gt;="&amp;DATE(2028,7,1),'2024'!$AG$5:$AG$178,"&lt;"&amp;EDATE(DATE(2028,7,1),1)))/D85)</f>
        <v/>
      </c>
    </row>
    <row r="86">
      <c r="B86" s="12">
        <f>IF(DATE(2028,8,1)&gt;TODAY(),"",DATE(2028,8,1))</f>
        <v/>
      </c>
      <c r="C86" s="6">
        <f>IF(DATE(2028,8,1)&gt;TODAY(),"",COUNTIFS('2024'!$AD$5:$AD$178,"&gt;="&amp;DATE(2028,8,1),'2024'!$AD$5:$AD$178,"&lt;"&amp;EDATE(DATE(2028,8,1),1)))</f>
        <v/>
      </c>
      <c r="D86" s="6">
        <f>IF(DATE(2028,8,1)&gt;TODAY(),"",COUNTIFS('2024'!$AG$5:$AG$178,"&gt;="&amp;DATE(2028,8,1),'2024'!$AG$5:$AG$178,"&lt;"&amp;EDATE(DATE(2028,8,1),1)))</f>
        <v/>
      </c>
      <c r="E86" s="7">
        <f>IF(DATE(2028,8,1)&gt;TODAY(),"",SUMIFS('2024'!$X$5:$X$178,'2024'!$AG$5:$AG$178,"&gt;="&amp;DATE(2028,8,1),'2024'!$AG$5:$AG$178,"&lt;"&amp;EDATE(DATE(2028,8,1),1)))</f>
        <v/>
      </c>
      <c r="F86" s="7">
        <f>IF(N(D86)=0,"",E86/D86)</f>
        <v/>
      </c>
      <c r="G86" s="7">
        <f>IF(E86="","",E86/2)</f>
        <v/>
      </c>
      <c r="H86" s="7">
        <f>IF(DATE(2028,8,1)&gt;TODAY(),"",SUMIFS('2024'!$V$5:$V$178,'2024'!$AG$5:$AG$178,"&gt;="&amp;DATE(2028,8,1),'2024'!$AG$5:$AG$178,"&lt;"&amp;EDATE(DATE(2028,8,1),1)))</f>
        <v/>
      </c>
      <c r="I86" s="6">
        <f>IF(N(D86)=0,"",(SUMIFS('2024'!$AH$5:$AH$178,'2024'!$AG$5:$AG$178,"&gt;="&amp;DATE(2028,8,1),'2024'!$AG$5:$AG$178,"&lt;"&amp;EDATE(DATE(2028,8,1),1)))/D86)</f>
        <v/>
      </c>
      <c r="J86" s="6">
        <f>IF(N(D86)=0,"",(SUMIFS('2024'!$AI$5:$AI$178,'2024'!$AG$5:$AG$178,"&gt;="&amp;DATE(2028,8,1),'2024'!$AG$5:$AG$178,"&lt;"&amp;EDATE(DATE(2028,8,1),1)))/D86)</f>
        <v/>
      </c>
    </row>
    <row r="87">
      <c r="B87" s="12">
        <f>IF(DATE(2028,9,1)&gt;TODAY(),"",DATE(2028,9,1))</f>
        <v/>
      </c>
      <c r="C87" s="6">
        <f>IF(DATE(2028,9,1)&gt;TODAY(),"",COUNTIFS('2024'!$AD$5:$AD$178,"&gt;="&amp;DATE(2028,9,1),'2024'!$AD$5:$AD$178,"&lt;"&amp;EDATE(DATE(2028,9,1),1)))</f>
        <v/>
      </c>
      <c r="D87" s="6">
        <f>IF(DATE(2028,9,1)&gt;TODAY(),"",COUNTIFS('2024'!$AG$5:$AG$178,"&gt;="&amp;DATE(2028,9,1),'2024'!$AG$5:$AG$178,"&lt;"&amp;EDATE(DATE(2028,9,1),1)))</f>
        <v/>
      </c>
      <c r="E87" s="7">
        <f>IF(DATE(2028,9,1)&gt;TODAY(),"",SUMIFS('2024'!$X$5:$X$178,'2024'!$AG$5:$AG$178,"&gt;="&amp;DATE(2028,9,1),'2024'!$AG$5:$AG$178,"&lt;"&amp;EDATE(DATE(2028,9,1),1)))</f>
        <v/>
      </c>
      <c r="F87" s="7">
        <f>IF(N(D87)=0,"",E87/D87)</f>
        <v/>
      </c>
      <c r="G87" s="7">
        <f>IF(E87="","",E87/2)</f>
        <v/>
      </c>
      <c r="H87" s="7">
        <f>IF(DATE(2028,9,1)&gt;TODAY(),"",SUMIFS('2024'!$V$5:$V$178,'2024'!$AG$5:$AG$178,"&gt;="&amp;DATE(2028,9,1),'2024'!$AG$5:$AG$178,"&lt;"&amp;EDATE(DATE(2028,9,1),1)))</f>
        <v/>
      </c>
      <c r="I87" s="6">
        <f>IF(N(D87)=0,"",(SUMIFS('2024'!$AH$5:$AH$178,'2024'!$AG$5:$AG$178,"&gt;="&amp;DATE(2028,9,1),'2024'!$AG$5:$AG$178,"&lt;"&amp;EDATE(DATE(2028,9,1),1)))/D87)</f>
        <v/>
      </c>
      <c r="J87" s="6">
        <f>IF(N(D87)=0,"",(SUMIFS('2024'!$AI$5:$AI$178,'2024'!$AG$5:$AG$178,"&gt;="&amp;DATE(2028,9,1),'2024'!$AG$5:$AG$178,"&lt;"&amp;EDATE(DATE(2028,9,1),1)))/D87)</f>
        <v/>
      </c>
    </row>
    <row r="88">
      <c r="B88" s="12">
        <f>IF(DATE(2028,10,1)&gt;TODAY(),"",DATE(2028,10,1))</f>
        <v/>
      </c>
      <c r="C88" s="6">
        <f>IF(DATE(2028,10,1)&gt;TODAY(),"",COUNTIFS('2024'!$AD$5:$AD$178,"&gt;="&amp;DATE(2028,10,1),'2024'!$AD$5:$AD$178,"&lt;"&amp;EDATE(DATE(2028,10,1),1)))</f>
        <v/>
      </c>
      <c r="D88" s="6">
        <f>IF(DATE(2028,10,1)&gt;TODAY(),"",COUNTIFS('2024'!$AG$5:$AG$178,"&gt;="&amp;DATE(2028,10,1),'2024'!$AG$5:$AG$178,"&lt;"&amp;EDATE(DATE(2028,10,1),1)))</f>
        <v/>
      </c>
      <c r="E88" s="7">
        <f>IF(DATE(2028,10,1)&gt;TODAY(),"",SUMIFS('2024'!$X$5:$X$178,'2024'!$AG$5:$AG$178,"&gt;="&amp;DATE(2028,10,1),'2024'!$AG$5:$AG$178,"&lt;"&amp;EDATE(DATE(2028,10,1),1)))</f>
        <v/>
      </c>
      <c r="F88" s="7">
        <f>IF(N(D88)=0,"",E88/D88)</f>
        <v/>
      </c>
      <c r="G88" s="7">
        <f>IF(E88="","",E88/2)</f>
        <v/>
      </c>
      <c r="H88" s="7">
        <f>IF(DATE(2028,10,1)&gt;TODAY(),"",SUMIFS('2024'!$V$5:$V$178,'2024'!$AG$5:$AG$178,"&gt;="&amp;DATE(2028,10,1),'2024'!$AG$5:$AG$178,"&lt;"&amp;EDATE(DATE(2028,10,1),1)))</f>
        <v/>
      </c>
      <c r="I88" s="6">
        <f>IF(N(D88)=0,"",(SUMIFS('2024'!$AH$5:$AH$178,'2024'!$AG$5:$AG$178,"&gt;="&amp;DATE(2028,10,1),'2024'!$AG$5:$AG$178,"&lt;"&amp;EDATE(DATE(2028,10,1),1)))/D88)</f>
        <v/>
      </c>
      <c r="J88" s="6">
        <f>IF(N(D88)=0,"",(SUMIFS('2024'!$AI$5:$AI$178,'2024'!$AG$5:$AG$178,"&gt;="&amp;DATE(2028,10,1),'2024'!$AG$5:$AG$178,"&lt;"&amp;EDATE(DATE(2028,10,1),1)))/D88)</f>
        <v/>
      </c>
    </row>
    <row r="89">
      <c r="B89" s="12">
        <f>IF(DATE(2028,11,1)&gt;TODAY(),"",DATE(2028,11,1))</f>
        <v/>
      </c>
      <c r="C89" s="6">
        <f>IF(DATE(2028,11,1)&gt;TODAY(),"",COUNTIFS('2024'!$AD$5:$AD$178,"&gt;="&amp;DATE(2028,11,1),'2024'!$AD$5:$AD$178,"&lt;"&amp;EDATE(DATE(2028,11,1),1)))</f>
        <v/>
      </c>
      <c r="D89" s="6">
        <f>IF(DATE(2028,11,1)&gt;TODAY(),"",COUNTIFS('2024'!$AG$5:$AG$178,"&gt;="&amp;DATE(2028,11,1),'2024'!$AG$5:$AG$178,"&lt;"&amp;EDATE(DATE(2028,11,1),1)))</f>
        <v/>
      </c>
      <c r="E89" s="7">
        <f>IF(DATE(2028,11,1)&gt;TODAY(),"",SUMIFS('2024'!$X$5:$X$178,'2024'!$AG$5:$AG$178,"&gt;="&amp;DATE(2028,11,1),'2024'!$AG$5:$AG$178,"&lt;"&amp;EDATE(DATE(2028,11,1),1)))</f>
        <v/>
      </c>
      <c r="F89" s="7">
        <f>IF(N(D89)=0,"",E89/D89)</f>
        <v/>
      </c>
      <c r="G89" s="7">
        <f>IF(E89="","",E89/2)</f>
        <v/>
      </c>
      <c r="H89" s="7">
        <f>IF(DATE(2028,11,1)&gt;TODAY(),"",SUMIFS('2024'!$V$5:$V$178,'2024'!$AG$5:$AG$178,"&gt;="&amp;DATE(2028,11,1),'2024'!$AG$5:$AG$178,"&lt;"&amp;EDATE(DATE(2028,11,1),1)))</f>
        <v/>
      </c>
      <c r="I89" s="6">
        <f>IF(N(D89)=0,"",(SUMIFS('2024'!$AH$5:$AH$178,'2024'!$AG$5:$AG$178,"&gt;="&amp;DATE(2028,11,1),'2024'!$AG$5:$AG$178,"&lt;"&amp;EDATE(DATE(2028,11,1),1)))/D89)</f>
        <v/>
      </c>
      <c r="J89" s="6">
        <f>IF(N(D89)=0,"",(SUMIFS('2024'!$AI$5:$AI$178,'2024'!$AG$5:$AG$178,"&gt;="&amp;DATE(2028,11,1),'2024'!$AG$5:$AG$178,"&lt;"&amp;EDATE(DATE(2028,11,1),1)))/D89)</f>
        <v/>
      </c>
    </row>
    <row r="90">
      <c r="B90" s="12">
        <f>IF(DATE(2028,12,1)&gt;TODAY(),"",DATE(2028,12,1))</f>
        <v/>
      </c>
      <c r="C90" s="6">
        <f>IF(DATE(2028,12,1)&gt;TODAY(),"",COUNTIFS('2024'!$AD$5:$AD$178,"&gt;="&amp;DATE(2028,12,1),'2024'!$AD$5:$AD$178,"&lt;"&amp;EDATE(DATE(2028,12,1),1)))</f>
        <v/>
      </c>
      <c r="D90" s="6">
        <f>IF(DATE(2028,12,1)&gt;TODAY(),"",COUNTIFS('2024'!$AG$5:$AG$178,"&gt;="&amp;DATE(2028,12,1),'2024'!$AG$5:$AG$178,"&lt;"&amp;EDATE(DATE(2028,12,1),1)))</f>
        <v/>
      </c>
      <c r="E90" s="7">
        <f>IF(DATE(2028,12,1)&gt;TODAY(),"",SUMIFS('2024'!$X$5:$X$178,'2024'!$AG$5:$AG$178,"&gt;="&amp;DATE(2028,12,1),'2024'!$AG$5:$AG$178,"&lt;"&amp;EDATE(DATE(2028,12,1),1)))</f>
        <v/>
      </c>
      <c r="F90" s="7">
        <f>IF(N(D90)=0,"",E90/D90)</f>
        <v/>
      </c>
      <c r="G90" s="7">
        <f>IF(E90="","",E90/2)</f>
        <v/>
      </c>
      <c r="H90" s="7">
        <f>IF(DATE(2028,12,1)&gt;TODAY(),"",SUMIFS('2024'!$V$5:$V$178,'2024'!$AG$5:$AG$178,"&gt;="&amp;DATE(2028,12,1),'2024'!$AG$5:$AG$178,"&lt;"&amp;EDATE(DATE(2028,12,1),1)))</f>
        <v/>
      </c>
      <c r="I90" s="6">
        <f>IF(N(D90)=0,"",(SUMIFS('2024'!$AH$5:$AH$178,'2024'!$AG$5:$AG$178,"&gt;="&amp;DATE(2028,12,1),'2024'!$AG$5:$AG$178,"&lt;"&amp;EDATE(DATE(2028,12,1),1)))/D90)</f>
        <v/>
      </c>
      <c r="J90" s="6">
        <f>IF(N(D90)=0,"",(SUMIFS('2024'!$AI$5:$AI$178,'2024'!$AG$5:$AG$178,"&gt;="&amp;DATE(2028,12,1),'2024'!$AG$5:$AG$178,"&lt;"&amp;EDATE(DATE(2028,12,1),1)))/D90)</f>
        <v/>
      </c>
    </row>
    <row r="91">
      <c r="B91" s="12">
        <f>IF(DATE(2029,1,1)&gt;TODAY(),"",DATE(2029,1,1))</f>
        <v/>
      </c>
      <c r="C91" s="6">
        <f>IF(DATE(2029,1,1)&gt;TODAY(),"",COUNTIFS('2024'!$AD$5:$AD$178,"&gt;="&amp;DATE(2029,1,1),'2024'!$AD$5:$AD$178,"&lt;"&amp;EDATE(DATE(2029,1,1),1)))</f>
        <v/>
      </c>
      <c r="D91" s="6">
        <f>IF(DATE(2029,1,1)&gt;TODAY(),"",COUNTIFS('2024'!$AG$5:$AG$178,"&gt;="&amp;DATE(2029,1,1),'2024'!$AG$5:$AG$178,"&lt;"&amp;EDATE(DATE(2029,1,1),1)))</f>
        <v/>
      </c>
      <c r="E91" s="7">
        <f>IF(DATE(2029,1,1)&gt;TODAY(),"",SUMIFS('2024'!$X$5:$X$178,'2024'!$AG$5:$AG$178,"&gt;="&amp;DATE(2029,1,1),'2024'!$AG$5:$AG$178,"&lt;"&amp;EDATE(DATE(2029,1,1),1)))</f>
        <v/>
      </c>
      <c r="F91" s="7">
        <f>IF(N(D91)=0,"",E91/D91)</f>
        <v/>
      </c>
      <c r="G91" s="7">
        <f>IF(E91="","",E91/2)</f>
        <v/>
      </c>
      <c r="H91" s="7">
        <f>IF(DATE(2029,1,1)&gt;TODAY(),"",SUMIFS('2024'!$V$5:$V$178,'2024'!$AG$5:$AG$178,"&gt;="&amp;DATE(2029,1,1),'2024'!$AG$5:$AG$178,"&lt;"&amp;EDATE(DATE(2029,1,1),1)))</f>
        <v/>
      </c>
      <c r="I91" s="6">
        <f>IF(N(D91)=0,"",(SUMIFS('2024'!$AH$5:$AH$178,'2024'!$AG$5:$AG$178,"&gt;="&amp;DATE(2029,1,1),'2024'!$AG$5:$AG$178,"&lt;"&amp;EDATE(DATE(2029,1,1),1)))/D91)</f>
        <v/>
      </c>
      <c r="J91" s="6">
        <f>IF(N(D91)=0,"",(SUMIFS('2024'!$AI$5:$AI$178,'2024'!$AG$5:$AG$178,"&gt;="&amp;DATE(2029,1,1),'2024'!$AG$5:$AG$178,"&lt;"&amp;EDATE(DATE(2029,1,1),1)))/D91)</f>
        <v/>
      </c>
    </row>
    <row r="92">
      <c r="B92" s="12">
        <f>IF(DATE(2029,2,1)&gt;TODAY(),"",DATE(2029,2,1))</f>
        <v/>
      </c>
      <c r="C92" s="6">
        <f>IF(DATE(2029,2,1)&gt;TODAY(),"",COUNTIFS('2024'!$AD$5:$AD$178,"&gt;="&amp;DATE(2029,2,1),'2024'!$AD$5:$AD$178,"&lt;"&amp;EDATE(DATE(2029,2,1),1)))</f>
        <v/>
      </c>
      <c r="D92" s="6">
        <f>IF(DATE(2029,2,1)&gt;TODAY(),"",COUNTIFS('2024'!$AG$5:$AG$178,"&gt;="&amp;DATE(2029,2,1),'2024'!$AG$5:$AG$178,"&lt;"&amp;EDATE(DATE(2029,2,1),1)))</f>
        <v/>
      </c>
      <c r="E92" s="7">
        <f>IF(DATE(2029,2,1)&gt;TODAY(),"",SUMIFS('2024'!$X$5:$X$178,'2024'!$AG$5:$AG$178,"&gt;="&amp;DATE(2029,2,1),'2024'!$AG$5:$AG$178,"&lt;"&amp;EDATE(DATE(2029,2,1),1)))</f>
        <v/>
      </c>
      <c r="F92" s="7">
        <f>IF(N(D92)=0,"",E92/D92)</f>
        <v/>
      </c>
      <c r="G92" s="7">
        <f>IF(E92="","",E92/2)</f>
        <v/>
      </c>
      <c r="H92" s="7">
        <f>IF(DATE(2029,2,1)&gt;TODAY(),"",SUMIFS('2024'!$V$5:$V$178,'2024'!$AG$5:$AG$178,"&gt;="&amp;DATE(2029,2,1),'2024'!$AG$5:$AG$178,"&lt;"&amp;EDATE(DATE(2029,2,1),1)))</f>
        <v/>
      </c>
      <c r="I92" s="6">
        <f>IF(N(D92)=0,"",(SUMIFS('2024'!$AH$5:$AH$178,'2024'!$AG$5:$AG$178,"&gt;="&amp;DATE(2029,2,1),'2024'!$AG$5:$AG$178,"&lt;"&amp;EDATE(DATE(2029,2,1),1)))/D92)</f>
        <v/>
      </c>
      <c r="J92" s="6">
        <f>IF(N(D92)=0,"",(SUMIFS('2024'!$AI$5:$AI$178,'2024'!$AG$5:$AG$178,"&gt;="&amp;DATE(2029,2,1),'2024'!$AG$5:$AG$178,"&lt;"&amp;EDATE(DATE(2029,2,1),1)))/D92)</f>
        <v/>
      </c>
    </row>
    <row r="93">
      <c r="B93" s="12">
        <f>IF(DATE(2029,3,1)&gt;TODAY(),"",DATE(2029,3,1))</f>
        <v/>
      </c>
      <c r="C93" s="6">
        <f>IF(DATE(2029,3,1)&gt;TODAY(),"",COUNTIFS('2024'!$AD$5:$AD$178,"&gt;="&amp;DATE(2029,3,1),'2024'!$AD$5:$AD$178,"&lt;"&amp;EDATE(DATE(2029,3,1),1)))</f>
        <v/>
      </c>
      <c r="D93" s="6">
        <f>IF(DATE(2029,3,1)&gt;TODAY(),"",COUNTIFS('2024'!$AG$5:$AG$178,"&gt;="&amp;DATE(2029,3,1),'2024'!$AG$5:$AG$178,"&lt;"&amp;EDATE(DATE(2029,3,1),1)))</f>
        <v/>
      </c>
      <c r="E93" s="7">
        <f>IF(DATE(2029,3,1)&gt;TODAY(),"",SUMIFS('2024'!$X$5:$X$178,'2024'!$AG$5:$AG$178,"&gt;="&amp;DATE(2029,3,1),'2024'!$AG$5:$AG$178,"&lt;"&amp;EDATE(DATE(2029,3,1),1)))</f>
        <v/>
      </c>
      <c r="F93" s="7">
        <f>IF(N(D93)=0,"",E93/D93)</f>
        <v/>
      </c>
      <c r="G93" s="7">
        <f>IF(E93="","",E93/2)</f>
        <v/>
      </c>
      <c r="H93" s="7">
        <f>IF(DATE(2029,3,1)&gt;TODAY(),"",SUMIFS('2024'!$V$5:$V$178,'2024'!$AG$5:$AG$178,"&gt;="&amp;DATE(2029,3,1),'2024'!$AG$5:$AG$178,"&lt;"&amp;EDATE(DATE(2029,3,1),1)))</f>
        <v/>
      </c>
      <c r="I93" s="6">
        <f>IF(N(D93)=0,"",(SUMIFS('2024'!$AH$5:$AH$178,'2024'!$AG$5:$AG$178,"&gt;="&amp;DATE(2029,3,1),'2024'!$AG$5:$AG$178,"&lt;"&amp;EDATE(DATE(2029,3,1),1)))/D93)</f>
        <v/>
      </c>
      <c r="J93" s="6">
        <f>IF(N(D93)=0,"",(SUMIFS('2024'!$AI$5:$AI$178,'2024'!$AG$5:$AG$178,"&gt;="&amp;DATE(2029,3,1),'2024'!$AG$5:$AG$178,"&lt;"&amp;EDATE(DATE(2029,3,1),1)))/D93)</f>
        <v/>
      </c>
    </row>
    <row r="94">
      <c r="B94" s="12">
        <f>IF(DATE(2029,4,1)&gt;TODAY(),"",DATE(2029,4,1))</f>
        <v/>
      </c>
      <c r="C94" s="6">
        <f>IF(DATE(2029,4,1)&gt;TODAY(),"",COUNTIFS('2024'!$AD$5:$AD$178,"&gt;="&amp;DATE(2029,4,1),'2024'!$AD$5:$AD$178,"&lt;"&amp;EDATE(DATE(2029,4,1),1)))</f>
        <v/>
      </c>
      <c r="D94" s="6">
        <f>IF(DATE(2029,4,1)&gt;TODAY(),"",COUNTIFS('2024'!$AG$5:$AG$178,"&gt;="&amp;DATE(2029,4,1),'2024'!$AG$5:$AG$178,"&lt;"&amp;EDATE(DATE(2029,4,1),1)))</f>
        <v/>
      </c>
      <c r="E94" s="7">
        <f>IF(DATE(2029,4,1)&gt;TODAY(),"",SUMIFS('2024'!$X$5:$X$178,'2024'!$AG$5:$AG$178,"&gt;="&amp;DATE(2029,4,1),'2024'!$AG$5:$AG$178,"&lt;"&amp;EDATE(DATE(2029,4,1),1)))</f>
        <v/>
      </c>
      <c r="F94" s="7">
        <f>IF(N(D94)=0,"",E94/D94)</f>
        <v/>
      </c>
      <c r="G94" s="7">
        <f>IF(E94="","",E94/2)</f>
        <v/>
      </c>
      <c r="H94" s="7">
        <f>IF(DATE(2029,4,1)&gt;TODAY(),"",SUMIFS('2024'!$V$5:$V$178,'2024'!$AG$5:$AG$178,"&gt;="&amp;DATE(2029,4,1),'2024'!$AG$5:$AG$178,"&lt;"&amp;EDATE(DATE(2029,4,1),1)))</f>
        <v/>
      </c>
      <c r="I94" s="6">
        <f>IF(N(D94)=0,"",(SUMIFS('2024'!$AH$5:$AH$178,'2024'!$AG$5:$AG$178,"&gt;="&amp;DATE(2029,4,1),'2024'!$AG$5:$AG$178,"&lt;"&amp;EDATE(DATE(2029,4,1),1)))/D94)</f>
        <v/>
      </c>
      <c r="J94" s="6">
        <f>IF(N(D94)=0,"",(SUMIFS('2024'!$AI$5:$AI$178,'2024'!$AG$5:$AG$178,"&gt;="&amp;DATE(2029,4,1),'2024'!$AG$5:$AG$178,"&lt;"&amp;EDATE(DATE(2029,4,1),1)))/D94)</f>
        <v/>
      </c>
    </row>
    <row r="95">
      <c r="B95" s="12">
        <f>IF(DATE(2029,5,1)&gt;TODAY(),"",DATE(2029,5,1))</f>
        <v/>
      </c>
      <c r="C95" s="6">
        <f>IF(DATE(2029,5,1)&gt;TODAY(),"",COUNTIFS('2024'!$AD$5:$AD$178,"&gt;="&amp;DATE(2029,5,1),'2024'!$AD$5:$AD$178,"&lt;"&amp;EDATE(DATE(2029,5,1),1)))</f>
        <v/>
      </c>
      <c r="D95" s="6">
        <f>IF(DATE(2029,5,1)&gt;TODAY(),"",COUNTIFS('2024'!$AG$5:$AG$178,"&gt;="&amp;DATE(2029,5,1),'2024'!$AG$5:$AG$178,"&lt;"&amp;EDATE(DATE(2029,5,1),1)))</f>
        <v/>
      </c>
      <c r="E95" s="7">
        <f>IF(DATE(2029,5,1)&gt;TODAY(),"",SUMIFS('2024'!$X$5:$X$178,'2024'!$AG$5:$AG$178,"&gt;="&amp;DATE(2029,5,1),'2024'!$AG$5:$AG$178,"&lt;"&amp;EDATE(DATE(2029,5,1),1)))</f>
        <v/>
      </c>
      <c r="F95" s="7">
        <f>IF(N(D95)=0,"",E95/D95)</f>
        <v/>
      </c>
      <c r="G95" s="7">
        <f>IF(E95="","",E95/2)</f>
        <v/>
      </c>
      <c r="H95" s="7">
        <f>IF(DATE(2029,5,1)&gt;TODAY(),"",SUMIFS('2024'!$V$5:$V$178,'2024'!$AG$5:$AG$178,"&gt;="&amp;DATE(2029,5,1),'2024'!$AG$5:$AG$178,"&lt;"&amp;EDATE(DATE(2029,5,1),1)))</f>
        <v/>
      </c>
      <c r="I95" s="6">
        <f>IF(N(D95)=0,"",(SUMIFS('2024'!$AH$5:$AH$178,'2024'!$AG$5:$AG$178,"&gt;="&amp;DATE(2029,5,1),'2024'!$AG$5:$AG$178,"&lt;"&amp;EDATE(DATE(2029,5,1),1)))/D95)</f>
        <v/>
      </c>
      <c r="J95" s="6">
        <f>IF(N(D95)=0,"",(SUMIFS('2024'!$AI$5:$AI$178,'2024'!$AG$5:$AG$178,"&gt;="&amp;DATE(2029,5,1),'2024'!$AG$5:$AG$178,"&lt;"&amp;EDATE(DATE(2029,5,1),1)))/D95)</f>
        <v/>
      </c>
    </row>
    <row r="96">
      <c r="B96" s="12">
        <f>IF(DATE(2029,6,1)&gt;TODAY(),"",DATE(2029,6,1))</f>
        <v/>
      </c>
      <c r="C96" s="6">
        <f>IF(DATE(2029,6,1)&gt;TODAY(),"",COUNTIFS('2024'!$AD$5:$AD$178,"&gt;="&amp;DATE(2029,6,1),'2024'!$AD$5:$AD$178,"&lt;"&amp;EDATE(DATE(2029,6,1),1)))</f>
        <v/>
      </c>
      <c r="D96" s="6">
        <f>IF(DATE(2029,6,1)&gt;TODAY(),"",COUNTIFS('2024'!$AG$5:$AG$178,"&gt;="&amp;DATE(2029,6,1),'2024'!$AG$5:$AG$178,"&lt;"&amp;EDATE(DATE(2029,6,1),1)))</f>
        <v/>
      </c>
      <c r="E96" s="7">
        <f>IF(DATE(2029,6,1)&gt;TODAY(),"",SUMIFS('2024'!$X$5:$X$178,'2024'!$AG$5:$AG$178,"&gt;="&amp;DATE(2029,6,1),'2024'!$AG$5:$AG$178,"&lt;"&amp;EDATE(DATE(2029,6,1),1)))</f>
        <v/>
      </c>
      <c r="F96" s="7">
        <f>IF(N(D96)=0,"",E96/D96)</f>
        <v/>
      </c>
      <c r="G96" s="7">
        <f>IF(E96="","",E96/2)</f>
        <v/>
      </c>
      <c r="H96" s="7">
        <f>IF(DATE(2029,6,1)&gt;TODAY(),"",SUMIFS('2024'!$V$5:$V$178,'2024'!$AG$5:$AG$178,"&gt;="&amp;DATE(2029,6,1),'2024'!$AG$5:$AG$178,"&lt;"&amp;EDATE(DATE(2029,6,1),1)))</f>
        <v/>
      </c>
      <c r="I96" s="6">
        <f>IF(N(D96)=0,"",(SUMIFS('2024'!$AH$5:$AH$178,'2024'!$AG$5:$AG$178,"&gt;="&amp;DATE(2029,6,1),'2024'!$AG$5:$AG$178,"&lt;"&amp;EDATE(DATE(2029,6,1),1)))/D96)</f>
        <v/>
      </c>
      <c r="J96" s="6">
        <f>IF(N(D96)=0,"",(SUMIFS('2024'!$AI$5:$AI$178,'2024'!$AG$5:$AG$178,"&gt;="&amp;DATE(2029,6,1),'2024'!$AG$5:$AG$178,"&lt;"&amp;EDATE(DATE(2029,6,1),1)))/D96)</f>
        <v/>
      </c>
    </row>
    <row r="97">
      <c r="B97" s="12">
        <f>IF(DATE(2029,7,1)&gt;TODAY(),"",DATE(2029,7,1))</f>
        <v/>
      </c>
      <c r="C97" s="6">
        <f>IF(DATE(2029,7,1)&gt;TODAY(),"",COUNTIFS('2024'!$AD$5:$AD$178,"&gt;="&amp;DATE(2029,7,1),'2024'!$AD$5:$AD$178,"&lt;"&amp;EDATE(DATE(2029,7,1),1)))</f>
        <v/>
      </c>
      <c r="D97" s="6">
        <f>IF(DATE(2029,7,1)&gt;TODAY(),"",COUNTIFS('2024'!$AG$5:$AG$178,"&gt;="&amp;DATE(2029,7,1),'2024'!$AG$5:$AG$178,"&lt;"&amp;EDATE(DATE(2029,7,1),1)))</f>
        <v/>
      </c>
      <c r="E97" s="7">
        <f>IF(DATE(2029,7,1)&gt;TODAY(),"",SUMIFS('2024'!$X$5:$X$178,'2024'!$AG$5:$AG$178,"&gt;="&amp;DATE(2029,7,1),'2024'!$AG$5:$AG$178,"&lt;"&amp;EDATE(DATE(2029,7,1),1)))</f>
        <v/>
      </c>
      <c r="F97" s="7">
        <f>IF(N(D97)=0,"",E97/D97)</f>
        <v/>
      </c>
      <c r="G97" s="7">
        <f>IF(E97="","",E97/2)</f>
        <v/>
      </c>
      <c r="H97" s="7">
        <f>IF(DATE(2029,7,1)&gt;TODAY(),"",SUMIFS('2024'!$V$5:$V$178,'2024'!$AG$5:$AG$178,"&gt;="&amp;DATE(2029,7,1),'2024'!$AG$5:$AG$178,"&lt;"&amp;EDATE(DATE(2029,7,1),1)))</f>
        <v/>
      </c>
      <c r="I97" s="6">
        <f>IF(N(D97)=0,"",(SUMIFS('2024'!$AH$5:$AH$178,'2024'!$AG$5:$AG$178,"&gt;="&amp;DATE(2029,7,1),'2024'!$AG$5:$AG$178,"&lt;"&amp;EDATE(DATE(2029,7,1),1)))/D97)</f>
        <v/>
      </c>
      <c r="J97" s="6">
        <f>IF(N(D97)=0,"",(SUMIFS('2024'!$AI$5:$AI$178,'2024'!$AG$5:$AG$178,"&gt;="&amp;DATE(2029,7,1),'2024'!$AG$5:$AG$178,"&lt;"&amp;EDATE(DATE(2029,7,1),1)))/D97)</f>
        <v/>
      </c>
    </row>
    <row r="98">
      <c r="B98" s="12">
        <f>IF(DATE(2029,8,1)&gt;TODAY(),"",DATE(2029,8,1))</f>
        <v/>
      </c>
      <c r="C98" s="6">
        <f>IF(DATE(2029,8,1)&gt;TODAY(),"",COUNTIFS('2024'!$AD$5:$AD$178,"&gt;="&amp;DATE(2029,8,1),'2024'!$AD$5:$AD$178,"&lt;"&amp;EDATE(DATE(2029,8,1),1)))</f>
        <v/>
      </c>
      <c r="D98" s="6">
        <f>IF(DATE(2029,8,1)&gt;TODAY(),"",COUNTIFS('2024'!$AG$5:$AG$178,"&gt;="&amp;DATE(2029,8,1),'2024'!$AG$5:$AG$178,"&lt;"&amp;EDATE(DATE(2029,8,1),1)))</f>
        <v/>
      </c>
      <c r="E98" s="7">
        <f>IF(DATE(2029,8,1)&gt;TODAY(),"",SUMIFS('2024'!$X$5:$X$178,'2024'!$AG$5:$AG$178,"&gt;="&amp;DATE(2029,8,1),'2024'!$AG$5:$AG$178,"&lt;"&amp;EDATE(DATE(2029,8,1),1)))</f>
        <v/>
      </c>
      <c r="F98" s="7">
        <f>IF(N(D98)=0,"",E98/D98)</f>
        <v/>
      </c>
      <c r="G98" s="7">
        <f>IF(E98="","",E98/2)</f>
        <v/>
      </c>
      <c r="H98" s="7">
        <f>IF(DATE(2029,8,1)&gt;TODAY(),"",SUMIFS('2024'!$V$5:$V$178,'2024'!$AG$5:$AG$178,"&gt;="&amp;DATE(2029,8,1),'2024'!$AG$5:$AG$178,"&lt;"&amp;EDATE(DATE(2029,8,1),1)))</f>
        <v/>
      </c>
      <c r="I98" s="6">
        <f>IF(N(D98)=0,"",(SUMIFS('2024'!$AH$5:$AH$178,'2024'!$AG$5:$AG$178,"&gt;="&amp;DATE(2029,8,1),'2024'!$AG$5:$AG$178,"&lt;"&amp;EDATE(DATE(2029,8,1),1)))/D98)</f>
        <v/>
      </c>
      <c r="J98" s="6">
        <f>IF(N(D98)=0,"",(SUMIFS('2024'!$AI$5:$AI$178,'2024'!$AG$5:$AG$178,"&gt;="&amp;DATE(2029,8,1),'2024'!$AG$5:$AG$178,"&lt;"&amp;EDATE(DATE(2029,8,1),1)))/D98)</f>
        <v/>
      </c>
    </row>
    <row r="99">
      <c r="B99" s="12">
        <f>IF(DATE(2029,9,1)&gt;TODAY(),"",DATE(2029,9,1))</f>
        <v/>
      </c>
      <c r="C99" s="6">
        <f>IF(DATE(2029,9,1)&gt;TODAY(),"",COUNTIFS('2024'!$AD$5:$AD$178,"&gt;="&amp;DATE(2029,9,1),'2024'!$AD$5:$AD$178,"&lt;"&amp;EDATE(DATE(2029,9,1),1)))</f>
        <v/>
      </c>
      <c r="D99" s="6">
        <f>IF(DATE(2029,9,1)&gt;TODAY(),"",COUNTIFS('2024'!$AG$5:$AG$178,"&gt;="&amp;DATE(2029,9,1),'2024'!$AG$5:$AG$178,"&lt;"&amp;EDATE(DATE(2029,9,1),1)))</f>
        <v/>
      </c>
      <c r="E99" s="7">
        <f>IF(DATE(2029,9,1)&gt;TODAY(),"",SUMIFS('2024'!$X$5:$X$178,'2024'!$AG$5:$AG$178,"&gt;="&amp;DATE(2029,9,1),'2024'!$AG$5:$AG$178,"&lt;"&amp;EDATE(DATE(2029,9,1),1)))</f>
        <v/>
      </c>
      <c r="F99" s="7">
        <f>IF(N(D99)=0,"",E99/D99)</f>
        <v/>
      </c>
      <c r="G99" s="7">
        <f>IF(E99="","",E99/2)</f>
        <v/>
      </c>
      <c r="H99" s="7">
        <f>IF(DATE(2029,9,1)&gt;TODAY(),"",SUMIFS('2024'!$V$5:$V$178,'2024'!$AG$5:$AG$178,"&gt;="&amp;DATE(2029,9,1),'2024'!$AG$5:$AG$178,"&lt;"&amp;EDATE(DATE(2029,9,1),1)))</f>
        <v/>
      </c>
      <c r="I99" s="6">
        <f>IF(N(D99)=0,"",(SUMIFS('2024'!$AH$5:$AH$178,'2024'!$AG$5:$AG$178,"&gt;="&amp;DATE(2029,9,1),'2024'!$AG$5:$AG$178,"&lt;"&amp;EDATE(DATE(2029,9,1),1)))/D99)</f>
        <v/>
      </c>
      <c r="J99" s="6">
        <f>IF(N(D99)=0,"",(SUMIFS('2024'!$AI$5:$AI$178,'2024'!$AG$5:$AG$178,"&gt;="&amp;DATE(2029,9,1),'2024'!$AG$5:$AG$178,"&lt;"&amp;EDATE(DATE(2029,9,1),1)))/D99)</f>
        <v/>
      </c>
    </row>
    <row r="100">
      <c r="B100" s="12">
        <f>IF(DATE(2029,10,1)&gt;TODAY(),"",DATE(2029,10,1))</f>
        <v/>
      </c>
      <c r="C100" s="6">
        <f>IF(DATE(2029,10,1)&gt;TODAY(),"",COUNTIFS('2024'!$AD$5:$AD$178,"&gt;="&amp;DATE(2029,10,1),'2024'!$AD$5:$AD$178,"&lt;"&amp;EDATE(DATE(2029,10,1),1)))</f>
        <v/>
      </c>
      <c r="D100" s="6">
        <f>IF(DATE(2029,10,1)&gt;TODAY(),"",COUNTIFS('2024'!$AG$5:$AG$178,"&gt;="&amp;DATE(2029,10,1),'2024'!$AG$5:$AG$178,"&lt;"&amp;EDATE(DATE(2029,10,1),1)))</f>
        <v/>
      </c>
      <c r="E100" s="7">
        <f>IF(DATE(2029,10,1)&gt;TODAY(),"",SUMIFS('2024'!$X$5:$X$178,'2024'!$AG$5:$AG$178,"&gt;="&amp;DATE(2029,10,1),'2024'!$AG$5:$AG$178,"&lt;"&amp;EDATE(DATE(2029,10,1),1)))</f>
        <v/>
      </c>
      <c r="F100" s="7">
        <f>IF(N(D100)=0,"",E100/D100)</f>
        <v/>
      </c>
      <c r="G100" s="7">
        <f>IF(E100="","",E100/2)</f>
        <v/>
      </c>
      <c r="H100" s="7">
        <f>IF(DATE(2029,10,1)&gt;TODAY(),"",SUMIFS('2024'!$V$5:$V$178,'2024'!$AG$5:$AG$178,"&gt;="&amp;DATE(2029,10,1),'2024'!$AG$5:$AG$178,"&lt;"&amp;EDATE(DATE(2029,10,1),1)))</f>
        <v/>
      </c>
      <c r="I100" s="6">
        <f>IF(N(D100)=0,"",(SUMIFS('2024'!$AH$5:$AH$178,'2024'!$AG$5:$AG$178,"&gt;="&amp;DATE(2029,10,1),'2024'!$AG$5:$AG$178,"&lt;"&amp;EDATE(DATE(2029,10,1),1)))/D100)</f>
        <v/>
      </c>
      <c r="J100" s="6">
        <f>IF(N(D100)=0,"",(SUMIFS('2024'!$AI$5:$AI$178,'2024'!$AG$5:$AG$178,"&gt;="&amp;DATE(2029,10,1),'2024'!$AG$5:$AG$178,"&lt;"&amp;EDATE(DATE(2029,10,1),1)))/D100)</f>
        <v/>
      </c>
    </row>
    <row r="101">
      <c r="B101" s="12">
        <f>IF(DATE(2029,11,1)&gt;TODAY(),"",DATE(2029,11,1))</f>
        <v/>
      </c>
      <c r="C101" s="6">
        <f>IF(DATE(2029,11,1)&gt;TODAY(),"",COUNTIFS('2024'!$AD$5:$AD$178,"&gt;="&amp;DATE(2029,11,1),'2024'!$AD$5:$AD$178,"&lt;"&amp;EDATE(DATE(2029,11,1),1)))</f>
        <v/>
      </c>
      <c r="D101" s="6">
        <f>IF(DATE(2029,11,1)&gt;TODAY(),"",COUNTIFS('2024'!$AG$5:$AG$178,"&gt;="&amp;DATE(2029,11,1),'2024'!$AG$5:$AG$178,"&lt;"&amp;EDATE(DATE(2029,11,1),1)))</f>
        <v/>
      </c>
      <c r="E101" s="7">
        <f>IF(DATE(2029,11,1)&gt;TODAY(),"",SUMIFS('2024'!$X$5:$X$178,'2024'!$AG$5:$AG$178,"&gt;="&amp;DATE(2029,11,1),'2024'!$AG$5:$AG$178,"&lt;"&amp;EDATE(DATE(2029,11,1),1)))</f>
        <v/>
      </c>
      <c r="F101" s="7">
        <f>IF(N(D101)=0,"",E101/D101)</f>
        <v/>
      </c>
      <c r="G101" s="7">
        <f>IF(E101="","",E101/2)</f>
        <v/>
      </c>
      <c r="H101" s="7">
        <f>IF(DATE(2029,11,1)&gt;TODAY(),"",SUMIFS('2024'!$V$5:$V$178,'2024'!$AG$5:$AG$178,"&gt;="&amp;DATE(2029,11,1),'2024'!$AG$5:$AG$178,"&lt;"&amp;EDATE(DATE(2029,11,1),1)))</f>
        <v/>
      </c>
      <c r="I101" s="6">
        <f>IF(N(D101)=0,"",(SUMIFS('2024'!$AH$5:$AH$178,'2024'!$AG$5:$AG$178,"&gt;="&amp;DATE(2029,11,1),'2024'!$AG$5:$AG$178,"&lt;"&amp;EDATE(DATE(2029,11,1),1)))/D101)</f>
        <v/>
      </c>
      <c r="J101" s="6">
        <f>IF(N(D101)=0,"",(SUMIFS('2024'!$AI$5:$AI$178,'2024'!$AG$5:$AG$178,"&gt;="&amp;DATE(2029,11,1),'2024'!$AG$5:$AG$178,"&lt;"&amp;EDATE(DATE(2029,11,1),1)))/D101)</f>
        <v/>
      </c>
    </row>
    <row r="102">
      <c r="B102" s="12">
        <f>IF(DATE(2029,12,1)&gt;TODAY(),"",DATE(2029,12,1))</f>
        <v/>
      </c>
      <c r="C102" s="6">
        <f>IF(DATE(2029,12,1)&gt;TODAY(),"",COUNTIFS('2024'!$AD$5:$AD$178,"&gt;="&amp;DATE(2029,12,1),'2024'!$AD$5:$AD$178,"&lt;"&amp;EDATE(DATE(2029,12,1),1)))</f>
        <v/>
      </c>
      <c r="D102" s="6">
        <f>IF(DATE(2029,12,1)&gt;TODAY(),"",COUNTIFS('2024'!$AG$5:$AG$178,"&gt;="&amp;DATE(2029,12,1),'2024'!$AG$5:$AG$178,"&lt;"&amp;EDATE(DATE(2029,12,1),1)))</f>
        <v/>
      </c>
      <c r="E102" s="7">
        <f>IF(DATE(2029,12,1)&gt;TODAY(),"",SUMIFS('2024'!$X$5:$X$178,'2024'!$AG$5:$AG$178,"&gt;="&amp;DATE(2029,12,1),'2024'!$AG$5:$AG$178,"&lt;"&amp;EDATE(DATE(2029,12,1),1)))</f>
        <v/>
      </c>
      <c r="F102" s="7">
        <f>IF(N(D102)=0,"",E102/D102)</f>
        <v/>
      </c>
      <c r="G102" s="7">
        <f>IF(E102="","",E102/2)</f>
        <v/>
      </c>
      <c r="H102" s="7">
        <f>IF(DATE(2029,12,1)&gt;TODAY(),"",SUMIFS('2024'!$V$5:$V$178,'2024'!$AG$5:$AG$178,"&gt;="&amp;DATE(2029,12,1),'2024'!$AG$5:$AG$178,"&lt;"&amp;EDATE(DATE(2029,12,1),1)))</f>
        <v/>
      </c>
      <c r="I102" s="6">
        <f>IF(N(D102)=0,"",(SUMIFS('2024'!$AH$5:$AH$178,'2024'!$AG$5:$AG$178,"&gt;="&amp;DATE(2029,12,1),'2024'!$AG$5:$AG$178,"&lt;"&amp;EDATE(DATE(2029,12,1),1)))/D102)</f>
        <v/>
      </c>
      <c r="J102" s="6">
        <f>IF(N(D102)=0,"",(SUMIFS('2024'!$AI$5:$AI$178,'2024'!$AG$5:$AG$178,"&gt;="&amp;DATE(2029,12,1),'2024'!$AG$5:$AG$178,"&lt;"&amp;EDATE(DATE(2029,12,1),1)))/D102)</f>
        <v/>
      </c>
    </row>
    <row r="103">
      <c r="B103" s="12">
        <f>IF(DATE(2030,1,1)&gt;TODAY(),"",DATE(2030,1,1))</f>
        <v/>
      </c>
      <c r="C103" s="6">
        <f>IF(DATE(2030,1,1)&gt;TODAY(),"",COUNTIFS('2024'!$AD$5:$AD$178,"&gt;="&amp;DATE(2030,1,1),'2024'!$AD$5:$AD$178,"&lt;"&amp;EDATE(DATE(2030,1,1),1)))</f>
        <v/>
      </c>
      <c r="D103" s="6">
        <f>IF(DATE(2030,1,1)&gt;TODAY(),"",COUNTIFS('2024'!$AG$5:$AG$178,"&gt;="&amp;DATE(2030,1,1),'2024'!$AG$5:$AG$178,"&lt;"&amp;EDATE(DATE(2030,1,1),1)))</f>
        <v/>
      </c>
      <c r="E103" s="7">
        <f>IF(DATE(2030,1,1)&gt;TODAY(),"",SUMIFS('2024'!$X$5:$X$178,'2024'!$AG$5:$AG$178,"&gt;="&amp;DATE(2030,1,1),'2024'!$AG$5:$AG$178,"&lt;"&amp;EDATE(DATE(2030,1,1),1)))</f>
        <v/>
      </c>
      <c r="F103" s="7">
        <f>IF(N(D103)=0,"",E103/D103)</f>
        <v/>
      </c>
      <c r="G103" s="7">
        <f>IF(E103="","",E103/2)</f>
        <v/>
      </c>
      <c r="H103" s="7">
        <f>IF(DATE(2030,1,1)&gt;TODAY(),"",SUMIFS('2024'!$V$5:$V$178,'2024'!$AG$5:$AG$178,"&gt;="&amp;DATE(2030,1,1),'2024'!$AG$5:$AG$178,"&lt;"&amp;EDATE(DATE(2030,1,1),1)))</f>
        <v/>
      </c>
      <c r="I103" s="6">
        <f>IF(N(D103)=0,"",(SUMIFS('2024'!$AH$5:$AH$178,'2024'!$AG$5:$AG$178,"&gt;="&amp;DATE(2030,1,1),'2024'!$AG$5:$AG$178,"&lt;"&amp;EDATE(DATE(2030,1,1),1)))/D103)</f>
        <v/>
      </c>
      <c r="J103" s="6">
        <f>IF(N(D103)=0,"",(SUMIFS('2024'!$AI$5:$AI$178,'2024'!$AG$5:$AG$178,"&gt;="&amp;DATE(2030,1,1),'2024'!$AG$5:$AG$178,"&lt;"&amp;EDATE(DATE(2030,1,1),1)))/D103)</f>
        <v/>
      </c>
    </row>
    <row r="104">
      <c r="B104" s="12">
        <f>IF(DATE(2030,2,1)&gt;TODAY(),"",DATE(2030,2,1))</f>
        <v/>
      </c>
      <c r="C104" s="6">
        <f>IF(DATE(2030,2,1)&gt;TODAY(),"",COUNTIFS('2024'!$AD$5:$AD$178,"&gt;="&amp;DATE(2030,2,1),'2024'!$AD$5:$AD$178,"&lt;"&amp;EDATE(DATE(2030,2,1),1)))</f>
        <v/>
      </c>
      <c r="D104" s="6">
        <f>IF(DATE(2030,2,1)&gt;TODAY(),"",COUNTIFS('2024'!$AG$5:$AG$178,"&gt;="&amp;DATE(2030,2,1),'2024'!$AG$5:$AG$178,"&lt;"&amp;EDATE(DATE(2030,2,1),1)))</f>
        <v/>
      </c>
      <c r="E104" s="7">
        <f>IF(DATE(2030,2,1)&gt;TODAY(),"",SUMIFS('2024'!$X$5:$X$178,'2024'!$AG$5:$AG$178,"&gt;="&amp;DATE(2030,2,1),'2024'!$AG$5:$AG$178,"&lt;"&amp;EDATE(DATE(2030,2,1),1)))</f>
        <v/>
      </c>
      <c r="F104" s="7">
        <f>IF(N(D104)=0,"",E104/D104)</f>
        <v/>
      </c>
      <c r="G104" s="7">
        <f>IF(E104="","",E104/2)</f>
        <v/>
      </c>
      <c r="H104" s="7">
        <f>IF(DATE(2030,2,1)&gt;TODAY(),"",SUMIFS('2024'!$V$5:$V$178,'2024'!$AG$5:$AG$178,"&gt;="&amp;DATE(2030,2,1),'2024'!$AG$5:$AG$178,"&lt;"&amp;EDATE(DATE(2030,2,1),1)))</f>
        <v/>
      </c>
      <c r="I104" s="6">
        <f>IF(N(D104)=0,"",(SUMIFS('2024'!$AH$5:$AH$178,'2024'!$AG$5:$AG$178,"&gt;="&amp;DATE(2030,2,1),'2024'!$AG$5:$AG$178,"&lt;"&amp;EDATE(DATE(2030,2,1),1)))/D104)</f>
        <v/>
      </c>
      <c r="J104" s="6">
        <f>IF(N(D104)=0,"",(SUMIFS('2024'!$AI$5:$AI$178,'2024'!$AG$5:$AG$178,"&gt;="&amp;DATE(2030,2,1),'2024'!$AG$5:$AG$178,"&lt;"&amp;EDATE(DATE(2030,2,1),1)))/D104)</f>
        <v/>
      </c>
    </row>
    <row r="105">
      <c r="B105" s="12">
        <f>IF(DATE(2030,3,1)&gt;TODAY(),"",DATE(2030,3,1))</f>
        <v/>
      </c>
      <c r="C105" s="6">
        <f>IF(DATE(2030,3,1)&gt;TODAY(),"",COUNTIFS('2024'!$AD$5:$AD$178,"&gt;="&amp;DATE(2030,3,1),'2024'!$AD$5:$AD$178,"&lt;"&amp;EDATE(DATE(2030,3,1),1)))</f>
        <v/>
      </c>
      <c r="D105" s="6">
        <f>IF(DATE(2030,3,1)&gt;TODAY(),"",COUNTIFS('2024'!$AG$5:$AG$178,"&gt;="&amp;DATE(2030,3,1),'2024'!$AG$5:$AG$178,"&lt;"&amp;EDATE(DATE(2030,3,1),1)))</f>
        <v/>
      </c>
      <c r="E105" s="7">
        <f>IF(DATE(2030,3,1)&gt;TODAY(),"",SUMIFS('2024'!$X$5:$X$178,'2024'!$AG$5:$AG$178,"&gt;="&amp;DATE(2030,3,1),'2024'!$AG$5:$AG$178,"&lt;"&amp;EDATE(DATE(2030,3,1),1)))</f>
        <v/>
      </c>
      <c r="F105" s="7">
        <f>IF(N(D105)=0,"",E105/D105)</f>
        <v/>
      </c>
      <c r="G105" s="7">
        <f>IF(E105="","",E105/2)</f>
        <v/>
      </c>
      <c r="H105" s="7">
        <f>IF(DATE(2030,3,1)&gt;TODAY(),"",SUMIFS('2024'!$V$5:$V$178,'2024'!$AG$5:$AG$178,"&gt;="&amp;DATE(2030,3,1),'2024'!$AG$5:$AG$178,"&lt;"&amp;EDATE(DATE(2030,3,1),1)))</f>
        <v/>
      </c>
      <c r="I105" s="6">
        <f>IF(N(D105)=0,"",(SUMIFS('2024'!$AH$5:$AH$178,'2024'!$AG$5:$AG$178,"&gt;="&amp;DATE(2030,3,1),'2024'!$AG$5:$AG$178,"&lt;"&amp;EDATE(DATE(2030,3,1),1)))/D105)</f>
        <v/>
      </c>
      <c r="J105" s="6">
        <f>IF(N(D105)=0,"",(SUMIFS('2024'!$AI$5:$AI$178,'2024'!$AG$5:$AG$178,"&gt;="&amp;DATE(2030,3,1),'2024'!$AG$5:$AG$178,"&lt;"&amp;EDATE(DATE(2030,3,1),1)))/D105)</f>
        <v/>
      </c>
    </row>
    <row r="106">
      <c r="B106" s="12">
        <f>IF(DATE(2030,4,1)&gt;TODAY(),"",DATE(2030,4,1))</f>
        <v/>
      </c>
      <c r="C106" s="6">
        <f>IF(DATE(2030,4,1)&gt;TODAY(),"",COUNTIFS('2024'!$AD$5:$AD$178,"&gt;="&amp;DATE(2030,4,1),'2024'!$AD$5:$AD$178,"&lt;"&amp;EDATE(DATE(2030,4,1),1)))</f>
        <v/>
      </c>
      <c r="D106" s="6">
        <f>IF(DATE(2030,4,1)&gt;TODAY(),"",COUNTIFS('2024'!$AG$5:$AG$178,"&gt;="&amp;DATE(2030,4,1),'2024'!$AG$5:$AG$178,"&lt;"&amp;EDATE(DATE(2030,4,1),1)))</f>
        <v/>
      </c>
      <c r="E106" s="7">
        <f>IF(DATE(2030,4,1)&gt;TODAY(),"",SUMIFS('2024'!$X$5:$X$178,'2024'!$AG$5:$AG$178,"&gt;="&amp;DATE(2030,4,1),'2024'!$AG$5:$AG$178,"&lt;"&amp;EDATE(DATE(2030,4,1),1)))</f>
        <v/>
      </c>
      <c r="F106" s="7">
        <f>IF(N(D106)=0,"",E106/D106)</f>
        <v/>
      </c>
      <c r="G106" s="7">
        <f>IF(E106="","",E106/2)</f>
        <v/>
      </c>
      <c r="H106" s="7">
        <f>IF(DATE(2030,4,1)&gt;TODAY(),"",SUMIFS('2024'!$V$5:$V$178,'2024'!$AG$5:$AG$178,"&gt;="&amp;DATE(2030,4,1),'2024'!$AG$5:$AG$178,"&lt;"&amp;EDATE(DATE(2030,4,1),1)))</f>
        <v/>
      </c>
      <c r="I106" s="6">
        <f>IF(N(D106)=0,"",(SUMIFS('2024'!$AH$5:$AH$178,'2024'!$AG$5:$AG$178,"&gt;="&amp;DATE(2030,4,1),'2024'!$AG$5:$AG$178,"&lt;"&amp;EDATE(DATE(2030,4,1),1)))/D106)</f>
        <v/>
      </c>
      <c r="J106" s="6">
        <f>IF(N(D106)=0,"",(SUMIFS('2024'!$AI$5:$AI$178,'2024'!$AG$5:$AG$178,"&gt;="&amp;DATE(2030,4,1),'2024'!$AG$5:$AG$178,"&lt;"&amp;EDATE(DATE(2030,4,1),1)))/D106)</f>
        <v/>
      </c>
    </row>
    <row r="107">
      <c r="B107" s="12">
        <f>IF(DATE(2030,5,1)&gt;TODAY(),"",DATE(2030,5,1))</f>
        <v/>
      </c>
      <c r="C107" s="6">
        <f>IF(DATE(2030,5,1)&gt;TODAY(),"",COUNTIFS('2024'!$AD$5:$AD$178,"&gt;="&amp;DATE(2030,5,1),'2024'!$AD$5:$AD$178,"&lt;"&amp;EDATE(DATE(2030,5,1),1)))</f>
        <v/>
      </c>
      <c r="D107" s="6">
        <f>IF(DATE(2030,5,1)&gt;TODAY(),"",COUNTIFS('2024'!$AG$5:$AG$178,"&gt;="&amp;DATE(2030,5,1),'2024'!$AG$5:$AG$178,"&lt;"&amp;EDATE(DATE(2030,5,1),1)))</f>
        <v/>
      </c>
      <c r="E107" s="7">
        <f>IF(DATE(2030,5,1)&gt;TODAY(),"",SUMIFS('2024'!$X$5:$X$178,'2024'!$AG$5:$AG$178,"&gt;="&amp;DATE(2030,5,1),'2024'!$AG$5:$AG$178,"&lt;"&amp;EDATE(DATE(2030,5,1),1)))</f>
        <v/>
      </c>
      <c r="F107" s="7">
        <f>IF(N(D107)=0,"",E107/D107)</f>
        <v/>
      </c>
      <c r="G107" s="7">
        <f>IF(E107="","",E107/2)</f>
        <v/>
      </c>
      <c r="H107" s="7">
        <f>IF(DATE(2030,5,1)&gt;TODAY(),"",SUMIFS('2024'!$V$5:$V$178,'2024'!$AG$5:$AG$178,"&gt;="&amp;DATE(2030,5,1),'2024'!$AG$5:$AG$178,"&lt;"&amp;EDATE(DATE(2030,5,1),1)))</f>
        <v/>
      </c>
      <c r="I107" s="6">
        <f>IF(N(D107)=0,"",(SUMIFS('2024'!$AH$5:$AH$178,'2024'!$AG$5:$AG$178,"&gt;="&amp;DATE(2030,5,1),'2024'!$AG$5:$AG$178,"&lt;"&amp;EDATE(DATE(2030,5,1),1)))/D107)</f>
        <v/>
      </c>
      <c r="J107" s="6">
        <f>IF(N(D107)=0,"",(SUMIFS('2024'!$AI$5:$AI$178,'2024'!$AG$5:$AG$178,"&gt;="&amp;DATE(2030,5,1),'2024'!$AG$5:$AG$178,"&lt;"&amp;EDATE(DATE(2030,5,1),1)))/D107)</f>
        <v/>
      </c>
    </row>
    <row r="108">
      <c r="B108" s="12">
        <f>IF(DATE(2030,6,1)&gt;TODAY(),"",DATE(2030,6,1))</f>
        <v/>
      </c>
      <c r="C108" s="6">
        <f>IF(DATE(2030,6,1)&gt;TODAY(),"",COUNTIFS('2024'!$AD$5:$AD$178,"&gt;="&amp;DATE(2030,6,1),'2024'!$AD$5:$AD$178,"&lt;"&amp;EDATE(DATE(2030,6,1),1)))</f>
        <v/>
      </c>
      <c r="D108" s="6">
        <f>IF(DATE(2030,6,1)&gt;TODAY(),"",COUNTIFS('2024'!$AG$5:$AG$178,"&gt;="&amp;DATE(2030,6,1),'2024'!$AG$5:$AG$178,"&lt;"&amp;EDATE(DATE(2030,6,1),1)))</f>
        <v/>
      </c>
      <c r="E108" s="7">
        <f>IF(DATE(2030,6,1)&gt;TODAY(),"",SUMIFS('2024'!$X$5:$X$178,'2024'!$AG$5:$AG$178,"&gt;="&amp;DATE(2030,6,1),'2024'!$AG$5:$AG$178,"&lt;"&amp;EDATE(DATE(2030,6,1),1)))</f>
        <v/>
      </c>
      <c r="F108" s="7">
        <f>IF(N(D108)=0,"",E108/D108)</f>
        <v/>
      </c>
      <c r="G108" s="7">
        <f>IF(E108="","",E108/2)</f>
        <v/>
      </c>
      <c r="H108" s="7">
        <f>IF(DATE(2030,6,1)&gt;TODAY(),"",SUMIFS('2024'!$V$5:$V$178,'2024'!$AG$5:$AG$178,"&gt;="&amp;DATE(2030,6,1),'2024'!$AG$5:$AG$178,"&lt;"&amp;EDATE(DATE(2030,6,1),1)))</f>
        <v/>
      </c>
      <c r="I108" s="6">
        <f>IF(N(D108)=0,"",(SUMIFS('2024'!$AH$5:$AH$178,'2024'!$AG$5:$AG$178,"&gt;="&amp;DATE(2030,6,1),'2024'!$AG$5:$AG$178,"&lt;"&amp;EDATE(DATE(2030,6,1),1)))/D108)</f>
        <v/>
      </c>
      <c r="J108" s="6">
        <f>IF(N(D108)=0,"",(SUMIFS('2024'!$AI$5:$AI$178,'2024'!$AG$5:$AG$178,"&gt;="&amp;DATE(2030,6,1),'2024'!$AG$5:$AG$178,"&lt;"&amp;EDATE(DATE(2030,6,1),1)))/D108)</f>
        <v/>
      </c>
    </row>
    <row r="109">
      <c r="B109" s="12">
        <f>IF(DATE(2030,7,1)&gt;TODAY(),"",DATE(2030,7,1))</f>
        <v/>
      </c>
      <c r="C109" s="6">
        <f>IF(DATE(2030,7,1)&gt;TODAY(),"",COUNTIFS('2024'!$AD$5:$AD$178,"&gt;="&amp;DATE(2030,7,1),'2024'!$AD$5:$AD$178,"&lt;"&amp;EDATE(DATE(2030,7,1),1)))</f>
        <v/>
      </c>
      <c r="D109" s="6">
        <f>IF(DATE(2030,7,1)&gt;TODAY(),"",COUNTIFS('2024'!$AG$5:$AG$178,"&gt;="&amp;DATE(2030,7,1),'2024'!$AG$5:$AG$178,"&lt;"&amp;EDATE(DATE(2030,7,1),1)))</f>
        <v/>
      </c>
      <c r="E109" s="7">
        <f>IF(DATE(2030,7,1)&gt;TODAY(),"",SUMIFS('2024'!$X$5:$X$178,'2024'!$AG$5:$AG$178,"&gt;="&amp;DATE(2030,7,1),'2024'!$AG$5:$AG$178,"&lt;"&amp;EDATE(DATE(2030,7,1),1)))</f>
        <v/>
      </c>
      <c r="F109" s="7">
        <f>IF(N(D109)=0,"",E109/D109)</f>
        <v/>
      </c>
      <c r="G109" s="7">
        <f>IF(E109="","",E109/2)</f>
        <v/>
      </c>
      <c r="H109" s="7">
        <f>IF(DATE(2030,7,1)&gt;TODAY(),"",SUMIFS('2024'!$V$5:$V$178,'2024'!$AG$5:$AG$178,"&gt;="&amp;DATE(2030,7,1),'2024'!$AG$5:$AG$178,"&lt;"&amp;EDATE(DATE(2030,7,1),1)))</f>
        <v/>
      </c>
      <c r="I109" s="6">
        <f>IF(N(D109)=0,"",(SUMIFS('2024'!$AH$5:$AH$178,'2024'!$AG$5:$AG$178,"&gt;="&amp;DATE(2030,7,1),'2024'!$AG$5:$AG$178,"&lt;"&amp;EDATE(DATE(2030,7,1),1)))/D109)</f>
        <v/>
      </c>
      <c r="J109" s="6">
        <f>IF(N(D109)=0,"",(SUMIFS('2024'!$AI$5:$AI$178,'2024'!$AG$5:$AG$178,"&gt;="&amp;DATE(2030,7,1),'2024'!$AG$5:$AG$178,"&lt;"&amp;EDATE(DATE(2030,7,1),1)))/D109)</f>
        <v/>
      </c>
    </row>
    <row r="110">
      <c r="B110" s="12">
        <f>IF(DATE(2030,8,1)&gt;TODAY(),"",DATE(2030,8,1))</f>
        <v/>
      </c>
      <c r="C110" s="6">
        <f>IF(DATE(2030,8,1)&gt;TODAY(),"",COUNTIFS('2024'!$AD$5:$AD$178,"&gt;="&amp;DATE(2030,8,1),'2024'!$AD$5:$AD$178,"&lt;"&amp;EDATE(DATE(2030,8,1),1)))</f>
        <v/>
      </c>
      <c r="D110" s="6">
        <f>IF(DATE(2030,8,1)&gt;TODAY(),"",COUNTIFS('2024'!$AG$5:$AG$178,"&gt;="&amp;DATE(2030,8,1),'2024'!$AG$5:$AG$178,"&lt;"&amp;EDATE(DATE(2030,8,1),1)))</f>
        <v/>
      </c>
      <c r="E110" s="7">
        <f>IF(DATE(2030,8,1)&gt;TODAY(),"",SUMIFS('2024'!$X$5:$X$178,'2024'!$AG$5:$AG$178,"&gt;="&amp;DATE(2030,8,1),'2024'!$AG$5:$AG$178,"&lt;"&amp;EDATE(DATE(2030,8,1),1)))</f>
        <v/>
      </c>
      <c r="F110" s="7">
        <f>IF(N(D110)=0,"",E110/D110)</f>
        <v/>
      </c>
      <c r="G110" s="7">
        <f>IF(E110="","",E110/2)</f>
        <v/>
      </c>
      <c r="H110" s="7">
        <f>IF(DATE(2030,8,1)&gt;TODAY(),"",SUMIFS('2024'!$V$5:$V$178,'2024'!$AG$5:$AG$178,"&gt;="&amp;DATE(2030,8,1),'2024'!$AG$5:$AG$178,"&lt;"&amp;EDATE(DATE(2030,8,1),1)))</f>
        <v/>
      </c>
      <c r="I110" s="6">
        <f>IF(N(D110)=0,"",(SUMIFS('2024'!$AH$5:$AH$178,'2024'!$AG$5:$AG$178,"&gt;="&amp;DATE(2030,8,1),'2024'!$AG$5:$AG$178,"&lt;"&amp;EDATE(DATE(2030,8,1),1)))/D110)</f>
        <v/>
      </c>
      <c r="J110" s="6">
        <f>IF(N(D110)=0,"",(SUMIFS('2024'!$AI$5:$AI$178,'2024'!$AG$5:$AG$178,"&gt;="&amp;DATE(2030,8,1),'2024'!$AG$5:$AG$178,"&lt;"&amp;EDATE(DATE(2030,8,1),1)))/D110)</f>
        <v/>
      </c>
    </row>
    <row r="111">
      <c r="B111" s="12">
        <f>IF(DATE(2030,9,1)&gt;TODAY(),"",DATE(2030,9,1))</f>
        <v/>
      </c>
      <c r="C111" s="6">
        <f>IF(DATE(2030,9,1)&gt;TODAY(),"",COUNTIFS('2024'!$AD$5:$AD$178,"&gt;="&amp;DATE(2030,9,1),'2024'!$AD$5:$AD$178,"&lt;"&amp;EDATE(DATE(2030,9,1),1)))</f>
        <v/>
      </c>
      <c r="D111" s="6">
        <f>IF(DATE(2030,9,1)&gt;TODAY(),"",COUNTIFS('2024'!$AG$5:$AG$178,"&gt;="&amp;DATE(2030,9,1),'2024'!$AG$5:$AG$178,"&lt;"&amp;EDATE(DATE(2030,9,1),1)))</f>
        <v/>
      </c>
      <c r="E111" s="7">
        <f>IF(DATE(2030,9,1)&gt;TODAY(),"",SUMIFS('2024'!$X$5:$X$178,'2024'!$AG$5:$AG$178,"&gt;="&amp;DATE(2030,9,1),'2024'!$AG$5:$AG$178,"&lt;"&amp;EDATE(DATE(2030,9,1),1)))</f>
        <v/>
      </c>
      <c r="F111" s="7">
        <f>IF(N(D111)=0,"",E111/D111)</f>
        <v/>
      </c>
      <c r="G111" s="7">
        <f>IF(E111="","",E111/2)</f>
        <v/>
      </c>
      <c r="H111" s="7">
        <f>IF(DATE(2030,9,1)&gt;TODAY(),"",SUMIFS('2024'!$V$5:$V$178,'2024'!$AG$5:$AG$178,"&gt;="&amp;DATE(2030,9,1),'2024'!$AG$5:$AG$178,"&lt;"&amp;EDATE(DATE(2030,9,1),1)))</f>
        <v/>
      </c>
      <c r="I111" s="6">
        <f>IF(N(D111)=0,"",(SUMIFS('2024'!$AH$5:$AH$178,'2024'!$AG$5:$AG$178,"&gt;="&amp;DATE(2030,9,1),'2024'!$AG$5:$AG$178,"&lt;"&amp;EDATE(DATE(2030,9,1),1)))/D111)</f>
        <v/>
      </c>
      <c r="J111" s="6">
        <f>IF(N(D111)=0,"",(SUMIFS('2024'!$AI$5:$AI$178,'2024'!$AG$5:$AG$178,"&gt;="&amp;DATE(2030,9,1),'2024'!$AG$5:$AG$178,"&lt;"&amp;EDATE(DATE(2030,9,1),1)))/D111)</f>
        <v/>
      </c>
    </row>
    <row r="112">
      <c r="B112" s="12">
        <f>IF(DATE(2030,10,1)&gt;TODAY(),"",DATE(2030,10,1))</f>
        <v/>
      </c>
      <c r="C112" s="6">
        <f>IF(DATE(2030,10,1)&gt;TODAY(),"",COUNTIFS('2024'!$AD$5:$AD$178,"&gt;="&amp;DATE(2030,10,1),'2024'!$AD$5:$AD$178,"&lt;"&amp;EDATE(DATE(2030,10,1),1)))</f>
        <v/>
      </c>
      <c r="D112" s="6">
        <f>IF(DATE(2030,10,1)&gt;TODAY(),"",COUNTIFS('2024'!$AG$5:$AG$178,"&gt;="&amp;DATE(2030,10,1),'2024'!$AG$5:$AG$178,"&lt;"&amp;EDATE(DATE(2030,10,1),1)))</f>
        <v/>
      </c>
      <c r="E112" s="7">
        <f>IF(DATE(2030,10,1)&gt;TODAY(),"",SUMIFS('2024'!$X$5:$X$178,'2024'!$AG$5:$AG$178,"&gt;="&amp;DATE(2030,10,1),'2024'!$AG$5:$AG$178,"&lt;"&amp;EDATE(DATE(2030,10,1),1)))</f>
        <v/>
      </c>
      <c r="F112" s="7">
        <f>IF(N(D112)=0,"",E112/D112)</f>
        <v/>
      </c>
      <c r="G112" s="7">
        <f>IF(E112="","",E112/2)</f>
        <v/>
      </c>
      <c r="H112" s="7">
        <f>IF(DATE(2030,10,1)&gt;TODAY(),"",SUMIFS('2024'!$V$5:$V$178,'2024'!$AG$5:$AG$178,"&gt;="&amp;DATE(2030,10,1),'2024'!$AG$5:$AG$178,"&lt;"&amp;EDATE(DATE(2030,10,1),1)))</f>
        <v/>
      </c>
      <c r="I112" s="6">
        <f>IF(N(D112)=0,"",(SUMIFS('2024'!$AH$5:$AH$178,'2024'!$AG$5:$AG$178,"&gt;="&amp;DATE(2030,10,1),'2024'!$AG$5:$AG$178,"&lt;"&amp;EDATE(DATE(2030,10,1),1)))/D112)</f>
        <v/>
      </c>
      <c r="J112" s="6">
        <f>IF(N(D112)=0,"",(SUMIFS('2024'!$AI$5:$AI$178,'2024'!$AG$5:$AG$178,"&gt;="&amp;DATE(2030,10,1),'2024'!$AG$5:$AG$178,"&lt;"&amp;EDATE(DATE(2030,10,1),1)))/D112)</f>
        <v/>
      </c>
    </row>
    <row r="113">
      <c r="B113" s="12">
        <f>IF(DATE(2030,11,1)&gt;TODAY(),"",DATE(2030,11,1))</f>
        <v/>
      </c>
      <c r="C113" s="6">
        <f>IF(DATE(2030,11,1)&gt;TODAY(),"",COUNTIFS('2024'!$AD$5:$AD$178,"&gt;="&amp;DATE(2030,11,1),'2024'!$AD$5:$AD$178,"&lt;"&amp;EDATE(DATE(2030,11,1),1)))</f>
        <v/>
      </c>
      <c r="D113" s="6">
        <f>IF(DATE(2030,11,1)&gt;TODAY(),"",COUNTIFS('2024'!$AG$5:$AG$178,"&gt;="&amp;DATE(2030,11,1),'2024'!$AG$5:$AG$178,"&lt;"&amp;EDATE(DATE(2030,11,1),1)))</f>
        <v/>
      </c>
      <c r="E113" s="7">
        <f>IF(DATE(2030,11,1)&gt;TODAY(),"",SUMIFS('2024'!$X$5:$X$178,'2024'!$AG$5:$AG$178,"&gt;="&amp;DATE(2030,11,1),'2024'!$AG$5:$AG$178,"&lt;"&amp;EDATE(DATE(2030,11,1),1)))</f>
        <v/>
      </c>
      <c r="F113" s="7">
        <f>IF(N(D113)=0,"",E113/D113)</f>
        <v/>
      </c>
      <c r="G113" s="7">
        <f>IF(E113="","",E113/2)</f>
        <v/>
      </c>
      <c r="H113" s="7">
        <f>IF(DATE(2030,11,1)&gt;TODAY(),"",SUMIFS('2024'!$V$5:$V$178,'2024'!$AG$5:$AG$178,"&gt;="&amp;DATE(2030,11,1),'2024'!$AG$5:$AG$178,"&lt;"&amp;EDATE(DATE(2030,11,1),1)))</f>
        <v/>
      </c>
      <c r="I113" s="6">
        <f>IF(N(D113)=0,"",(SUMIFS('2024'!$AH$5:$AH$178,'2024'!$AG$5:$AG$178,"&gt;="&amp;DATE(2030,11,1),'2024'!$AG$5:$AG$178,"&lt;"&amp;EDATE(DATE(2030,11,1),1)))/D113)</f>
        <v/>
      </c>
      <c r="J113" s="6">
        <f>IF(N(D113)=0,"",(SUMIFS('2024'!$AI$5:$AI$178,'2024'!$AG$5:$AG$178,"&gt;="&amp;DATE(2030,11,1),'2024'!$AG$5:$AG$178,"&lt;"&amp;EDATE(DATE(2030,11,1),1)))/D113)</f>
        <v/>
      </c>
    </row>
    <row r="114">
      <c r="B114" s="12">
        <f>IF(DATE(2030,12,1)&gt;TODAY(),"",DATE(2030,12,1))</f>
        <v/>
      </c>
      <c r="C114" s="6">
        <f>IF(DATE(2030,12,1)&gt;TODAY(),"",COUNTIFS('2024'!$AD$5:$AD$178,"&gt;="&amp;DATE(2030,12,1),'2024'!$AD$5:$AD$178,"&lt;"&amp;EDATE(DATE(2030,12,1),1)))</f>
        <v/>
      </c>
      <c r="D114" s="6">
        <f>IF(DATE(2030,12,1)&gt;TODAY(),"",COUNTIFS('2024'!$AG$5:$AG$178,"&gt;="&amp;DATE(2030,12,1),'2024'!$AG$5:$AG$178,"&lt;"&amp;EDATE(DATE(2030,12,1),1)))</f>
        <v/>
      </c>
      <c r="E114" s="7">
        <f>IF(DATE(2030,12,1)&gt;TODAY(),"",SUMIFS('2024'!$X$5:$X$178,'2024'!$AG$5:$AG$178,"&gt;="&amp;DATE(2030,12,1),'2024'!$AG$5:$AG$178,"&lt;"&amp;EDATE(DATE(2030,12,1),1)))</f>
        <v/>
      </c>
      <c r="F114" s="7">
        <f>IF(N(D114)=0,"",E114/D114)</f>
        <v/>
      </c>
      <c r="G114" s="7">
        <f>IF(E114="","",E114/2)</f>
        <v/>
      </c>
      <c r="H114" s="7">
        <f>IF(DATE(2030,12,1)&gt;TODAY(),"",SUMIFS('2024'!$V$5:$V$178,'2024'!$AG$5:$AG$178,"&gt;="&amp;DATE(2030,12,1),'2024'!$AG$5:$AG$178,"&lt;"&amp;EDATE(DATE(2030,12,1),1)))</f>
        <v/>
      </c>
      <c r="I114" s="6">
        <f>IF(N(D114)=0,"",(SUMIFS('2024'!$AH$5:$AH$178,'2024'!$AG$5:$AG$178,"&gt;="&amp;DATE(2030,12,1),'2024'!$AG$5:$AG$178,"&lt;"&amp;EDATE(DATE(2030,12,1),1)))/D114)</f>
        <v/>
      </c>
      <c r="J114" s="6">
        <f>IF(N(D114)=0,"",(SUMIFS('2024'!$AI$5:$AI$178,'2024'!$AG$5:$AG$178,"&gt;="&amp;DATE(2030,12,1),'2024'!$AG$5:$AG$178,"&lt;"&amp;EDATE(DATE(2030,12,1),1)))/D114)</f>
        <v/>
      </c>
    </row>
    <row r="115">
      <c r="B115" s="12">
        <f>IF(DATE(2031,1,1)&gt;TODAY(),"",DATE(2031,1,1))</f>
        <v/>
      </c>
      <c r="C115" s="6">
        <f>IF(DATE(2031,1,1)&gt;TODAY(),"",COUNTIFS('2024'!$AD$5:$AD$178,"&gt;="&amp;DATE(2031,1,1),'2024'!$AD$5:$AD$178,"&lt;"&amp;EDATE(DATE(2031,1,1),1)))</f>
        <v/>
      </c>
      <c r="D115" s="6">
        <f>IF(DATE(2031,1,1)&gt;TODAY(),"",COUNTIFS('2024'!$AG$5:$AG$178,"&gt;="&amp;DATE(2031,1,1),'2024'!$AG$5:$AG$178,"&lt;"&amp;EDATE(DATE(2031,1,1),1)))</f>
        <v/>
      </c>
      <c r="E115" s="7">
        <f>IF(DATE(2031,1,1)&gt;TODAY(),"",SUMIFS('2024'!$X$5:$X$178,'2024'!$AG$5:$AG$178,"&gt;="&amp;DATE(2031,1,1),'2024'!$AG$5:$AG$178,"&lt;"&amp;EDATE(DATE(2031,1,1),1)))</f>
        <v/>
      </c>
      <c r="F115" s="7">
        <f>IF(N(D115)=0,"",E115/D115)</f>
        <v/>
      </c>
      <c r="G115" s="7">
        <f>IF(E115="","",E115/2)</f>
        <v/>
      </c>
      <c r="H115" s="7">
        <f>IF(DATE(2031,1,1)&gt;TODAY(),"",SUMIFS('2024'!$V$5:$V$178,'2024'!$AG$5:$AG$178,"&gt;="&amp;DATE(2031,1,1),'2024'!$AG$5:$AG$178,"&lt;"&amp;EDATE(DATE(2031,1,1),1)))</f>
        <v/>
      </c>
      <c r="I115" s="6">
        <f>IF(N(D115)=0,"",(SUMIFS('2024'!$AH$5:$AH$178,'2024'!$AG$5:$AG$178,"&gt;="&amp;DATE(2031,1,1),'2024'!$AG$5:$AG$178,"&lt;"&amp;EDATE(DATE(2031,1,1),1)))/D115)</f>
        <v/>
      </c>
      <c r="J115" s="6">
        <f>IF(N(D115)=0,"",(SUMIFS('2024'!$AI$5:$AI$178,'2024'!$AG$5:$AG$178,"&gt;="&amp;DATE(2031,1,1),'2024'!$AG$5:$AG$178,"&lt;"&amp;EDATE(DATE(2031,1,1),1)))/D115)</f>
        <v/>
      </c>
    </row>
    <row r="116">
      <c r="B116" s="12">
        <f>IF(DATE(2031,2,1)&gt;TODAY(),"",DATE(2031,2,1))</f>
        <v/>
      </c>
      <c r="C116" s="6">
        <f>IF(DATE(2031,2,1)&gt;TODAY(),"",COUNTIFS('2024'!$AD$5:$AD$178,"&gt;="&amp;DATE(2031,2,1),'2024'!$AD$5:$AD$178,"&lt;"&amp;EDATE(DATE(2031,2,1),1)))</f>
        <v/>
      </c>
      <c r="D116" s="6">
        <f>IF(DATE(2031,2,1)&gt;TODAY(),"",COUNTIFS('2024'!$AG$5:$AG$178,"&gt;="&amp;DATE(2031,2,1),'2024'!$AG$5:$AG$178,"&lt;"&amp;EDATE(DATE(2031,2,1),1)))</f>
        <v/>
      </c>
      <c r="E116" s="7">
        <f>IF(DATE(2031,2,1)&gt;TODAY(),"",SUMIFS('2024'!$X$5:$X$178,'2024'!$AG$5:$AG$178,"&gt;="&amp;DATE(2031,2,1),'2024'!$AG$5:$AG$178,"&lt;"&amp;EDATE(DATE(2031,2,1),1)))</f>
        <v/>
      </c>
      <c r="F116" s="7">
        <f>IF(N(D116)=0,"",E116/D116)</f>
        <v/>
      </c>
      <c r="G116" s="7">
        <f>IF(E116="","",E116/2)</f>
        <v/>
      </c>
      <c r="H116" s="7">
        <f>IF(DATE(2031,2,1)&gt;TODAY(),"",SUMIFS('2024'!$V$5:$V$178,'2024'!$AG$5:$AG$178,"&gt;="&amp;DATE(2031,2,1),'2024'!$AG$5:$AG$178,"&lt;"&amp;EDATE(DATE(2031,2,1),1)))</f>
        <v/>
      </c>
      <c r="I116" s="6">
        <f>IF(N(D116)=0,"",(SUMIFS('2024'!$AH$5:$AH$178,'2024'!$AG$5:$AG$178,"&gt;="&amp;DATE(2031,2,1),'2024'!$AG$5:$AG$178,"&lt;"&amp;EDATE(DATE(2031,2,1),1)))/D116)</f>
        <v/>
      </c>
      <c r="J116" s="6">
        <f>IF(N(D116)=0,"",(SUMIFS('2024'!$AI$5:$AI$178,'2024'!$AG$5:$AG$178,"&gt;="&amp;DATE(2031,2,1),'2024'!$AG$5:$AG$178,"&lt;"&amp;EDATE(DATE(2031,2,1),1)))/D116)</f>
        <v/>
      </c>
    </row>
    <row r="117">
      <c r="B117" s="12">
        <f>IF(DATE(2031,3,1)&gt;TODAY(),"",DATE(2031,3,1))</f>
        <v/>
      </c>
      <c r="C117" s="6">
        <f>IF(DATE(2031,3,1)&gt;TODAY(),"",COUNTIFS('2024'!$AD$5:$AD$178,"&gt;="&amp;DATE(2031,3,1),'2024'!$AD$5:$AD$178,"&lt;"&amp;EDATE(DATE(2031,3,1),1)))</f>
        <v/>
      </c>
      <c r="D117" s="6">
        <f>IF(DATE(2031,3,1)&gt;TODAY(),"",COUNTIFS('2024'!$AG$5:$AG$178,"&gt;="&amp;DATE(2031,3,1),'2024'!$AG$5:$AG$178,"&lt;"&amp;EDATE(DATE(2031,3,1),1)))</f>
        <v/>
      </c>
      <c r="E117" s="7">
        <f>IF(DATE(2031,3,1)&gt;TODAY(),"",SUMIFS('2024'!$X$5:$X$178,'2024'!$AG$5:$AG$178,"&gt;="&amp;DATE(2031,3,1),'2024'!$AG$5:$AG$178,"&lt;"&amp;EDATE(DATE(2031,3,1),1)))</f>
        <v/>
      </c>
      <c r="F117" s="7">
        <f>IF(N(D117)=0,"",E117/D117)</f>
        <v/>
      </c>
      <c r="G117" s="7">
        <f>IF(E117="","",E117/2)</f>
        <v/>
      </c>
      <c r="H117" s="7">
        <f>IF(DATE(2031,3,1)&gt;TODAY(),"",SUMIFS('2024'!$V$5:$V$178,'2024'!$AG$5:$AG$178,"&gt;="&amp;DATE(2031,3,1),'2024'!$AG$5:$AG$178,"&lt;"&amp;EDATE(DATE(2031,3,1),1)))</f>
        <v/>
      </c>
      <c r="I117" s="6">
        <f>IF(N(D117)=0,"",(SUMIFS('2024'!$AH$5:$AH$178,'2024'!$AG$5:$AG$178,"&gt;="&amp;DATE(2031,3,1),'2024'!$AG$5:$AG$178,"&lt;"&amp;EDATE(DATE(2031,3,1),1)))/D117)</f>
        <v/>
      </c>
      <c r="J117" s="6">
        <f>IF(N(D117)=0,"",(SUMIFS('2024'!$AI$5:$AI$178,'2024'!$AG$5:$AG$178,"&gt;="&amp;DATE(2031,3,1),'2024'!$AG$5:$AG$178,"&lt;"&amp;EDATE(DATE(2031,3,1),1)))/D117)</f>
        <v/>
      </c>
    </row>
    <row r="118">
      <c r="B118" s="12">
        <f>IF(DATE(2031,4,1)&gt;TODAY(),"",DATE(2031,4,1))</f>
        <v/>
      </c>
      <c r="C118" s="6">
        <f>IF(DATE(2031,4,1)&gt;TODAY(),"",COUNTIFS('2024'!$AD$5:$AD$178,"&gt;="&amp;DATE(2031,4,1),'2024'!$AD$5:$AD$178,"&lt;"&amp;EDATE(DATE(2031,4,1),1)))</f>
        <v/>
      </c>
      <c r="D118" s="6">
        <f>IF(DATE(2031,4,1)&gt;TODAY(),"",COUNTIFS('2024'!$AG$5:$AG$178,"&gt;="&amp;DATE(2031,4,1),'2024'!$AG$5:$AG$178,"&lt;"&amp;EDATE(DATE(2031,4,1),1)))</f>
        <v/>
      </c>
      <c r="E118" s="7">
        <f>IF(DATE(2031,4,1)&gt;TODAY(),"",SUMIFS('2024'!$X$5:$X$178,'2024'!$AG$5:$AG$178,"&gt;="&amp;DATE(2031,4,1),'2024'!$AG$5:$AG$178,"&lt;"&amp;EDATE(DATE(2031,4,1),1)))</f>
        <v/>
      </c>
      <c r="F118" s="7">
        <f>IF(N(D118)=0,"",E118/D118)</f>
        <v/>
      </c>
      <c r="G118" s="7">
        <f>IF(E118="","",E118/2)</f>
        <v/>
      </c>
      <c r="H118" s="7">
        <f>IF(DATE(2031,4,1)&gt;TODAY(),"",SUMIFS('2024'!$V$5:$V$178,'2024'!$AG$5:$AG$178,"&gt;="&amp;DATE(2031,4,1),'2024'!$AG$5:$AG$178,"&lt;"&amp;EDATE(DATE(2031,4,1),1)))</f>
        <v/>
      </c>
      <c r="I118" s="6">
        <f>IF(N(D118)=0,"",(SUMIFS('2024'!$AH$5:$AH$178,'2024'!$AG$5:$AG$178,"&gt;="&amp;DATE(2031,4,1),'2024'!$AG$5:$AG$178,"&lt;"&amp;EDATE(DATE(2031,4,1),1)))/D118)</f>
        <v/>
      </c>
      <c r="J118" s="6">
        <f>IF(N(D118)=0,"",(SUMIFS('2024'!$AI$5:$AI$178,'2024'!$AG$5:$AG$178,"&gt;="&amp;DATE(2031,4,1),'2024'!$AG$5:$AG$178,"&lt;"&amp;EDATE(DATE(2031,4,1),1)))/D118)</f>
        <v/>
      </c>
    </row>
    <row r="119">
      <c r="B119" s="12">
        <f>IF(DATE(2031,5,1)&gt;TODAY(),"",DATE(2031,5,1))</f>
        <v/>
      </c>
      <c r="C119" s="6">
        <f>IF(DATE(2031,5,1)&gt;TODAY(),"",COUNTIFS('2024'!$AD$5:$AD$178,"&gt;="&amp;DATE(2031,5,1),'2024'!$AD$5:$AD$178,"&lt;"&amp;EDATE(DATE(2031,5,1),1)))</f>
        <v/>
      </c>
      <c r="D119" s="6">
        <f>IF(DATE(2031,5,1)&gt;TODAY(),"",COUNTIFS('2024'!$AG$5:$AG$178,"&gt;="&amp;DATE(2031,5,1),'2024'!$AG$5:$AG$178,"&lt;"&amp;EDATE(DATE(2031,5,1),1)))</f>
        <v/>
      </c>
      <c r="E119" s="7">
        <f>IF(DATE(2031,5,1)&gt;TODAY(),"",SUMIFS('2024'!$X$5:$X$178,'2024'!$AG$5:$AG$178,"&gt;="&amp;DATE(2031,5,1),'2024'!$AG$5:$AG$178,"&lt;"&amp;EDATE(DATE(2031,5,1),1)))</f>
        <v/>
      </c>
      <c r="F119" s="7">
        <f>IF(N(D119)=0,"",E119/D119)</f>
        <v/>
      </c>
      <c r="G119" s="7">
        <f>IF(E119="","",E119/2)</f>
        <v/>
      </c>
      <c r="H119" s="7">
        <f>IF(DATE(2031,5,1)&gt;TODAY(),"",SUMIFS('2024'!$V$5:$V$178,'2024'!$AG$5:$AG$178,"&gt;="&amp;DATE(2031,5,1),'2024'!$AG$5:$AG$178,"&lt;"&amp;EDATE(DATE(2031,5,1),1)))</f>
        <v/>
      </c>
      <c r="I119" s="6">
        <f>IF(N(D119)=0,"",(SUMIFS('2024'!$AH$5:$AH$178,'2024'!$AG$5:$AG$178,"&gt;="&amp;DATE(2031,5,1),'2024'!$AG$5:$AG$178,"&lt;"&amp;EDATE(DATE(2031,5,1),1)))/D119)</f>
        <v/>
      </c>
      <c r="J119" s="6">
        <f>IF(N(D119)=0,"",(SUMIFS('2024'!$AI$5:$AI$178,'2024'!$AG$5:$AG$178,"&gt;="&amp;DATE(2031,5,1),'2024'!$AG$5:$AG$178,"&lt;"&amp;EDATE(DATE(2031,5,1),1)))/D119)</f>
        <v/>
      </c>
    </row>
    <row r="120">
      <c r="B120" s="12">
        <f>IF(DATE(2031,6,1)&gt;TODAY(),"",DATE(2031,6,1))</f>
        <v/>
      </c>
      <c r="C120" s="6">
        <f>IF(DATE(2031,6,1)&gt;TODAY(),"",COUNTIFS('2024'!$AD$5:$AD$178,"&gt;="&amp;DATE(2031,6,1),'2024'!$AD$5:$AD$178,"&lt;"&amp;EDATE(DATE(2031,6,1),1)))</f>
        <v/>
      </c>
      <c r="D120" s="6">
        <f>IF(DATE(2031,6,1)&gt;TODAY(),"",COUNTIFS('2024'!$AG$5:$AG$178,"&gt;="&amp;DATE(2031,6,1),'2024'!$AG$5:$AG$178,"&lt;"&amp;EDATE(DATE(2031,6,1),1)))</f>
        <v/>
      </c>
      <c r="E120" s="7">
        <f>IF(DATE(2031,6,1)&gt;TODAY(),"",SUMIFS('2024'!$X$5:$X$178,'2024'!$AG$5:$AG$178,"&gt;="&amp;DATE(2031,6,1),'2024'!$AG$5:$AG$178,"&lt;"&amp;EDATE(DATE(2031,6,1),1)))</f>
        <v/>
      </c>
      <c r="F120" s="7">
        <f>IF(N(D120)=0,"",E120/D120)</f>
        <v/>
      </c>
      <c r="G120" s="7">
        <f>IF(E120="","",E120/2)</f>
        <v/>
      </c>
      <c r="H120" s="7">
        <f>IF(DATE(2031,6,1)&gt;TODAY(),"",SUMIFS('2024'!$V$5:$V$178,'2024'!$AG$5:$AG$178,"&gt;="&amp;DATE(2031,6,1),'2024'!$AG$5:$AG$178,"&lt;"&amp;EDATE(DATE(2031,6,1),1)))</f>
        <v/>
      </c>
      <c r="I120" s="6">
        <f>IF(N(D120)=0,"",(SUMIFS('2024'!$AH$5:$AH$178,'2024'!$AG$5:$AG$178,"&gt;="&amp;DATE(2031,6,1),'2024'!$AG$5:$AG$178,"&lt;"&amp;EDATE(DATE(2031,6,1),1)))/D120)</f>
        <v/>
      </c>
      <c r="J120" s="6">
        <f>IF(N(D120)=0,"",(SUMIFS('2024'!$AI$5:$AI$178,'2024'!$AG$5:$AG$178,"&gt;="&amp;DATE(2031,6,1),'2024'!$AG$5:$AG$178,"&lt;"&amp;EDATE(DATE(2031,6,1),1)))/D120)</f>
        <v/>
      </c>
    </row>
    <row r="121">
      <c r="B121" s="12">
        <f>IF(DATE(2031,7,1)&gt;TODAY(),"",DATE(2031,7,1))</f>
        <v/>
      </c>
      <c r="C121" s="6">
        <f>IF(DATE(2031,7,1)&gt;TODAY(),"",COUNTIFS('2024'!$AD$5:$AD$178,"&gt;="&amp;DATE(2031,7,1),'2024'!$AD$5:$AD$178,"&lt;"&amp;EDATE(DATE(2031,7,1),1)))</f>
        <v/>
      </c>
      <c r="D121" s="6">
        <f>IF(DATE(2031,7,1)&gt;TODAY(),"",COUNTIFS('2024'!$AG$5:$AG$178,"&gt;="&amp;DATE(2031,7,1),'2024'!$AG$5:$AG$178,"&lt;"&amp;EDATE(DATE(2031,7,1),1)))</f>
        <v/>
      </c>
      <c r="E121" s="7">
        <f>IF(DATE(2031,7,1)&gt;TODAY(),"",SUMIFS('2024'!$X$5:$X$178,'2024'!$AG$5:$AG$178,"&gt;="&amp;DATE(2031,7,1),'2024'!$AG$5:$AG$178,"&lt;"&amp;EDATE(DATE(2031,7,1),1)))</f>
        <v/>
      </c>
      <c r="F121" s="7">
        <f>IF(N(D121)=0,"",E121/D121)</f>
        <v/>
      </c>
      <c r="G121" s="7">
        <f>IF(E121="","",E121/2)</f>
        <v/>
      </c>
      <c r="H121" s="7">
        <f>IF(DATE(2031,7,1)&gt;TODAY(),"",SUMIFS('2024'!$V$5:$V$178,'2024'!$AG$5:$AG$178,"&gt;="&amp;DATE(2031,7,1),'2024'!$AG$5:$AG$178,"&lt;"&amp;EDATE(DATE(2031,7,1),1)))</f>
        <v/>
      </c>
      <c r="I121" s="6">
        <f>IF(N(D121)=0,"",(SUMIFS('2024'!$AH$5:$AH$178,'2024'!$AG$5:$AG$178,"&gt;="&amp;DATE(2031,7,1),'2024'!$AG$5:$AG$178,"&lt;"&amp;EDATE(DATE(2031,7,1),1)))/D121)</f>
        <v/>
      </c>
      <c r="J121" s="6">
        <f>IF(N(D121)=0,"",(SUMIFS('2024'!$AI$5:$AI$178,'2024'!$AG$5:$AG$178,"&gt;="&amp;DATE(2031,7,1),'2024'!$AG$5:$AG$178,"&lt;"&amp;EDATE(DATE(2031,7,1),1)))/D121)</f>
        <v/>
      </c>
    </row>
    <row r="122">
      <c r="B122" s="12">
        <f>IF(DATE(2031,8,1)&gt;TODAY(),"",DATE(2031,8,1))</f>
        <v/>
      </c>
      <c r="C122" s="6">
        <f>IF(DATE(2031,8,1)&gt;TODAY(),"",COUNTIFS('2024'!$AD$5:$AD$178,"&gt;="&amp;DATE(2031,8,1),'2024'!$AD$5:$AD$178,"&lt;"&amp;EDATE(DATE(2031,8,1),1)))</f>
        <v/>
      </c>
      <c r="D122" s="6">
        <f>IF(DATE(2031,8,1)&gt;TODAY(),"",COUNTIFS('2024'!$AG$5:$AG$178,"&gt;="&amp;DATE(2031,8,1),'2024'!$AG$5:$AG$178,"&lt;"&amp;EDATE(DATE(2031,8,1),1)))</f>
        <v/>
      </c>
      <c r="E122" s="7">
        <f>IF(DATE(2031,8,1)&gt;TODAY(),"",SUMIFS('2024'!$X$5:$X$178,'2024'!$AG$5:$AG$178,"&gt;="&amp;DATE(2031,8,1),'2024'!$AG$5:$AG$178,"&lt;"&amp;EDATE(DATE(2031,8,1),1)))</f>
        <v/>
      </c>
      <c r="F122" s="7">
        <f>IF(N(D122)=0,"",E122/D122)</f>
        <v/>
      </c>
      <c r="G122" s="7">
        <f>IF(E122="","",E122/2)</f>
        <v/>
      </c>
      <c r="H122" s="7">
        <f>IF(DATE(2031,8,1)&gt;TODAY(),"",SUMIFS('2024'!$V$5:$V$178,'2024'!$AG$5:$AG$178,"&gt;="&amp;DATE(2031,8,1),'2024'!$AG$5:$AG$178,"&lt;"&amp;EDATE(DATE(2031,8,1),1)))</f>
        <v/>
      </c>
      <c r="I122" s="6">
        <f>IF(N(D122)=0,"",(SUMIFS('2024'!$AH$5:$AH$178,'2024'!$AG$5:$AG$178,"&gt;="&amp;DATE(2031,8,1),'2024'!$AG$5:$AG$178,"&lt;"&amp;EDATE(DATE(2031,8,1),1)))/D122)</f>
        <v/>
      </c>
      <c r="J122" s="6">
        <f>IF(N(D122)=0,"",(SUMIFS('2024'!$AI$5:$AI$178,'2024'!$AG$5:$AG$178,"&gt;="&amp;DATE(2031,8,1),'2024'!$AG$5:$AG$178,"&lt;"&amp;EDATE(DATE(2031,8,1),1)))/D122)</f>
        <v/>
      </c>
    </row>
    <row r="123">
      <c r="B123" s="12">
        <f>IF(DATE(2031,9,1)&gt;TODAY(),"",DATE(2031,9,1))</f>
        <v/>
      </c>
      <c r="C123" s="6">
        <f>IF(DATE(2031,9,1)&gt;TODAY(),"",COUNTIFS('2024'!$AD$5:$AD$178,"&gt;="&amp;DATE(2031,9,1),'2024'!$AD$5:$AD$178,"&lt;"&amp;EDATE(DATE(2031,9,1),1)))</f>
        <v/>
      </c>
      <c r="D123" s="6">
        <f>IF(DATE(2031,9,1)&gt;TODAY(),"",COUNTIFS('2024'!$AG$5:$AG$178,"&gt;="&amp;DATE(2031,9,1),'2024'!$AG$5:$AG$178,"&lt;"&amp;EDATE(DATE(2031,9,1),1)))</f>
        <v/>
      </c>
      <c r="E123" s="7">
        <f>IF(DATE(2031,9,1)&gt;TODAY(),"",SUMIFS('2024'!$X$5:$X$178,'2024'!$AG$5:$AG$178,"&gt;="&amp;DATE(2031,9,1),'2024'!$AG$5:$AG$178,"&lt;"&amp;EDATE(DATE(2031,9,1),1)))</f>
        <v/>
      </c>
      <c r="F123" s="7">
        <f>IF(N(D123)=0,"",E123/D123)</f>
        <v/>
      </c>
      <c r="G123" s="7">
        <f>IF(E123="","",E123/2)</f>
        <v/>
      </c>
      <c r="H123" s="7">
        <f>IF(DATE(2031,9,1)&gt;TODAY(),"",SUMIFS('2024'!$V$5:$V$178,'2024'!$AG$5:$AG$178,"&gt;="&amp;DATE(2031,9,1),'2024'!$AG$5:$AG$178,"&lt;"&amp;EDATE(DATE(2031,9,1),1)))</f>
        <v/>
      </c>
      <c r="I123" s="6">
        <f>IF(N(D123)=0,"",(SUMIFS('2024'!$AH$5:$AH$178,'2024'!$AG$5:$AG$178,"&gt;="&amp;DATE(2031,9,1),'2024'!$AG$5:$AG$178,"&lt;"&amp;EDATE(DATE(2031,9,1),1)))/D123)</f>
        <v/>
      </c>
      <c r="J123" s="6">
        <f>IF(N(D123)=0,"",(SUMIFS('2024'!$AI$5:$AI$178,'2024'!$AG$5:$AG$178,"&gt;="&amp;DATE(2031,9,1),'2024'!$AG$5:$AG$178,"&lt;"&amp;EDATE(DATE(2031,9,1),1)))/D123)</f>
        <v/>
      </c>
    </row>
    <row r="124">
      <c r="B124" s="12">
        <f>IF(DATE(2031,10,1)&gt;TODAY(),"",DATE(2031,10,1))</f>
        <v/>
      </c>
      <c r="C124" s="6">
        <f>IF(DATE(2031,10,1)&gt;TODAY(),"",COUNTIFS('2024'!$AD$5:$AD$178,"&gt;="&amp;DATE(2031,10,1),'2024'!$AD$5:$AD$178,"&lt;"&amp;EDATE(DATE(2031,10,1),1)))</f>
        <v/>
      </c>
      <c r="D124" s="6">
        <f>IF(DATE(2031,10,1)&gt;TODAY(),"",COUNTIFS('2024'!$AG$5:$AG$178,"&gt;="&amp;DATE(2031,10,1),'2024'!$AG$5:$AG$178,"&lt;"&amp;EDATE(DATE(2031,10,1),1)))</f>
        <v/>
      </c>
      <c r="E124" s="7">
        <f>IF(DATE(2031,10,1)&gt;TODAY(),"",SUMIFS('2024'!$X$5:$X$178,'2024'!$AG$5:$AG$178,"&gt;="&amp;DATE(2031,10,1),'2024'!$AG$5:$AG$178,"&lt;"&amp;EDATE(DATE(2031,10,1),1)))</f>
        <v/>
      </c>
      <c r="F124" s="7">
        <f>IF(N(D124)=0,"",E124/D124)</f>
        <v/>
      </c>
      <c r="G124" s="7">
        <f>IF(E124="","",E124/2)</f>
        <v/>
      </c>
      <c r="H124" s="7">
        <f>IF(DATE(2031,10,1)&gt;TODAY(),"",SUMIFS('2024'!$V$5:$V$178,'2024'!$AG$5:$AG$178,"&gt;="&amp;DATE(2031,10,1),'2024'!$AG$5:$AG$178,"&lt;"&amp;EDATE(DATE(2031,10,1),1)))</f>
        <v/>
      </c>
      <c r="I124" s="6">
        <f>IF(N(D124)=0,"",(SUMIFS('2024'!$AH$5:$AH$178,'2024'!$AG$5:$AG$178,"&gt;="&amp;DATE(2031,10,1),'2024'!$AG$5:$AG$178,"&lt;"&amp;EDATE(DATE(2031,10,1),1)))/D124)</f>
        <v/>
      </c>
      <c r="J124" s="6">
        <f>IF(N(D124)=0,"",(SUMIFS('2024'!$AI$5:$AI$178,'2024'!$AG$5:$AG$178,"&gt;="&amp;DATE(2031,10,1),'2024'!$AG$5:$AG$178,"&lt;"&amp;EDATE(DATE(2031,10,1),1)))/D124)</f>
        <v/>
      </c>
    </row>
    <row r="125">
      <c r="B125" s="12">
        <f>IF(DATE(2031,11,1)&gt;TODAY(),"",DATE(2031,11,1))</f>
        <v/>
      </c>
      <c r="C125" s="6">
        <f>IF(DATE(2031,11,1)&gt;TODAY(),"",COUNTIFS('2024'!$AD$5:$AD$178,"&gt;="&amp;DATE(2031,11,1),'2024'!$AD$5:$AD$178,"&lt;"&amp;EDATE(DATE(2031,11,1),1)))</f>
        <v/>
      </c>
      <c r="D125" s="6">
        <f>IF(DATE(2031,11,1)&gt;TODAY(),"",COUNTIFS('2024'!$AG$5:$AG$178,"&gt;="&amp;DATE(2031,11,1),'2024'!$AG$5:$AG$178,"&lt;"&amp;EDATE(DATE(2031,11,1),1)))</f>
        <v/>
      </c>
      <c r="E125" s="7">
        <f>IF(DATE(2031,11,1)&gt;TODAY(),"",SUMIFS('2024'!$X$5:$X$178,'2024'!$AG$5:$AG$178,"&gt;="&amp;DATE(2031,11,1),'2024'!$AG$5:$AG$178,"&lt;"&amp;EDATE(DATE(2031,11,1),1)))</f>
        <v/>
      </c>
      <c r="F125" s="7">
        <f>IF(N(D125)=0,"",E125/D125)</f>
        <v/>
      </c>
      <c r="G125" s="7">
        <f>IF(E125="","",E125/2)</f>
        <v/>
      </c>
      <c r="H125" s="7">
        <f>IF(DATE(2031,11,1)&gt;TODAY(),"",SUMIFS('2024'!$V$5:$V$178,'2024'!$AG$5:$AG$178,"&gt;="&amp;DATE(2031,11,1),'2024'!$AG$5:$AG$178,"&lt;"&amp;EDATE(DATE(2031,11,1),1)))</f>
        <v/>
      </c>
      <c r="I125" s="6">
        <f>IF(N(D125)=0,"",(SUMIFS('2024'!$AH$5:$AH$178,'2024'!$AG$5:$AG$178,"&gt;="&amp;DATE(2031,11,1),'2024'!$AG$5:$AG$178,"&lt;"&amp;EDATE(DATE(2031,11,1),1)))/D125)</f>
        <v/>
      </c>
      <c r="J125" s="6">
        <f>IF(N(D125)=0,"",(SUMIFS('2024'!$AI$5:$AI$178,'2024'!$AG$5:$AG$178,"&gt;="&amp;DATE(2031,11,1),'2024'!$AG$5:$AG$178,"&lt;"&amp;EDATE(DATE(2031,11,1),1)))/D125)</f>
        <v/>
      </c>
    </row>
    <row r="126">
      <c r="B126" s="12">
        <f>IF(DATE(2031,12,1)&gt;TODAY(),"",DATE(2031,12,1))</f>
        <v/>
      </c>
      <c r="C126" s="6">
        <f>IF(DATE(2031,12,1)&gt;TODAY(),"",COUNTIFS('2024'!$AD$5:$AD$178,"&gt;="&amp;DATE(2031,12,1),'2024'!$AD$5:$AD$178,"&lt;"&amp;EDATE(DATE(2031,12,1),1)))</f>
        <v/>
      </c>
      <c r="D126" s="6">
        <f>IF(DATE(2031,12,1)&gt;TODAY(),"",COUNTIFS('2024'!$AG$5:$AG$178,"&gt;="&amp;DATE(2031,12,1),'2024'!$AG$5:$AG$178,"&lt;"&amp;EDATE(DATE(2031,12,1),1)))</f>
        <v/>
      </c>
      <c r="E126" s="7">
        <f>IF(DATE(2031,12,1)&gt;TODAY(),"",SUMIFS('2024'!$X$5:$X$178,'2024'!$AG$5:$AG$178,"&gt;="&amp;DATE(2031,12,1),'2024'!$AG$5:$AG$178,"&lt;"&amp;EDATE(DATE(2031,12,1),1)))</f>
        <v/>
      </c>
      <c r="F126" s="7">
        <f>IF(N(D126)=0,"",E126/D126)</f>
        <v/>
      </c>
      <c r="G126" s="7">
        <f>IF(E126="","",E126/2)</f>
        <v/>
      </c>
      <c r="H126" s="7">
        <f>IF(DATE(2031,12,1)&gt;TODAY(),"",SUMIFS('2024'!$V$5:$V$178,'2024'!$AG$5:$AG$178,"&gt;="&amp;DATE(2031,12,1),'2024'!$AG$5:$AG$178,"&lt;"&amp;EDATE(DATE(2031,12,1),1)))</f>
        <v/>
      </c>
      <c r="I126" s="6">
        <f>IF(N(D126)=0,"",(SUMIFS('2024'!$AH$5:$AH$178,'2024'!$AG$5:$AG$178,"&gt;="&amp;DATE(2031,12,1),'2024'!$AG$5:$AG$178,"&lt;"&amp;EDATE(DATE(2031,12,1),1)))/D126)</f>
        <v/>
      </c>
      <c r="J126" s="6">
        <f>IF(N(D126)=0,"",(SUMIFS('2024'!$AI$5:$AI$178,'2024'!$AG$5:$AG$178,"&gt;="&amp;DATE(2031,12,1),'2024'!$AG$5:$AG$178,"&lt;"&amp;EDATE(DATE(2031,12,1),1)))/D126)</f>
        <v/>
      </c>
    </row>
    <row r="127">
      <c r="B127" s="12">
        <f>IF(DATE(2032,1,1)&gt;TODAY(),"",DATE(2032,1,1))</f>
        <v/>
      </c>
      <c r="C127" s="6">
        <f>IF(DATE(2032,1,1)&gt;TODAY(),"",COUNTIFS('2024'!$AD$5:$AD$178,"&gt;="&amp;DATE(2032,1,1),'2024'!$AD$5:$AD$178,"&lt;"&amp;EDATE(DATE(2032,1,1),1)))</f>
        <v/>
      </c>
      <c r="D127" s="6">
        <f>IF(DATE(2032,1,1)&gt;TODAY(),"",COUNTIFS('2024'!$AG$5:$AG$178,"&gt;="&amp;DATE(2032,1,1),'2024'!$AG$5:$AG$178,"&lt;"&amp;EDATE(DATE(2032,1,1),1)))</f>
        <v/>
      </c>
      <c r="E127" s="7">
        <f>IF(DATE(2032,1,1)&gt;TODAY(),"",SUMIFS('2024'!$X$5:$X$178,'2024'!$AG$5:$AG$178,"&gt;="&amp;DATE(2032,1,1),'2024'!$AG$5:$AG$178,"&lt;"&amp;EDATE(DATE(2032,1,1),1)))</f>
        <v/>
      </c>
      <c r="F127" s="7">
        <f>IF(N(D127)=0,"",E127/D127)</f>
        <v/>
      </c>
      <c r="G127" s="7">
        <f>IF(E127="","",E127/2)</f>
        <v/>
      </c>
      <c r="H127" s="7">
        <f>IF(DATE(2032,1,1)&gt;TODAY(),"",SUMIFS('2024'!$V$5:$V$178,'2024'!$AG$5:$AG$178,"&gt;="&amp;DATE(2032,1,1),'2024'!$AG$5:$AG$178,"&lt;"&amp;EDATE(DATE(2032,1,1),1)))</f>
        <v/>
      </c>
      <c r="I127" s="6">
        <f>IF(N(D127)=0,"",(SUMIFS('2024'!$AH$5:$AH$178,'2024'!$AG$5:$AG$178,"&gt;="&amp;DATE(2032,1,1),'2024'!$AG$5:$AG$178,"&lt;"&amp;EDATE(DATE(2032,1,1),1)))/D127)</f>
        <v/>
      </c>
      <c r="J127" s="6">
        <f>IF(N(D127)=0,"",(SUMIFS('2024'!$AI$5:$AI$178,'2024'!$AG$5:$AG$178,"&gt;="&amp;DATE(2032,1,1),'2024'!$AG$5:$AG$178,"&lt;"&amp;EDATE(DATE(2032,1,1),1)))/D127)</f>
        <v/>
      </c>
    </row>
    <row r="128">
      <c r="B128" s="12">
        <f>IF(DATE(2032,2,1)&gt;TODAY(),"",DATE(2032,2,1))</f>
        <v/>
      </c>
      <c r="C128" s="6">
        <f>IF(DATE(2032,2,1)&gt;TODAY(),"",COUNTIFS('2024'!$AD$5:$AD$178,"&gt;="&amp;DATE(2032,2,1),'2024'!$AD$5:$AD$178,"&lt;"&amp;EDATE(DATE(2032,2,1),1)))</f>
        <v/>
      </c>
      <c r="D128" s="6">
        <f>IF(DATE(2032,2,1)&gt;TODAY(),"",COUNTIFS('2024'!$AG$5:$AG$178,"&gt;="&amp;DATE(2032,2,1),'2024'!$AG$5:$AG$178,"&lt;"&amp;EDATE(DATE(2032,2,1),1)))</f>
        <v/>
      </c>
      <c r="E128" s="7">
        <f>IF(DATE(2032,2,1)&gt;TODAY(),"",SUMIFS('2024'!$X$5:$X$178,'2024'!$AG$5:$AG$178,"&gt;="&amp;DATE(2032,2,1),'2024'!$AG$5:$AG$178,"&lt;"&amp;EDATE(DATE(2032,2,1),1)))</f>
        <v/>
      </c>
      <c r="F128" s="7">
        <f>IF(N(D128)=0,"",E128/D128)</f>
        <v/>
      </c>
      <c r="G128" s="7">
        <f>IF(E128="","",E128/2)</f>
        <v/>
      </c>
      <c r="H128" s="7">
        <f>IF(DATE(2032,2,1)&gt;TODAY(),"",SUMIFS('2024'!$V$5:$V$178,'2024'!$AG$5:$AG$178,"&gt;="&amp;DATE(2032,2,1),'2024'!$AG$5:$AG$178,"&lt;"&amp;EDATE(DATE(2032,2,1),1)))</f>
        <v/>
      </c>
      <c r="I128" s="6">
        <f>IF(N(D128)=0,"",(SUMIFS('2024'!$AH$5:$AH$178,'2024'!$AG$5:$AG$178,"&gt;="&amp;DATE(2032,2,1),'2024'!$AG$5:$AG$178,"&lt;"&amp;EDATE(DATE(2032,2,1),1)))/D128)</f>
        <v/>
      </c>
      <c r="J128" s="6">
        <f>IF(N(D128)=0,"",(SUMIFS('2024'!$AI$5:$AI$178,'2024'!$AG$5:$AG$178,"&gt;="&amp;DATE(2032,2,1),'2024'!$AG$5:$AG$178,"&lt;"&amp;EDATE(DATE(2032,2,1),1)))/D128)</f>
        <v/>
      </c>
    </row>
    <row r="129">
      <c r="B129" s="12">
        <f>IF(DATE(2032,3,1)&gt;TODAY(),"",DATE(2032,3,1))</f>
        <v/>
      </c>
      <c r="C129" s="6">
        <f>IF(DATE(2032,3,1)&gt;TODAY(),"",COUNTIFS('2024'!$AD$5:$AD$178,"&gt;="&amp;DATE(2032,3,1),'2024'!$AD$5:$AD$178,"&lt;"&amp;EDATE(DATE(2032,3,1),1)))</f>
        <v/>
      </c>
      <c r="D129" s="6">
        <f>IF(DATE(2032,3,1)&gt;TODAY(),"",COUNTIFS('2024'!$AG$5:$AG$178,"&gt;="&amp;DATE(2032,3,1),'2024'!$AG$5:$AG$178,"&lt;"&amp;EDATE(DATE(2032,3,1),1)))</f>
        <v/>
      </c>
      <c r="E129" s="7">
        <f>IF(DATE(2032,3,1)&gt;TODAY(),"",SUMIFS('2024'!$X$5:$X$178,'2024'!$AG$5:$AG$178,"&gt;="&amp;DATE(2032,3,1),'2024'!$AG$5:$AG$178,"&lt;"&amp;EDATE(DATE(2032,3,1),1)))</f>
        <v/>
      </c>
      <c r="F129" s="7">
        <f>IF(N(D129)=0,"",E129/D129)</f>
        <v/>
      </c>
      <c r="G129" s="7">
        <f>IF(E129="","",E129/2)</f>
        <v/>
      </c>
      <c r="H129" s="7">
        <f>IF(DATE(2032,3,1)&gt;TODAY(),"",SUMIFS('2024'!$V$5:$V$178,'2024'!$AG$5:$AG$178,"&gt;="&amp;DATE(2032,3,1),'2024'!$AG$5:$AG$178,"&lt;"&amp;EDATE(DATE(2032,3,1),1)))</f>
        <v/>
      </c>
      <c r="I129" s="6">
        <f>IF(N(D129)=0,"",(SUMIFS('2024'!$AH$5:$AH$178,'2024'!$AG$5:$AG$178,"&gt;="&amp;DATE(2032,3,1),'2024'!$AG$5:$AG$178,"&lt;"&amp;EDATE(DATE(2032,3,1),1)))/D129)</f>
        <v/>
      </c>
      <c r="J129" s="6">
        <f>IF(N(D129)=0,"",(SUMIFS('2024'!$AI$5:$AI$178,'2024'!$AG$5:$AG$178,"&gt;="&amp;DATE(2032,3,1),'2024'!$AG$5:$AG$178,"&lt;"&amp;EDATE(DATE(2032,3,1),1)))/D129)</f>
        <v/>
      </c>
    </row>
    <row r="130">
      <c r="B130" s="12">
        <f>IF(DATE(2032,4,1)&gt;TODAY(),"",DATE(2032,4,1))</f>
        <v/>
      </c>
      <c r="C130" s="6">
        <f>IF(DATE(2032,4,1)&gt;TODAY(),"",COUNTIFS('2024'!$AD$5:$AD$178,"&gt;="&amp;DATE(2032,4,1),'2024'!$AD$5:$AD$178,"&lt;"&amp;EDATE(DATE(2032,4,1),1)))</f>
        <v/>
      </c>
      <c r="D130" s="6">
        <f>IF(DATE(2032,4,1)&gt;TODAY(),"",COUNTIFS('2024'!$AG$5:$AG$178,"&gt;="&amp;DATE(2032,4,1),'2024'!$AG$5:$AG$178,"&lt;"&amp;EDATE(DATE(2032,4,1),1)))</f>
        <v/>
      </c>
      <c r="E130" s="7">
        <f>IF(DATE(2032,4,1)&gt;TODAY(),"",SUMIFS('2024'!$X$5:$X$178,'2024'!$AG$5:$AG$178,"&gt;="&amp;DATE(2032,4,1),'2024'!$AG$5:$AG$178,"&lt;"&amp;EDATE(DATE(2032,4,1),1)))</f>
        <v/>
      </c>
      <c r="F130" s="7">
        <f>IF(N(D130)=0,"",E130/D130)</f>
        <v/>
      </c>
      <c r="G130" s="7">
        <f>IF(E130="","",E130/2)</f>
        <v/>
      </c>
      <c r="H130" s="7">
        <f>IF(DATE(2032,4,1)&gt;TODAY(),"",SUMIFS('2024'!$V$5:$V$178,'2024'!$AG$5:$AG$178,"&gt;="&amp;DATE(2032,4,1),'2024'!$AG$5:$AG$178,"&lt;"&amp;EDATE(DATE(2032,4,1),1)))</f>
        <v/>
      </c>
      <c r="I130" s="6">
        <f>IF(N(D130)=0,"",(SUMIFS('2024'!$AH$5:$AH$178,'2024'!$AG$5:$AG$178,"&gt;="&amp;DATE(2032,4,1),'2024'!$AG$5:$AG$178,"&lt;"&amp;EDATE(DATE(2032,4,1),1)))/D130)</f>
        <v/>
      </c>
      <c r="J130" s="6">
        <f>IF(N(D130)=0,"",(SUMIFS('2024'!$AI$5:$AI$178,'2024'!$AG$5:$AG$178,"&gt;="&amp;DATE(2032,4,1),'2024'!$AG$5:$AG$178,"&lt;"&amp;EDATE(DATE(2032,4,1),1)))/D130)</f>
        <v/>
      </c>
    </row>
    <row r="131">
      <c r="B131" s="12">
        <f>IF(DATE(2032,5,1)&gt;TODAY(),"",DATE(2032,5,1))</f>
        <v/>
      </c>
      <c r="C131" s="6">
        <f>IF(DATE(2032,5,1)&gt;TODAY(),"",COUNTIFS('2024'!$AD$5:$AD$178,"&gt;="&amp;DATE(2032,5,1),'2024'!$AD$5:$AD$178,"&lt;"&amp;EDATE(DATE(2032,5,1),1)))</f>
        <v/>
      </c>
      <c r="D131" s="6">
        <f>IF(DATE(2032,5,1)&gt;TODAY(),"",COUNTIFS('2024'!$AG$5:$AG$178,"&gt;="&amp;DATE(2032,5,1),'2024'!$AG$5:$AG$178,"&lt;"&amp;EDATE(DATE(2032,5,1),1)))</f>
        <v/>
      </c>
      <c r="E131" s="7">
        <f>IF(DATE(2032,5,1)&gt;TODAY(),"",SUMIFS('2024'!$X$5:$X$178,'2024'!$AG$5:$AG$178,"&gt;="&amp;DATE(2032,5,1),'2024'!$AG$5:$AG$178,"&lt;"&amp;EDATE(DATE(2032,5,1),1)))</f>
        <v/>
      </c>
      <c r="F131" s="7">
        <f>IF(N(D131)=0,"",E131/D131)</f>
        <v/>
      </c>
      <c r="G131" s="7">
        <f>IF(E131="","",E131/2)</f>
        <v/>
      </c>
      <c r="H131" s="7">
        <f>IF(DATE(2032,5,1)&gt;TODAY(),"",SUMIFS('2024'!$V$5:$V$178,'2024'!$AG$5:$AG$178,"&gt;="&amp;DATE(2032,5,1),'2024'!$AG$5:$AG$178,"&lt;"&amp;EDATE(DATE(2032,5,1),1)))</f>
        <v/>
      </c>
      <c r="I131" s="6">
        <f>IF(N(D131)=0,"",(SUMIFS('2024'!$AH$5:$AH$178,'2024'!$AG$5:$AG$178,"&gt;="&amp;DATE(2032,5,1),'2024'!$AG$5:$AG$178,"&lt;"&amp;EDATE(DATE(2032,5,1),1)))/D131)</f>
        <v/>
      </c>
      <c r="J131" s="6">
        <f>IF(N(D131)=0,"",(SUMIFS('2024'!$AI$5:$AI$178,'2024'!$AG$5:$AG$178,"&gt;="&amp;DATE(2032,5,1),'2024'!$AG$5:$AG$178,"&lt;"&amp;EDATE(DATE(2032,5,1),1)))/D131)</f>
        <v/>
      </c>
    </row>
    <row r="132">
      <c r="B132" s="12">
        <f>IF(DATE(2032,6,1)&gt;TODAY(),"",DATE(2032,6,1))</f>
        <v/>
      </c>
      <c r="C132" s="6">
        <f>IF(DATE(2032,6,1)&gt;TODAY(),"",COUNTIFS('2024'!$AD$5:$AD$178,"&gt;="&amp;DATE(2032,6,1),'2024'!$AD$5:$AD$178,"&lt;"&amp;EDATE(DATE(2032,6,1),1)))</f>
        <v/>
      </c>
      <c r="D132" s="6">
        <f>IF(DATE(2032,6,1)&gt;TODAY(),"",COUNTIFS('2024'!$AG$5:$AG$178,"&gt;="&amp;DATE(2032,6,1),'2024'!$AG$5:$AG$178,"&lt;"&amp;EDATE(DATE(2032,6,1),1)))</f>
        <v/>
      </c>
      <c r="E132" s="7">
        <f>IF(DATE(2032,6,1)&gt;TODAY(),"",SUMIFS('2024'!$X$5:$X$178,'2024'!$AG$5:$AG$178,"&gt;="&amp;DATE(2032,6,1),'2024'!$AG$5:$AG$178,"&lt;"&amp;EDATE(DATE(2032,6,1),1)))</f>
        <v/>
      </c>
      <c r="F132" s="7">
        <f>IF(N(D132)=0,"",E132/D132)</f>
        <v/>
      </c>
      <c r="G132" s="7">
        <f>IF(E132="","",E132/2)</f>
        <v/>
      </c>
      <c r="H132" s="7">
        <f>IF(DATE(2032,6,1)&gt;TODAY(),"",SUMIFS('2024'!$V$5:$V$178,'2024'!$AG$5:$AG$178,"&gt;="&amp;DATE(2032,6,1),'2024'!$AG$5:$AG$178,"&lt;"&amp;EDATE(DATE(2032,6,1),1)))</f>
        <v/>
      </c>
      <c r="I132" s="6">
        <f>IF(N(D132)=0,"",(SUMIFS('2024'!$AH$5:$AH$178,'2024'!$AG$5:$AG$178,"&gt;="&amp;DATE(2032,6,1),'2024'!$AG$5:$AG$178,"&lt;"&amp;EDATE(DATE(2032,6,1),1)))/D132)</f>
        <v/>
      </c>
      <c r="J132" s="6">
        <f>IF(N(D132)=0,"",(SUMIFS('2024'!$AI$5:$AI$178,'2024'!$AG$5:$AG$178,"&gt;="&amp;DATE(2032,6,1),'2024'!$AG$5:$AG$178,"&lt;"&amp;EDATE(DATE(2032,6,1),1)))/D132)</f>
        <v/>
      </c>
    </row>
    <row r="133">
      <c r="B133" s="12">
        <f>IF(DATE(2032,7,1)&gt;TODAY(),"",DATE(2032,7,1))</f>
        <v/>
      </c>
      <c r="C133" s="6">
        <f>IF(DATE(2032,7,1)&gt;TODAY(),"",COUNTIFS('2024'!$AD$5:$AD$178,"&gt;="&amp;DATE(2032,7,1),'2024'!$AD$5:$AD$178,"&lt;"&amp;EDATE(DATE(2032,7,1),1)))</f>
        <v/>
      </c>
      <c r="D133" s="6">
        <f>IF(DATE(2032,7,1)&gt;TODAY(),"",COUNTIFS('2024'!$AG$5:$AG$178,"&gt;="&amp;DATE(2032,7,1),'2024'!$AG$5:$AG$178,"&lt;"&amp;EDATE(DATE(2032,7,1),1)))</f>
        <v/>
      </c>
      <c r="E133" s="7">
        <f>IF(DATE(2032,7,1)&gt;TODAY(),"",SUMIFS('2024'!$X$5:$X$178,'2024'!$AG$5:$AG$178,"&gt;="&amp;DATE(2032,7,1),'2024'!$AG$5:$AG$178,"&lt;"&amp;EDATE(DATE(2032,7,1),1)))</f>
        <v/>
      </c>
      <c r="F133" s="7">
        <f>IF(N(D133)=0,"",E133/D133)</f>
        <v/>
      </c>
      <c r="G133" s="7">
        <f>IF(E133="","",E133/2)</f>
        <v/>
      </c>
      <c r="H133" s="7">
        <f>IF(DATE(2032,7,1)&gt;TODAY(),"",SUMIFS('2024'!$V$5:$V$178,'2024'!$AG$5:$AG$178,"&gt;="&amp;DATE(2032,7,1),'2024'!$AG$5:$AG$178,"&lt;"&amp;EDATE(DATE(2032,7,1),1)))</f>
        <v/>
      </c>
      <c r="I133" s="6">
        <f>IF(N(D133)=0,"",(SUMIFS('2024'!$AH$5:$AH$178,'2024'!$AG$5:$AG$178,"&gt;="&amp;DATE(2032,7,1),'2024'!$AG$5:$AG$178,"&lt;"&amp;EDATE(DATE(2032,7,1),1)))/D133)</f>
        <v/>
      </c>
      <c r="J133" s="6">
        <f>IF(N(D133)=0,"",(SUMIFS('2024'!$AI$5:$AI$178,'2024'!$AG$5:$AG$178,"&gt;="&amp;DATE(2032,7,1),'2024'!$AG$5:$AG$178,"&lt;"&amp;EDATE(DATE(2032,7,1),1)))/D133)</f>
        <v/>
      </c>
    </row>
    <row r="134">
      <c r="B134" s="12">
        <f>IF(DATE(2032,8,1)&gt;TODAY(),"",DATE(2032,8,1))</f>
        <v/>
      </c>
      <c r="C134" s="6">
        <f>IF(DATE(2032,8,1)&gt;TODAY(),"",COUNTIFS('2024'!$AD$5:$AD$178,"&gt;="&amp;DATE(2032,8,1),'2024'!$AD$5:$AD$178,"&lt;"&amp;EDATE(DATE(2032,8,1),1)))</f>
        <v/>
      </c>
      <c r="D134" s="6">
        <f>IF(DATE(2032,8,1)&gt;TODAY(),"",COUNTIFS('2024'!$AG$5:$AG$178,"&gt;="&amp;DATE(2032,8,1),'2024'!$AG$5:$AG$178,"&lt;"&amp;EDATE(DATE(2032,8,1),1)))</f>
        <v/>
      </c>
      <c r="E134" s="7">
        <f>IF(DATE(2032,8,1)&gt;TODAY(),"",SUMIFS('2024'!$X$5:$X$178,'2024'!$AG$5:$AG$178,"&gt;="&amp;DATE(2032,8,1),'2024'!$AG$5:$AG$178,"&lt;"&amp;EDATE(DATE(2032,8,1),1)))</f>
        <v/>
      </c>
      <c r="F134" s="7">
        <f>IF(N(D134)=0,"",E134/D134)</f>
        <v/>
      </c>
      <c r="G134" s="7">
        <f>IF(E134="","",E134/2)</f>
        <v/>
      </c>
      <c r="H134" s="7">
        <f>IF(DATE(2032,8,1)&gt;TODAY(),"",SUMIFS('2024'!$V$5:$V$178,'2024'!$AG$5:$AG$178,"&gt;="&amp;DATE(2032,8,1),'2024'!$AG$5:$AG$178,"&lt;"&amp;EDATE(DATE(2032,8,1),1)))</f>
        <v/>
      </c>
      <c r="I134" s="6">
        <f>IF(N(D134)=0,"",(SUMIFS('2024'!$AH$5:$AH$178,'2024'!$AG$5:$AG$178,"&gt;="&amp;DATE(2032,8,1),'2024'!$AG$5:$AG$178,"&lt;"&amp;EDATE(DATE(2032,8,1),1)))/D134)</f>
        <v/>
      </c>
      <c r="J134" s="6">
        <f>IF(N(D134)=0,"",(SUMIFS('2024'!$AI$5:$AI$178,'2024'!$AG$5:$AG$178,"&gt;="&amp;DATE(2032,8,1),'2024'!$AG$5:$AG$178,"&lt;"&amp;EDATE(DATE(2032,8,1),1)))/D134)</f>
        <v/>
      </c>
    </row>
    <row r="135">
      <c r="B135" s="12">
        <f>IF(DATE(2032,9,1)&gt;TODAY(),"",DATE(2032,9,1))</f>
        <v/>
      </c>
      <c r="C135" s="6">
        <f>IF(DATE(2032,9,1)&gt;TODAY(),"",COUNTIFS('2024'!$AD$5:$AD$178,"&gt;="&amp;DATE(2032,9,1),'2024'!$AD$5:$AD$178,"&lt;"&amp;EDATE(DATE(2032,9,1),1)))</f>
        <v/>
      </c>
      <c r="D135" s="6">
        <f>IF(DATE(2032,9,1)&gt;TODAY(),"",COUNTIFS('2024'!$AG$5:$AG$178,"&gt;="&amp;DATE(2032,9,1),'2024'!$AG$5:$AG$178,"&lt;"&amp;EDATE(DATE(2032,9,1),1)))</f>
        <v/>
      </c>
      <c r="E135" s="7">
        <f>IF(DATE(2032,9,1)&gt;TODAY(),"",SUMIFS('2024'!$X$5:$X$178,'2024'!$AG$5:$AG$178,"&gt;="&amp;DATE(2032,9,1),'2024'!$AG$5:$AG$178,"&lt;"&amp;EDATE(DATE(2032,9,1),1)))</f>
        <v/>
      </c>
      <c r="F135" s="7">
        <f>IF(N(D135)=0,"",E135/D135)</f>
        <v/>
      </c>
      <c r="G135" s="7">
        <f>IF(E135="","",E135/2)</f>
        <v/>
      </c>
      <c r="H135" s="7">
        <f>IF(DATE(2032,9,1)&gt;TODAY(),"",SUMIFS('2024'!$V$5:$V$178,'2024'!$AG$5:$AG$178,"&gt;="&amp;DATE(2032,9,1),'2024'!$AG$5:$AG$178,"&lt;"&amp;EDATE(DATE(2032,9,1),1)))</f>
        <v/>
      </c>
      <c r="I135" s="6">
        <f>IF(N(D135)=0,"",(SUMIFS('2024'!$AH$5:$AH$178,'2024'!$AG$5:$AG$178,"&gt;="&amp;DATE(2032,9,1),'2024'!$AG$5:$AG$178,"&lt;"&amp;EDATE(DATE(2032,9,1),1)))/D135)</f>
        <v/>
      </c>
      <c r="J135" s="6">
        <f>IF(N(D135)=0,"",(SUMIFS('2024'!$AI$5:$AI$178,'2024'!$AG$5:$AG$178,"&gt;="&amp;DATE(2032,9,1),'2024'!$AG$5:$AG$178,"&lt;"&amp;EDATE(DATE(2032,9,1),1)))/D135)</f>
        <v/>
      </c>
    </row>
    <row r="136">
      <c r="B136" s="12">
        <f>IF(DATE(2032,10,1)&gt;TODAY(),"",DATE(2032,10,1))</f>
        <v/>
      </c>
      <c r="C136" s="6">
        <f>IF(DATE(2032,10,1)&gt;TODAY(),"",COUNTIFS('2024'!$AD$5:$AD$178,"&gt;="&amp;DATE(2032,10,1),'2024'!$AD$5:$AD$178,"&lt;"&amp;EDATE(DATE(2032,10,1),1)))</f>
        <v/>
      </c>
      <c r="D136" s="6">
        <f>IF(DATE(2032,10,1)&gt;TODAY(),"",COUNTIFS('2024'!$AG$5:$AG$178,"&gt;="&amp;DATE(2032,10,1),'2024'!$AG$5:$AG$178,"&lt;"&amp;EDATE(DATE(2032,10,1),1)))</f>
        <v/>
      </c>
      <c r="E136" s="7">
        <f>IF(DATE(2032,10,1)&gt;TODAY(),"",SUMIFS('2024'!$X$5:$X$178,'2024'!$AG$5:$AG$178,"&gt;="&amp;DATE(2032,10,1),'2024'!$AG$5:$AG$178,"&lt;"&amp;EDATE(DATE(2032,10,1),1)))</f>
        <v/>
      </c>
      <c r="F136" s="7">
        <f>IF(N(D136)=0,"",E136/D136)</f>
        <v/>
      </c>
      <c r="G136" s="7">
        <f>IF(E136="","",E136/2)</f>
        <v/>
      </c>
      <c r="H136" s="7">
        <f>IF(DATE(2032,10,1)&gt;TODAY(),"",SUMIFS('2024'!$V$5:$V$178,'2024'!$AG$5:$AG$178,"&gt;="&amp;DATE(2032,10,1),'2024'!$AG$5:$AG$178,"&lt;"&amp;EDATE(DATE(2032,10,1),1)))</f>
        <v/>
      </c>
      <c r="I136" s="6">
        <f>IF(N(D136)=0,"",(SUMIFS('2024'!$AH$5:$AH$178,'2024'!$AG$5:$AG$178,"&gt;="&amp;DATE(2032,10,1),'2024'!$AG$5:$AG$178,"&lt;"&amp;EDATE(DATE(2032,10,1),1)))/D136)</f>
        <v/>
      </c>
      <c r="J136" s="6">
        <f>IF(N(D136)=0,"",(SUMIFS('2024'!$AI$5:$AI$178,'2024'!$AG$5:$AG$178,"&gt;="&amp;DATE(2032,10,1),'2024'!$AG$5:$AG$178,"&lt;"&amp;EDATE(DATE(2032,10,1),1)))/D136)</f>
        <v/>
      </c>
    </row>
    <row r="137">
      <c r="B137" s="12">
        <f>IF(DATE(2032,11,1)&gt;TODAY(),"",DATE(2032,11,1))</f>
        <v/>
      </c>
      <c r="C137" s="6">
        <f>IF(DATE(2032,11,1)&gt;TODAY(),"",COUNTIFS('2024'!$AD$5:$AD$178,"&gt;="&amp;DATE(2032,11,1),'2024'!$AD$5:$AD$178,"&lt;"&amp;EDATE(DATE(2032,11,1),1)))</f>
        <v/>
      </c>
      <c r="D137" s="6">
        <f>IF(DATE(2032,11,1)&gt;TODAY(),"",COUNTIFS('2024'!$AG$5:$AG$178,"&gt;="&amp;DATE(2032,11,1),'2024'!$AG$5:$AG$178,"&lt;"&amp;EDATE(DATE(2032,11,1),1)))</f>
        <v/>
      </c>
      <c r="E137" s="7">
        <f>IF(DATE(2032,11,1)&gt;TODAY(),"",SUMIFS('2024'!$X$5:$X$178,'2024'!$AG$5:$AG$178,"&gt;="&amp;DATE(2032,11,1),'2024'!$AG$5:$AG$178,"&lt;"&amp;EDATE(DATE(2032,11,1),1)))</f>
        <v/>
      </c>
      <c r="F137" s="7">
        <f>IF(N(D137)=0,"",E137/D137)</f>
        <v/>
      </c>
      <c r="G137" s="7">
        <f>IF(E137="","",E137/2)</f>
        <v/>
      </c>
      <c r="H137" s="7">
        <f>IF(DATE(2032,11,1)&gt;TODAY(),"",SUMIFS('2024'!$V$5:$V$178,'2024'!$AG$5:$AG$178,"&gt;="&amp;DATE(2032,11,1),'2024'!$AG$5:$AG$178,"&lt;"&amp;EDATE(DATE(2032,11,1),1)))</f>
        <v/>
      </c>
      <c r="I137" s="6">
        <f>IF(N(D137)=0,"",(SUMIFS('2024'!$AH$5:$AH$178,'2024'!$AG$5:$AG$178,"&gt;="&amp;DATE(2032,11,1),'2024'!$AG$5:$AG$178,"&lt;"&amp;EDATE(DATE(2032,11,1),1)))/D137)</f>
        <v/>
      </c>
      <c r="J137" s="6">
        <f>IF(N(D137)=0,"",(SUMIFS('2024'!$AI$5:$AI$178,'2024'!$AG$5:$AG$178,"&gt;="&amp;DATE(2032,11,1),'2024'!$AG$5:$AG$178,"&lt;"&amp;EDATE(DATE(2032,11,1),1)))/D137)</f>
        <v/>
      </c>
    </row>
    <row r="138">
      <c r="B138" s="12">
        <f>IF(DATE(2032,12,1)&gt;TODAY(),"",DATE(2032,12,1))</f>
        <v/>
      </c>
      <c r="C138" s="6">
        <f>IF(DATE(2032,12,1)&gt;TODAY(),"",COUNTIFS('2024'!$AD$5:$AD$178,"&gt;="&amp;DATE(2032,12,1),'2024'!$AD$5:$AD$178,"&lt;"&amp;EDATE(DATE(2032,12,1),1)))</f>
        <v/>
      </c>
      <c r="D138" s="6">
        <f>IF(DATE(2032,12,1)&gt;TODAY(),"",COUNTIFS('2024'!$AG$5:$AG$178,"&gt;="&amp;DATE(2032,12,1),'2024'!$AG$5:$AG$178,"&lt;"&amp;EDATE(DATE(2032,12,1),1)))</f>
        <v/>
      </c>
      <c r="E138" s="7">
        <f>IF(DATE(2032,12,1)&gt;TODAY(),"",SUMIFS('2024'!$X$5:$X$178,'2024'!$AG$5:$AG$178,"&gt;="&amp;DATE(2032,12,1),'2024'!$AG$5:$AG$178,"&lt;"&amp;EDATE(DATE(2032,12,1),1)))</f>
        <v/>
      </c>
      <c r="F138" s="7">
        <f>IF(N(D138)=0,"",E138/D138)</f>
        <v/>
      </c>
      <c r="G138" s="7">
        <f>IF(E138="","",E138/2)</f>
        <v/>
      </c>
      <c r="H138" s="7">
        <f>IF(DATE(2032,12,1)&gt;TODAY(),"",SUMIFS('2024'!$V$5:$V$178,'2024'!$AG$5:$AG$178,"&gt;="&amp;DATE(2032,12,1),'2024'!$AG$5:$AG$178,"&lt;"&amp;EDATE(DATE(2032,12,1),1)))</f>
        <v/>
      </c>
      <c r="I138" s="6">
        <f>IF(N(D138)=0,"",(SUMIFS('2024'!$AH$5:$AH$178,'2024'!$AG$5:$AG$178,"&gt;="&amp;DATE(2032,12,1),'2024'!$AG$5:$AG$178,"&lt;"&amp;EDATE(DATE(2032,12,1),1)))/D138)</f>
        <v/>
      </c>
      <c r="J138" s="6">
        <f>IF(N(D138)=0,"",(SUMIFS('2024'!$AI$5:$AI$178,'2024'!$AG$5:$AG$178,"&gt;="&amp;DATE(2032,12,1),'2024'!$AG$5:$AG$178,"&lt;"&amp;EDATE(DATE(2032,12,1),1)))/D138)</f>
        <v/>
      </c>
    </row>
    <row r="139">
      <c r="B139" s="12">
        <f>IF(DATE(2033,1,1)&gt;TODAY(),"",DATE(2033,1,1))</f>
        <v/>
      </c>
      <c r="C139" s="6">
        <f>IF(DATE(2033,1,1)&gt;TODAY(),"",COUNTIFS('2024'!$AD$5:$AD$178,"&gt;="&amp;DATE(2033,1,1),'2024'!$AD$5:$AD$178,"&lt;"&amp;EDATE(DATE(2033,1,1),1)))</f>
        <v/>
      </c>
      <c r="D139" s="6">
        <f>IF(DATE(2033,1,1)&gt;TODAY(),"",COUNTIFS('2024'!$AG$5:$AG$178,"&gt;="&amp;DATE(2033,1,1),'2024'!$AG$5:$AG$178,"&lt;"&amp;EDATE(DATE(2033,1,1),1)))</f>
        <v/>
      </c>
      <c r="E139" s="7">
        <f>IF(DATE(2033,1,1)&gt;TODAY(),"",SUMIFS('2024'!$X$5:$X$178,'2024'!$AG$5:$AG$178,"&gt;="&amp;DATE(2033,1,1),'2024'!$AG$5:$AG$178,"&lt;"&amp;EDATE(DATE(2033,1,1),1)))</f>
        <v/>
      </c>
      <c r="F139" s="7">
        <f>IF(N(D139)=0,"",E139/D139)</f>
        <v/>
      </c>
      <c r="G139" s="7">
        <f>IF(E139="","",E139/2)</f>
        <v/>
      </c>
      <c r="H139" s="7">
        <f>IF(DATE(2033,1,1)&gt;TODAY(),"",SUMIFS('2024'!$V$5:$V$178,'2024'!$AG$5:$AG$178,"&gt;="&amp;DATE(2033,1,1),'2024'!$AG$5:$AG$178,"&lt;"&amp;EDATE(DATE(2033,1,1),1)))</f>
        <v/>
      </c>
      <c r="I139" s="6">
        <f>IF(N(D139)=0,"",(SUMIFS('2024'!$AH$5:$AH$178,'2024'!$AG$5:$AG$178,"&gt;="&amp;DATE(2033,1,1),'2024'!$AG$5:$AG$178,"&lt;"&amp;EDATE(DATE(2033,1,1),1)))/D139)</f>
        <v/>
      </c>
      <c r="J139" s="6">
        <f>IF(N(D139)=0,"",(SUMIFS('2024'!$AI$5:$AI$178,'2024'!$AG$5:$AG$178,"&gt;="&amp;DATE(2033,1,1),'2024'!$AG$5:$AG$178,"&lt;"&amp;EDATE(DATE(2033,1,1),1)))/D139)</f>
        <v/>
      </c>
    </row>
    <row r="140">
      <c r="B140" s="12">
        <f>IF(DATE(2033,2,1)&gt;TODAY(),"",DATE(2033,2,1))</f>
        <v/>
      </c>
      <c r="C140" s="6">
        <f>IF(DATE(2033,2,1)&gt;TODAY(),"",COUNTIFS('2024'!$AD$5:$AD$178,"&gt;="&amp;DATE(2033,2,1),'2024'!$AD$5:$AD$178,"&lt;"&amp;EDATE(DATE(2033,2,1),1)))</f>
        <v/>
      </c>
      <c r="D140" s="6">
        <f>IF(DATE(2033,2,1)&gt;TODAY(),"",COUNTIFS('2024'!$AG$5:$AG$178,"&gt;="&amp;DATE(2033,2,1),'2024'!$AG$5:$AG$178,"&lt;"&amp;EDATE(DATE(2033,2,1),1)))</f>
        <v/>
      </c>
      <c r="E140" s="7">
        <f>IF(DATE(2033,2,1)&gt;TODAY(),"",SUMIFS('2024'!$X$5:$X$178,'2024'!$AG$5:$AG$178,"&gt;="&amp;DATE(2033,2,1),'2024'!$AG$5:$AG$178,"&lt;"&amp;EDATE(DATE(2033,2,1),1)))</f>
        <v/>
      </c>
      <c r="F140" s="7">
        <f>IF(N(D140)=0,"",E140/D140)</f>
        <v/>
      </c>
      <c r="G140" s="7">
        <f>IF(E140="","",E140/2)</f>
        <v/>
      </c>
      <c r="H140" s="7">
        <f>IF(DATE(2033,2,1)&gt;TODAY(),"",SUMIFS('2024'!$V$5:$V$178,'2024'!$AG$5:$AG$178,"&gt;="&amp;DATE(2033,2,1),'2024'!$AG$5:$AG$178,"&lt;"&amp;EDATE(DATE(2033,2,1),1)))</f>
        <v/>
      </c>
      <c r="I140" s="6">
        <f>IF(N(D140)=0,"",(SUMIFS('2024'!$AH$5:$AH$178,'2024'!$AG$5:$AG$178,"&gt;="&amp;DATE(2033,2,1),'2024'!$AG$5:$AG$178,"&lt;"&amp;EDATE(DATE(2033,2,1),1)))/D140)</f>
        <v/>
      </c>
      <c r="J140" s="6">
        <f>IF(N(D140)=0,"",(SUMIFS('2024'!$AI$5:$AI$178,'2024'!$AG$5:$AG$178,"&gt;="&amp;DATE(2033,2,1),'2024'!$AG$5:$AG$178,"&lt;"&amp;EDATE(DATE(2033,2,1),1)))/D140)</f>
        <v/>
      </c>
    </row>
    <row r="141">
      <c r="B141" s="12">
        <f>IF(DATE(2033,3,1)&gt;TODAY(),"",DATE(2033,3,1))</f>
        <v/>
      </c>
      <c r="C141" s="6">
        <f>IF(DATE(2033,3,1)&gt;TODAY(),"",COUNTIFS('2024'!$AD$5:$AD$178,"&gt;="&amp;DATE(2033,3,1),'2024'!$AD$5:$AD$178,"&lt;"&amp;EDATE(DATE(2033,3,1),1)))</f>
        <v/>
      </c>
      <c r="D141" s="6">
        <f>IF(DATE(2033,3,1)&gt;TODAY(),"",COUNTIFS('2024'!$AG$5:$AG$178,"&gt;="&amp;DATE(2033,3,1),'2024'!$AG$5:$AG$178,"&lt;"&amp;EDATE(DATE(2033,3,1),1)))</f>
        <v/>
      </c>
      <c r="E141" s="7">
        <f>IF(DATE(2033,3,1)&gt;TODAY(),"",SUMIFS('2024'!$X$5:$X$178,'2024'!$AG$5:$AG$178,"&gt;="&amp;DATE(2033,3,1),'2024'!$AG$5:$AG$178,"&lt;"&amp;EDATE(DATE(2033,3,1),1)))</f>
        <v/>
      </c>
      <c r="F141" s="7">
        <f>IF(N(D141)=0,"",E141/D141)</f>
        <v/>
      </c>
      <c r="G141" s="7">
        <f>IF(E141="","",E141/2)</f>
        <v/>
      </c>
      <c r="H141" s="7">
        <f>IF(DATE(2033,3,1)&gt;TODAY(),"",SUMIFS('2024'!$V$5:$V$178,'2024'!$AG$5:$AG$178,"&gt;="&amp;DATE(2033,3,1),'2024'!$AG$5:$AG$178,"&lt;"&amp;EDATE(DATE(2033,3,1),1)))</f>
        <v/>
      </c>
      <c r="I141" s="6">
        <f>IF(N(D141)=0,"",(SUMIFS('2024'!$AH$5:$AH$178,'2024'!$AG$5:$AG$178,"&gt;="&amp;DATE(2033,3,1),'2024'!$AG$5:$AG$178,"&lt;"&amp;EDATE(DATE(2033,3,1),1)))/D141)</f>
        <v/>
      </c>
      <c r="J141" s="6">
        <f>IF(N(D141)=0,"",(SUMIFS('2024'!$AI$5:$AI$178,'2024'!$AG$5:$AG$178,"&gt;="&amp;DATE(2033,3,1),'2024'!$AG$5:$AG$178,"&lt;"&amp;EDATE(DATE(2033,3,1),1)))/D141)</f>
        <v/>
      </c>
    </row>
    <row r="142">
      <c r="B142" s="12">
        <f>IF(DATE(2033,4,1)&gt;TODAY(),"",DATE(2033,4,1))</f>
        <v/>
      </c>
      <c r="C142" s="6">
        <f>IF(DATE(2033,4,1)&gt;TODAY(),"",COUNTIFS('2024'!$AD$5:$AD$178,"&gt;="&amp;DATE(2033,4,1),'2024'!$AD$5:$AD$178,"&lt;"&amp;EDATE(DATE(2033,4,1),1)))</f>
        <v/>
      </c>
      <c r="D142" s="6">
        <f>IF(DATE(2033,4,1)&gt;TODAY(),"",COUNTIFS('2024'!$AG$5:$AG$178,"&gt;="&amp;DATE(2033,4,1),'2024'!$AG$5:$AG$178,"&lt;"&amp;EDATE(DATE(2033,4,1),1)))</f>
        <v/>
      </c>
      <c r="E142" s="7">
        <f>IF(DATE(2033,4,1)&gt;TODAY(),"",SUMIFS('2024'!$X$5:$X$178,'2024'!$AG$5:$AG$178,"&gt;="&amp;DATE(2033,4,1),'2024'!$AG$5:$AG$178,"&lt;"&amp;EDATE(DATE(2033,4,1),1)))</f>
        <v/>
      </c>
      <c r="F142" s="7">
        <f>IF(N(D142)=0,"",E142/D142)</f>
        <v/>
      </c>
      <c r="G142" s="7">
        <f>IF(E142="","",E142/2)</f>
        <v/>
      </c>
      <c r="H142" s="7">
        <f>IF(DATE(2033,4,1)&gt;TODAY(),"",SUMIFS('2024'!$V$5:$V$178,'2024'!$AG$5:$AG$178,"&gt;="&amp;DATE(2033,4,1),'2024'!$AG$5:$AG$178,"&lt;"&amp;EDATE(DATE(2033,4,1),1)))</f>
        <v/>
      </c>
      <c r="I142" s="6">
        <f>IF(N(D142)=0,"",(SUMIFS('2024'!$AH$5:$AH$178,'2024'!$AG$5:$AG$178,"&gt;="&amp;DATE(2033,4,1),'2024'!$AG$5:$AG$178,"&lt;"&amp;EDATE(DATE(2033,4,1),1)))/D142)</f>
        <v/>
      </c>
      <c r="J142" s="6">
        <f>IF(N(D142)=0,"",(SUMIFS('2024'!$AI$5:$AI$178,'2024'!$AG$5:$AG$178,"&gt;="&amp;DATE(2033,4,1),'2024'!$AG$5:$AG$178,"&lt;"&amp;EDATE(DATE(2033,4,1),1)))/D142)</f>
        <v/>
      </c>
    </row>
    <row r="143">
      <c r="B143" s="12">
        <f>IF(DATE(2033,5,1)&gt;TODAY(),"",DATE(2033,5,1))</f>
        <v/>
      </c>
      <c r="C143" s="6">
        <f>IF(DATE(2033,5,1)&gt;TODAY(),"",COUNTIFS('2024'!$AD$5:$AD$178,"&gt;="&amp;DATE(2033,5,1),'2024'!$AD$5:$AD$178,"&lt;"&amp;EDATE(DATE(2033,5,1),1)))</f>
        <v/>
      </c>
      <c r="D143" s="6">
        <f>IF(DATE(2033,5,1)&gt;TODAY(),"",COUNTIFS('2024'!$AG$5:$AG$178,"&gt;="&amp;DATE(2033,5,1),'2024'!$AG$5:$AG$178,"&lt;"&amp;EDATE(DATE(2033,5,1),1)))</f>
        <v/>
      </c>
      <c r="E143" s="7">
        <f>IF(DATE(2033,5,1)&gt;TODAY(),"",SUMIFS('2024'!$X$5:$X$178,'2024'!$AG$5:$AG$178,"&gt;="&amp;DATE(2033,5,1),'2024'!$AG$5:$AG$178,"&lt;"&amp;EDATE(DATE(2033,5,1),1)))</f>
        <v/>
      </c>
      <c r="F143" s="7">
        <f>IF(N(D143)=0,"",E143/D143)</f>
        <v/>
      </c>
      <c r="G143" s="7">
        <f>IF(E143="","",E143/2)</f>
        <v/>
      </c>
      <c r="H143" s="7">
        <f>IF(DATE(2033,5,1)&gt;TODAY(),"",SUMIFS('2024'!$V$5:$V$178,'2024'!$AG$5:$AG$178,"&gt;="&amp;DATE(2033,5,1),'2024'!$AG$5:$AG$178,"&lt;"&amp;EDATE(DATE(2033,5,1),1)))</f>
        <v/>
      </c>
      <c r="I143" s="6">
        <f>IF(N(D143)=0,"",(SUMIFS('2024'!$AH$5:$AH$178,'2024'!$AG$5:$AG$178,"&gt;="&amp;DATE(2033,5,1),'2024'!$AG$5:$AG$178,"&lt;"&amp;EDATE(DATE(2033,5,1),1)))/D143)</f>
        <v/>
      </c>
      <c r="J143" s="6">
        <f>IF(N(D143)=0,"",(SUMIFS('2024'!$AI$5:$AI$178,'2024'!$AG$5:$AG$178,"&gt;="&amp;DATE(2033,5,1),'2024'!$AG$5:$AG$178,"&lt;"&amp;EDATE(DATE(2033,5,1),1)))/D143)</f>
        <v/>
      </c>
    </row>
    <row r="144">
      <c r="B144" s="12">
        <f>IF(DATE(2033,6,1)&gt;TODAY(),"",DATE(2033,6,1))</f>
        <v/>
      </c>
      <c r="C144" s="6">
        <f>IF(DATE(2033,6,1)&gt;TODAY(),"",COUNTIFS('2024'!$AD$5:$AD$178,"&gt;="&amp;DATE(2033,6,1),'2024'!$AD$5:$AD$178,"&lt;"&amp;EDATE(DATE(2033,6,1),1)))</f>
        <v/>
      </c>
      <c r="D144" s="6">
        <f>IF(DATE(2033,6,1)&gt;TODAY(),"",COUNTIFS('2024'!$AG$5:$AG$178,"&gt;="&amp;DATE(2033,6,1),'2024'!$AG$5:$AG$178,"&lt;"&amp;EDATE(DATE(2033,6,1),1)))</f>
        <v/>
      </c>
      <c r="E144" s="7">
        <f>IF(DATE(2033,6,1)&gt;TODAY(),"",SUMIFS('2024'!$X$5:$X$178,'2024'!$AG$5:$AG$178,"&gt;="&amp;DATE(2033,6,1),'2024'!$AG$5:$AG$178,"&lt;"&amp;EDATE(DATE(2033,6,1),1)))</f>
        <v/>
      </c>
      <c r="F144" s="7">
        <f>IF(N(D144)=0,"",E144/D144)</f>
        <v/>
      </c>
      <c r="G144" s="7">
        <f>IF(E144="","",E144/2)</f>
        <v/>
      </c>
      <c r="H144" s="7">
        <f>IF(DATE(2033,6,1)&gt;TODAY(),"",SUMIFS('2024'!$V$5:$V$178,'2024'!$AG$5:$AG$178,"&gt;="&amp;DATE(2033,6,1),'2024'!$AG$5:$AG$178,"&lt;"&amp;EDATE(DATE(2033,6,1),1)))</f>
        <v/>
      </c>
      <c r="I144" s="6">
        <f>IF(N(D144)=0,"",(SUMIFS('2024'!$AH$5:$AH$178,'2024'!$AG$5:$AG$178,"&gt;="&amp;DATE(2033,6,1),'2024'!$AG$5:$AG$178,"&lt;"&amp;EDATE(DATE(2033,6,1),1)))/D144)</f>
        <v/>
      </c>
      <c r="J144" s="6">
        <f>IF(N(D144)=0,"",(SUMIFS('2024'!$AI$5:$AI$178,'2024'!$AG$5:$AG$178,"&gt;="&amp;DATE(2033,6,1),'2024'!$AG$5:$AG$178,"&lt;"&amp;EDATE(DATE(2033,6,1),1)))/D144)</f>
        <v/>
      </c>
    </row>
    <row r="145">
      <c r="B145" s="12">
        <f>IF(DATE(2033,7,1)&gt;TODAY(),"",DATE(2033,7,1))</f>
        <v/>
      </c>
      <c r="C145" s="6">
        <f>IF(DATE(2033,7,1)&gt;TODAY(),"",COUNTIFS('2024'!$AD$5:$AD$178,"&gt;="&amp;DATE(2033,7,1),'2024'!$AD$5:$AD$178,"&lt;"&amp;EDATE(DATE(2033,7,1),1)))</f>
        <v/>
      </c>
      <c r="D145" s="6">
        <f>IF(DATE(2033,7,1)&gt;TODAY(),"",COUNTIFS('2024'!$AG$5:$AG$178,"&gt;="&amp;DATE(2033,7,1),'2024'!$AG$5:$AG$178,"&lt;"&amp;EDATE(DATE(2033,7,1),1)))</f>
        <v/>
      </c>
      <c r="E145" s="7">
        <f>IF(DATE(2033,7,1)&gt;TODAY(),"",SUMIFS('2024'!$X$5:$X$178,'2024'!$AG$5:$AG$178,"&gt;="&amp;DATE(2033,7,1),'2024'!$AG$5:$AG$178,"&lt;"&amp;EDATE(DATE(2033,7,1),1)))</f>
        <v/>
      </c>
      <c r="F145" s="7">
        <f>IF(N(D145)=0,"",E145/D145)</f>
        <v/>
      </c>
      <c r="G145" s="7">
        <f>IF(E145="","",E145/2)</f>
        <v/>
      </c>
      <c r="H145" s="7">
        <f>IF(DATE(2033,7,1)&gt;TODAY(),"",SUMIFS('2024'!$V$5:$V$178,'2024'!$AG$5:$AG$178,"&gt;="&amp;DATE(2033,7,1),'2024'!$AG$5:$AG$178,"&lt;"&amp;EDATE(DATE(2033,7,1),1)))</f>
        <v/>
      </c>
      <c r="I145" s="6">
        <f>IF(N(D145)=0,"",(SUMIFS('2024'!$AH$5:$AH$178,'2024'!$AG$5:$AG$178,"&gt;="&amp;DATE(2033,7,1),'2024'!$AG$5:$AG$178,"&lt;"&amp;EDATE(DATE(2033,7,1),1)))/D145)</f>
        <v/>
      </c>
      <c r="J145" s="6">
        <f>IF(N(D145)=0,"",(SUMIFS('2024'!$AI$5:$AI$178,'2024'!$AG$5:$AG$178,"&gt;="&amp;DATE(2033,7,1),'2024'!$AG$5:$AG$178,"&lt;"&amp;EDATE(DATE(2033,7,1),1)))/D145)</f>
        <v/>
      </c>
    </row>
    <row r="146">
      <c r="B146" s="12">
        <f>IF(DATE(2033,8,1)&gt;TODAY(),"",DATE(2033,8,1))</f>
        <v/>
      </c>
      <c r="C146" s="6">
        <f>IF(DATE(2033,8,1)&gt;TODAY(),"",COUNTIFS('2024'!$AD$5:$AD$178,"&gt;="&amp;DATE(2033,8,1),'2024'!$AD$5:$AD$178,"&lt;"&amp;EDATE(DATE(2033,8,1),1)))</f>
        <v/>
      </c>
      <c r="D146" s="6">
        <f>IF(DATE(2033,8,1)&gt;TODAY(),"",COUNTIFS('2024'!$AG$5:$AG$178,"&gt;="&amp;DATE(2033,8,1),'2024'!$AG$5:$AG$178,"&lt;"&amp;EDATE(DATE(2033,8,1),1)))</f>
        <v/>
      </c>
      <c r="E146" s="7">
        <f>IF(DATE(2033,8,1)&gt;TODAY(),"",SUMIFS('2024'!$X$5:$X$178,'2024'!$AG$5:$AG$178,"&gt;="&amp;DATE(2033,8,1),'2024'!$AG$5:$AG$178,"&lt;"&amp;EDATE(DATE(2033,8,1),1)))</f>
        <v/>
      </c>
      <c r="F146" s="7">
        <f>IF(N(D146)=0,"",E146/D146)</f>
        <v/>
      </c>
      <c r="G146" s="7">
        <f>IF(E146="","",E146/2)</f>
        <v/>
      </c>
      <c r="H146" s="7">
        <f>IF(DATE(2033,8,1)&gt;TODAY(),"",SUMIFS('2024'!$V$5:$V$178,'2024'!$AG$5:$AG$178,"&gt;="&amp;DATE(2033,8,1),'2024'!$AG$5:$AG$178,"&lt;"&amp;EDATE(DATE(2033,8,1),1)))</f>
        <v/>
      </c>
      <c r="I146" s="6">
        <f>IF(N(D146)=0,"",(SUMIFS('2024'!$AH$5:$AH$178,'2024'!$AG$5:$AG$178,"&gt;="&amp;DATE(2033,8,1),'2024'!$AG$5:$AG$178,"&lt;"&amp;EDATE(DATE(2033,8,1),1)))/D146)</f>
        <v/>
      </c>
      <c r="J146" s="6">
        <f>IF(N(D146)=0,"",(SUMIFS('2024'!$AI$5:$AI$178,'2024'!$AG$5:$AG$178,"&gt;="&amp;DATE(2033,8,1),'2024'!$AG$5:$AG$178,"&lt;"&amp;EDATE(DATE(2033,8,1),1)))/D146)</f>
        <v/>
      </c>
    </row>
    <row r="147">
      <c r="B147" s="12">
        <f>IF(DATE(2033,9,1)&gt;TODAY(),"",DATE(2033,9,1))</f>
        <v/>
      </c>
      <c r="C147" s="6">
        <f>IF(DATE(2033,9,1)&gt;TODAY(),"",COUNTIFS('2024'!$AD$5:$AD$178,"&gt;="&amp;DATE(2033,9,1),'2024'!$AD$5:$AD$178,"&lt;"&amp;EDATE(DATE(2033,9,1),1)))</f>
        <v/>
      </c>
      <c r="D147" s="6">
        <f>IF(DATE(2033,9,1)&gt;TODAY(),"",COUNTIFS('2024'!$AG$5:$AG$178,"&gt;="&amp;DATE(2033,9,1),'2024'!$AG$5:$AG$178,"&lt;"&amp;EDATE(DATE(2033,9,1),1)))</f>
        <v/>
      </c>
      <c r="E147" s="7">
        <f>IF(DATE(2033,9,1)&gt;TODAY(),"",SUMIFS('2024'!$X$5:$X$178,'2024'!$AG$5:$AG$178,"&gt;="&amp;DATE(2033,9,1),'2024'!$AG$5:$AG$178,"&lt;"&amp;EDATE(DATE(2033,9,1),1)))</f>
        <v/>
      </c>
      <c r="F147" s="7">
        <f>IF(N(D147)=0,"",E147/D147)</f>
        <v/>
      </c>
      <c r="G147" s="7">
        <f>IF(E147="","",E147/2)</f>
        <v/>
      </c>
      <c r="H147" s="7">
        <f>IF(DATE(2033,9,1)&gt;TODAY(),"",SUMIFS('2024'!$V$5:$V$178,'2024'!$AG$5:$AG$178,"&gt;="&amp;DATE(2033,9,1),'2024'!$AG$5:$AG$178,"&lt;"&amp;EDATE(DATE(2033,9,1),1)))</f>
        <v/>
      </c>
      <c r="I147" s="6">
        <f>IF(N(D147)=0,"",(SUMIFS('2024'!$AH$5:$AH$178,'2024'!$AG$5:$AG$178,"&gt;="&amp;DATE(2033,9,1),'2024'!$AG$5:$AG$178,"&lt;"&amp;EDATE(DATE(2033,9,1),1)))/D147)</f>
        <v/>
      </c>
      <c r="J147" s="6">
        <f>IF(N(D147)=0,"",(SUMIFS('2024'!$AI$5:$AI$178,'2024'!$AG$5:$AG$178,"&gt;="&amp;DATE(2033,9,1),'2024'!$AG$5:$AG$178,"&lt;"&amp;EDATE(DATE(2033,9,1),1)))/D147)</f>
        <v/>
      </c>
    </row>
    <row r="148">
      <c r="B148" s="12">
        <f>IF(DATE(2033,10,1)&gt;TODAY(),"",DATE(2033,10,1))</f>
        <v/>
      </c>
      <c r="C148" s="6">
        <f>IF(DATE(2033,10,1)&gt;TODAY(),"",COUNTIFS('2024'!$AD$5:$AD$178,"&gt;="&amp;DATE(2033,10,1),'2024'!$AD$5:$AD$178,"&lt;"&amp;EDATE(DATE(2033,10,1),1)))</f>
        <v/>
      </c>
      <c r="D148" s="6">
        <f>IF(DATE(2033,10,1)&gt;TODAY(),"",COUNTIFS('2024'!$AG$5:$AG$178,"&gt;="&amp;DATE(2033,10,1),'2024'!$AG$5:$AG$178,"&lt;"&amp;EDATE(DATE(2033,10,1),1)))</f>
        <v/>
      </c>
      <c r="E148" s="7">
        <f>IF(DATE(2033,10,1)&gt;TODAY(),"",SUMIFS('2024'!$X$5:$X$178,'2024'!$AG$5:$AG$178,"&gt;="&amp;DATE(2033,10,1),'2024'!$AG$5:$AG$178,"&lt;"&amp;EDATE(DATE(2033,10,1),1)))</f>
        <v/>
      </c>
      <c r="F148" s="7">
        <f>IF(N(D148)=0,"",E148/D148)</f>
        <v/>
      </c>
      <c r="G148" s="7">
        <f>IF(E148="","",E148/2)</f>
        <v/>
      </c>
      <c r="H148" s="7">
        <f>IF(DATE(2033,10,1)&gt;TODAY(),"",SUMIFS('2024'!$V$5:$V$178,'2024'!$AG$5:$AG$178,"&gt;="&amp;DATE(2033,10,1),'2024'!$AG$5:$AG$178,"&lt;"&amp;EDATE(DATE(2033,10,1),1)))</f>
        <v/>
      </c>
      <c r="I148" s="6">
        <f>IF(N(D148)=0,"",(SUMIFS('2024'!$AH$5:$AH$178,'2024'!$AG$5:$AG$178,"&gt;="&amp;DATE(2033,10,1),'2024'!$AG$5:$AG$178,"&lt;"&amp;EDATE(DATE(2033,10,1),1)))/D148)</f>
        <v/>
      </c>
      <c r="J148" s="6">
        <f>IF(N(D148)=0,"",(SUMIFS('2024'!$AI$5:$AI$178,'2024'!$AG$5:$AG$178,"&gt;="&amp;DATE(2033,10,1),'2024'!$AG$5:$AG$178,"&lt;"&amp;EDATE(DATE(2033,10,1),1)))/D148)</f>
        <v/>
      </c>
    </row>
    <row r="149">
      <c r="B149" s="12">
        <f>IF(DATE(2033,11,1)&gt;TODAY(),"",DATE(2033,11,1))</f>
        <v/>
      </c>
      <c r="C149" s="6">
        <f>IF(DATE(2033,11,1)&gt;TODAY(),"",COUNTIFS('2024'!$AD$5:$AD$178,"&gt;="&amp;DATE(2033,11,1),'2024'!$AD$5:$AD$178,"&lt;"&amp;EDATE(DATE(2033,11,1),1)))</f>
        <v/>
      </c>
      <c r="D149" s="6">
        <f>IF(DATE(2033,11,1)&gt;TODAY(),"",COUNTIFS('2024'!$AG$5:$AG$178,"&gt;="&amp;DATE(2033,11,1),'2024'!$AG$5:$AG$178,"&lt;"&amp;EDATE(DATE(2033,11,1),1)))</f>
        <v/>
      </c>
      <c r="E149" s="7">
        <f>IF(DATE(2033,11,1)&gt;TODAY(),"",SUMIFS('2024'!$X$5:$X$178,'2024'!$AG$5:$AG$178,"&gt;="&amp;DATE(2033,11,1),'2024'!$AG$5:$AG$178,"&lt;"&amp;EDATE(DATE(2033,11,1),1)))</f>
        <v/>
      </c>
      <c r="F149" s="7">
        <f>IF(N(D149)=0,"",E149/D149)</f>
        <v/>
      </c>
      <c r="G149" s="7">
        <f>IF(E149="","",E149/2)</f>
        <v/>
      </c>
      <c r="H149" s="7">
        <f>IF(DATE(2033,11,1)&gt;TODAY(),"",SUMIFS('2024'!$V$5:$V$178,'2024'!$AG$5:$AG$178,"&gt;="&amp;DATE(2033,11,1),'2024'!$AG$5:$AG$178,"&lt;"&amp;EDATE(DATE(2033,11,1),1)))</f>
        <v/>
      </c>
      <c r="I149" s="6">
        <f>IF(N(D149)=0,"",(SUMIFS('2024'!$AH$5:$AH$178,'2024'!$AG$5:$AG$178,"&gt;="&amp;DATE(2033,11,1),'2024'!$AG$5:$AG$178,"&lt;"&amp;EDATE(DATE(2033,11,1),1)))/D149)</f>
        <v/>
      </c>
      <c r="J149" s="6">
        <f>IF(N(D149)=0,"",(SUMIFS('2024'!$AI$5:$AI$178,'2024'!$AG$5:$AG$178,"&gt;="&amp;DATE(2033,11,1),'2024'!$AG$5:$AG$178,"&lt;"&amp;EDATE(DATE(2033,11,1),1)))/D149)</f>
        <v/>
      </c>
    </row>
    <row r="150">
      <c r="B150" s="12">
        <f>IF(DATE(2033,12,1)&gt;TODAY(),"",DATE(2033,12,1))</f>
        <v/>
      </c>
      <c r="C150" s="6">
        <f>IF(DATE(2033,12,1)&gt;TODAY(),"",COUNTIFS('2024'!$AD$5:$AD$178,"&gt;="&amp;DATE(2033,12,1),'2024'!$AD$5:$AD$178,"&lt;"&amp;EDATE(DATE(2033,12,1),1)))</f>
        <v/>
      </c>
      <c r="D150" s="6">
        <f>IF(DATE(2033,12,1)&gt;TODAY(),"",COUNTIFS('2024'!$AG$5:$AG$178,"&gt;="&amp;DATE(2033,12,1),'2024'!$AG$5:$AG$178,"&lt;"&amp;EDATE(DATE(2033,12,1),1)))</f>
        <v/>
      </c>
      <c r="E150" s="7">
        <f>IF(DATE(2033,12,1)&gt;TODAY(),"",SUMIFS('2024'!$X$5:$X$178,'2024'!$AG$5:$AG$178,"&gt;="&amp;DATE(2033,12,1),'2024'!$AG$5:$AG$178,"&lt;"&amp;EDATE(DATE(2033,12,1),1)))</f>
        <v/>
      </c>
      <c r="F150" s="7">
        <f>IF(N(D150)=0,"",E150/D150)</f>
        <v/>
      </c>
      <c r="G150" s="7">
        <f>IF(E150="","",E150/2)</f>
        <v/>
      </c>
      <c r="H150" s="7">
        <f>IF(DATE(2033,12,1)&gt;TODAY(),"",SUMIFS('2024'!$V$5:$V$178,'2024'!$AG$5:$AG$178,"&gt;="&amp;DATE(2033,12,1),'2024'!$AG$5:$AG$178,"&lt;"&amp;EDATE(DATE(2033,12,1),1)))</f>
        <v/>
      </c>
      <c r="I150" s="6">
        <f>IF(N(D150)=0,"",(SUMIFS('2024'!$AH$5:$AH$178,'2024'!$AG$5:$AG$178,"&gt;="&amp;DATE(2033,12,1),'2024'!$AG$5:$AG$178,"&lt;"&amp;EDATE(DATE(2033,12,1),1)))/D150)</f>
        <v/>
      </c>
      <c r="J150" s="6">
        <f>IF(N(D150)=0,"",(SUMIFS('2024'!$AI$5:$AI$178,'2024'!$AG$5:$AG$178,"&gt;="&amp;DATE(2033,12,1),'2024'!$AG$5:$AG$178,"&lt;"&amp;EDATE(DATE(2033,12,1),1)))/D150)</f>
        <v/>
      </c>
    </row>
    <row r="151">
      <c r="B151" s="12">
        <f>IF(DATE(2034,1,1)&gt;TODAY(),"",DATE(2034,1,1))</f>
        <v/>
      </c>
      <c r="C151" s="6">
        <f>IF(DATE(2034,1,1)&gt;TODAY(),"",COUNTIFS('2024'!$AD$5:$AD$178,"&gt;="&amp;DATE(2034,1,1),'2024'!$AD$5:$AD$178,"&lt;"&amp;EDATE(DATE(2034,1,1),1)))</f>
        <v/>
      </c>
      <c r="D151" s="6">
        <f>IF(DATE(2034,1,1)&gt;TODAY(),"",COUNTIFS('2024'!$AG$5:$AG$178,"&gt;="&amp;DATE(2034,1,1),'2024'!$AG$5:$AG$178,"&lt;"&amp;EDATE(DATE(2034,1,1),1)))</f>
        <v/>
      </c>
      <c r="E151" s="7">
        <f>IF(DATE(2034,1,1)&gt;TODAY(),"",SUMIFS('2024'!$X$5:$X$178,'2024'!$AG$5:$AG$178,"&gt;="&amp;DATE(2034,1,1),'2024'!$AG$5:$AG$178,"&lt;"&amp;EDATE(DATE(2034,1,1),1)))</f>
        <v/>
      </c>
      <c r="F151" s="7">
        <f>IF(N(D151)=0,"",E151/D151)</f>
        <v/>
      </c>
      <c r="G151" s="7">
        <f>IF(E151="","",E151/2)</f>
        <v/>
      </c>
      <c r="H151" s="7">
        <f>IF(DATE(2034,1,1)&gt;TODAY(),"",SUMIFS('2024'!$V$5:$V$178,'2024'!$AG$5:$AG$178,"&gt;="&amp;DATE(2034,1,1),'2024'!$AG$5:$AG$178,"&lt;"&amp;EDATE(DATE(2034,1,1),1)))</f>
        <v/>
      </c>
      <c r="I151" s="6">
        <f>IF(N(D151)=0,"",(SUMIFS('2024'!$AH$5:$AH$178,'2024'!$AG$5:$AG$178,"&gt;="&amp;DATE(2034,1,1),'2024'!$AG$5:$AG$178,"&lt;"&amp;EDATE(DATE(2034,1,1),1)))/D151)</f>
        <v/>
      </c>
      <c r="J151" s="6">
        <f>IF(N(D151)=0,"",(SUMIFS('2024'!$AI$5:$AI$178,'2024'!$AG$5:$AG$178,"&gt;="&amp;DATE(2034,1,1),'2024'!$AG$5:$AG$178,"&lt;"&amp;EDATE(DATE(2034,1,1),1)))/D151)</f>
        <v/>
      </c>
    </row>
    <row r="152">
      <c r="B152" s="12">
        <f>IF(DATE(2034,2,1)&gt;TODAY(),"",DATE(2034,2,1))</f>
        <v/>
      </c>
      <c r="C152" s="6">
        <f>IF(DATE(2034,2,1)&gt;TODAY(),"",COUNTIFS('2024'!$AD$5:$AD$178,"&gt;="&amp;DATE(2034,2,1),'2024'!$AD$5:$AD$178,"&lt;"&amp;EDATE(DATE(2034,2,1),1)))</f>
        <v/>
      </c>
      <c r="D152" s="6">
        <f>IF(DATE(2034,2,1)&gt;TODAY(),"",COUNTIFS('2024'!$AG$5:$AG$178,"&gt;="&amp;DATE(2034,2,1),'2024'!$AG$5:$AG$178,"&lt;"&amp;EDATE(DATE(2034,2,1),1)))</f>
        <v/>
      </c>
      <c r="E152" s="7">
        <f>IF(DATE(2034,2,1)&gt;TODAY(),"",SUMIFS('2024'!$X$5:$X$178,'2024'!$AG$5:$AG$178,"&gt;="&amp;DATE(2034,2,1),'2024'!$AG$5:$AG$178,"&lt;"&amp;EDATE(DATE(2034,2,1),1)))</f>
        <v/>
      </c>
      <c r="F152" s="7">
        <f>IF(N(D152)=0,"",E152/D152)</f>
        <v/>
      </c>
      <c r="G152" s="7">
        <f>IF(E152="","",E152/2)</f>
        <v/>
      </c>
      <c r="H152" s="7">
        <f>IF(DATE(2034,2,1)&gt;TODAY(),"",SUMIFS('2024'!$V$5:$V$178,'2024'!$AG$5:$AG$178,"&gt;="&amp;DATE(2034,2,1),'2024'!$AG$5:$AG$178,"&lt;"&amp;EDATE(DATE(2034,2,1),1)))</f>
        <v/>
      </c>
      <c r="I152" s="6">
        <f>IF(N(D152)=0,"",(SUMIFS('2024'!$AH$5:$AH$178,'2024'!$AG$5:$AG$178,"&gt;="&amp;DATE(2034,2,1),'2024'!$AG$5:$AG$178,"&lt;"&amp;EDATE(DATE(2034,2,1),1)))/D152)</f>
        <v/>
      </c>
      <c r="J152" s="6">
        <f>IF(N(D152)=0,"",(SUMIFS('2024'!$AI$5:$AI$178,'2024'!$AG$5:$AG$178,"&gt;="&amp;DATE(2034,2,1),'2024'!$AG$5:$AG$178,"&lt;"&amp;EDATE(DATE(2034,2,1),1)))/D152)</f>
        <v/>
      </c>
    </row>
    <row r="153">
      <c r="B153" s="12">
        <f>IF(DATE(2034,3,1)&gt;TODAY(),"",DATE(2034,3,1))</f>
        <v/>
      </c>
      <c r="C153" s="6">
        <f>IF(DATE(2034,3,1)&gt;TODAY(),"",COUNTIFS('2024'!$AD$5:$AD$178,"&gt;="&amp;DATE(2034,3,1),'2024'!$AD$5:$AD$178,"&lt;"&amp;EDATE(DATE(2034,3,1),1)))</f>
        <v/>
      </c>
      <c r="D153" s="6">
        <f>IF(DATE(2034,3,1)&gt;TODAY(),"",COUNTIFS('2024'!$AG$5:$AG$178,"&gt;="&amp;DATE(2034,3,1),'2024'!$AG$5:$AG$178,"&lt;"&amp;EDATE(DATE(2034,3,1),1)))</f>
        <v/>
      </c>
      <c r="E153" s="7">
        <f>IF(DATE(2034,3,1)&gt;TODAY(),"",SUMIFS('2024'!$X$5:$X$178,'2024'!$AG$5:$AG$178,"&gt;="&amp;DATE(2034,3,1),'2024'!$AG$5:$AG$178,"&lt;"&amp;EDATE(DATE(2034,3,1),1)))</f>
        <v/>
      </c>
      <c r="F153" s="7">
        <f>IF(N(D153)=0,"",E153/D153)</f>
        <v/>
      </c>
      <c r="G153" s="7">
        <f>IF(E153="","",E153/2)</f>
        <v/>
      </c>
      <c r="H153" s="7">
        <f>IF(DATE(2034,3,1)&gt;TODAY(),"",SUMIFS('2024'!$V$5:$V$178,'2024'!$AG$5:$AG$178,"&gt;="&amp;DATE(2034,3,1),'2024'!$AG$5:$AG$178,"&lt;"&amp;EDATE(DATE(2034,3,1),1)))</f>
        <v/>
      </c>
      <c r="I153" s="6">
        <f>IF(N(D153)=0,"",(SUMIFS('2024'!$AH$5:$AH$178,'2024'!$AG$5:$AG$178,"&gt;="&amp;DATE(2034,3,1),'2024'!$AG$5:$AG$178,"&lt;"&amp;EDATE(DATE(2034,3,1),1)))/D153)</f>
        <v/>
      </c>
      <c r="J153" s="6">
        <f>IF(N(D153)=0,"",(SUMIFS('2024'!$AI$5:$AI$178,'2024'!$AG$5:$AG$178,"&gt;="&amp;DATE(2034,3,1),'2024'!$AG$5:$AG$178,"&lt;"&amp;EDATE(DATE(2034,3,1),1)))/D153)</f>
        <v/>
      </c>
    </row>
    <row r="154">
      <c r="B154" s="12">
        <f>IF(DATE(2034,4,1)&gt;TODAY(),"",DATE(2034,4,1))</f>
        <v/>
      </c>
      <c r="C154" s="6">
        <f>IF(DATE(2034,4,1)&gt;TODAY(),"",COUNTIFS('2024'!$AD$5:$AD$178,"&gt;="&amp;DATE(2034,4,1),'2024'!$AD$5:$AD$178,"&lt;"&amp;EDATE(DATE(2034,4,1),1)))</f>
        <v/>
      </c>
      <c r="D154" s="6">
        <f>IF(DATE(2034,4,1)&gt;TODAY(),"",COUNTIFS('2024'!$AG$5:$AG$178,"&gt;="&amp;DATE(2034,4,1),'2024'!$AG$5:$AG$178,"&lt;"&amp;EDATE(DATE(2034,4,1),1)))</f>
        <v/>
      </c>
      <c r="E154" s="7">
        <f>IF(DATE(2034,4,1)&gt;TODAY(),"",SUMIFS('2024'!$X$5:$X$178,'2024'!$AG$5:$AG$178,"&gt;="&amp;DATE(2034,4,1),'2024'!$AG$5:$AG$178,"&lt;"&amp;EDATE(DATE(2034,4,1),1)))</f>
        <v/>
      </c>
      <c r="F154" s="7">
        <f>IF(N(D154)=0,"",E154/D154)</f>
        <v/>
      </c>
      <c r="G154" s="7">
        <f>IF(E154="","",E154/2)</f>
        <v/>
      </c>
      <c r="H154" s="7">
        <f>IF(DATE(2034,4,1)&gt;TODAY(),"",SUMIFS('2024'!$V$5:$V$178,'2024'!$AG$5:$AG$178,"&gt;="&amp;DATE(2034,4,1),'2024'!$AG$5:$AG$178,"&lt;"&amp;EDATE(DATE(2034,4,1),1)))</f>
        <v/>
      </c>
      <c r="I154" s="6">
        <f>IF(N(D154)=0,"",(SUMIFS('2024'!$AH$5:$AH$178,'2024'!$AG$5:$AG$178,"&gt;="&amp;DATE(2034,4,1),'2024'!$AG$5:$AG$178,"&lt;"&amp;EDATE(DATE(2034,4,1),1)))/D154)</f>
        <v/>
      </c>
      <c r="J154" s="6">
        <f>IF(N(D154)=0,"",(SUMIFS('2024'!$AI$5:$AI$178,'2024'!$AG$5:$AG$178,"&gt;="&amp;DATE(2034,4,1),'2024'!$AG$5:$AG$178,"&lt;"&amp;EDATE(DATE(2034,4,1),1)))/D154)</f>
        <v/>
      </c>
    </row>
    <row r="155">
      <c r="B155" s="12">
        <f>IF(DATE(2034,5,1)&gt;TODAY(),"",DATE(2034,5,1))</f>
        <v/>
      </c>
      <c r="C155" s="6">
        <f>IF(DATE(2034,5,1)&gt;TODAY(),"",COUNTIFS('2024'!$AD$5:$AD$178,"&gt;="&amp;DATE(2034,5,1),'2024'!$AD$5:$AD$178,"&lt;"&amp;EDATE(DATE(2034,5,1),1)))</f>
        <v/>
      </c>
      <c r="D155" s="6">
        <f>IF(DATE(2034,5,1)&gt;TODAY(),"",COUNTIFS('2024'!$AG$5:$AG$178,"&gt;="&amp;DATE(2034,5,1),'2024'!$AG$5:$AG$178,"&lt;"&amp;EDATE(DATE(2034,5,1),1)))</f>
        <v/>
      </c>
      <c r="E155" s="7">
        <f>IF(DATE(2034,5,1)&gt;TODAY(),"",SUMIFS('2024'!$X$5:$X$178,'2024'!$AG$5:$AG$178,"&gt;="&amp;DATE(2034,5,1),'2024'!$AG$5:$AG$178,"&lt;"&amp;EDATE(DATE(2034,5,1),1)))</f>
        <v/>
      </c>
      <c r="F155" s="7">
        <f>IF(N(D155)=0,"",E155/D155)</f>
        <v/>
      </c>
      <c r="G155" s="7">
        <f>IF(E155="","",E155/2)</f>
        <v/>
      </c>
      <c r="H155" s="7">
        <f>IF(DATE(2034,5,1)&gt;TODAY(),"",SUMIFS('2024'!$V$5:$V$178,'2024'!$AG$5:$AG$178,"&gt;="&amp;DATE(2034,5,1),'2024'!$AG$5:$AG$178,"&lt;"&amp;EDATE(DATE(2034,5,1),1)))</f>
        <v/>
      </c>
      <c r="I155" s="6">
        <f>IF(N(D155)=0,"",(SUMIFS('2024'!$AH$5:$AH$178,'2024'!$AG$5:$AG$178,"&gt;="&amp;DATE(2034,5,1),'2024'!$AG$5:$AG$178,"&lt;"&amp;EDATE(DATE(2034,5,1),1)))/D155)</f>
        <v/>
      </c>
      <c r="J155" s="6">
        <f>IF(N(D155)=0,"",(SUMIFS('2024'!$AI$5:$AI$178,'2024'!$AG$5:$AG$178,"&gt;="&amp;DATE(2034,5,1),'2024'!$AG$5:$AG$178,"&lt;"&amp;EDATE(DATE(2034,5,1),1)))/D155)</f>
        <v/>
      </c>
    </row>
    <row r="156">
      <c r="B156" s="12">
        <f>IF(DATE(2034,6,1)&gt;TODAY(),"",DATE(2034,6,1))</f>
        <v/>
      </c>
      <c r="C156" s="6">
        <f>IF(DATE(2034,6,1)&gt;TODAY(),"",COUNTIFS('2024'!$AD$5:$AD$178,"&gt;="&amp;DATE(2034,6,1),'2024'!$AD$5:$AD$178,"&lt;"&amp;EDATE(DATE(2034,6,1),1)))</f>
        <v/>
      </c>
      <c r="D156" s="6">
        <f>IF(DATE(2034,6,1)&gt;TODAY(),"",COUNTIFS('2024'!$AG$5:$AG$178,"&gt;="&amp;DATE(2034,6,1),'2024'!$AG$5:$AG$178,"&lt;"&amp;EDATE(DATE(2034,6,1),1)))</f>
        <v/>
      </c>
      <c r="E156" s="7">
        <f>IF(DATE(2034,6,1)&gt;TODAY(),"",SUMIFS('2024'!$X$5:$X$178,'2024'!$AG$5:$AG$178,"&gt;="&amp;DATE(2034,6,1),'2024'!$AG$5:$AG$178,"&lt;"&amp;EDATE(DATE(2034,6,1),1)))</f>
        <v/>
      </c>
      <c r="F156" s="7">
        <f>IF(N(D156)=0,"",E156/D156)</f>
        <v/>
      </c>
      <c r="G156" s="7">
        <f>IF(E156="","",E156/2)</f>
        <v/>
      </c>
      <c r="H156" s="7">
        <f>IF(DATE(2034,6,1)&gt;TODAY(),"",SUMIFS('2024'!$V$5:$V$178,'2024'!$AG$5:$AG$178,"&gt;="&amp;DATE(2034,6,1),'2024'!$AG$5:$AG$178,"&lt;"&amp;EDATE(DATE(2034,6,1),1)))</f>
        <v/>
      </c>
      <c r="I156" s="6">
        <f>IF(N(D156)=0,"",(SUMIFS('2024'!$AH$5:$AH$178,'2024'!$AG$5:$AG$178,"&gt;="&amp;DATE(2034,6,1),'2024'!$AG$5:$AG$178,"&lt;"&amp;EDATE(DATE(2034,6,1),1)))/D156)</f>
        <v/>
      </c>
      <c r="J156" s="6">
        <f>IF(N(D156)=0,"",(SUMIFS('2024'!$AI$5:$AI$178,'2024'!$AG$5:$AG$178,"&gt;="&amp;DATE(2034,6,1),'2024'!$AG$5:$AG$178,"&lt;"&amp;EDATE(DATE(2034,6,1),1)))/D156)</f>
        <v/>
      </c>
    </row>
    <row r="157">
      <c r="B157" s="12">
        <f>IF(DATE(2034,7,1)&gt;TODAY(),"",DATE(2034,7,1))</f>
        <v/>
      </c>
      <c r="C157" s="6">
        <f>IF(DATE(2034,7,1)&gt;TODAY(),"",COUNTIFS('2024'!$AD$5:$AD$178,"&gt;="&amp;DATE(2034,7,1),'2024'!$AD$5:$AD$178,"&lt;"&amp;EDATE(DATE(2034,7,1),1)))</f>
        <v/>
      </c>
      <c r="D157" s="6">
        <f>IF(DATE(2034,7,1)&gt;TODAY(),"",COUNTIFS('2024'!$AG$5:$AG$178,"&gt;="&amp;DATE(2034,7,1),'2024'!$AG$5:$AG$178,"&lt;"&amp;EDATE(DATE(2034,7,1),1)))</f>
        <v/>
      </c>
      <c r="E157" s="7">
        <f>IF(DATE(2034,7,1)&gt;TODAY(),"",SUMIFS('2024'!$X$5:$X$178,'2024'!$AG$5:$AG$178,"&gt;="&amp;DATE(2034,7,1),'2024'!$AG$5:$AG$178,"&lt;"&amp;EDATE(DATE(2034,7,1),1)))</f>
        <v/>
      </c>
      <c r="F157" s="7">
        <f>IF(N(D157)=0,"",E157/D157)</f>
        <v/>
      </c>
      <c r="G157" s="7">
        <f>IF(E157="","",E157/2)</f>
        <v/>
      </c>
      <c r="H157" s="7">
        <f>IF(DATE(2034,7,1)&gt;TODAY(),"",SUMIFS('2024'!$V$5:$V$178,'2024'!$AG$5:$AG$178,"&gt;="&amp;DATE(2034,7,1),'2024'!$AG$5:$AG$178,"&lt;"&amp;EDATE(DATE(2034,7,1),1)))</f>
        <v/>
      </c>
      <c r="I157" s="6">
        <f>IF(N(D157)=0,"",(SUMIFS('2024'!$AH$5:$AH$178,'2024'!$AG$5:$AG$178,"&gt;="&amp;DATE(2034,7,1),'2024'!$AG$5:$AG$178,"&lt;"&amp;EDATE(DATE(2034,7,1),1)))/D157)</f>
        <v/>
      </c>
      <c r="J157" s="6">
        <f>IF(N(D157)=0,"",(SUMIFS('2024'!$AI$5:$AI$178,'2024'!$AG$5:$AG$178,"&gt;="&amp;DATE(2034,7,1),'2024'!$AG$5:$AG$178,"&lt;"&amp;EDATE(DATE(2034,7,1),1)))/D157)</f>
        <v/>
      </c>
    </row>
    <row r="158">
      <c r="B158" s="12">
        <f>IF(DATE(2034,8,1)&gt;TODAY(),"",DATE(2034,8,1))</f>
        <v/>
      </c>
      <c r="C158" s="6">
        <f>IF(DATE(2034,8,1)&gt;TODAY(),"",COUNTIFS('2024'!$AD$5:$AD$178,"&gt;="&amp;DATE(2034,8,1),'2024'!$AD$5:$AD$178,"&lt;"&amp;EDATE(DATE(2034,8,1),1)))</f>
        <v/>
      </c>
      <c r="D158" s="6">
        <f>IF(DATE(2034,8,1)&gt;TODAY(),"",COUNTIFS('2024'!$AG$5:$AG$178,"&gt;="&amp;DATE(2034,8,1),'2024'!$AG$5:$AG$178,"&lt;"&amp;EDATE(DATE(2034,8,1),1)))</f>
        <v/>
      </c>
      <c r="E158" s="7">
        <f>IF(DATE(2034,8,1)&gt;TODAY(),"",SUMIFS('2024'!$X$5:$X$178,'2024'!$AG$5:$AG$178,"&gt;="&amp;DATE(2034,8,1),'2024'!$AG$5:$AG$178,"&lt;"&amp;EDATE(DATE(2034,8,1),1)))</f>
        <v/>
      </c>
      <c r="F158" s="7">
        <f>IF(N(D158)=0,"",E158/D158)</f>
        <v/>
      </c>
      <c r="G158" s="7">
        <f>IF(E158="","",E158/2)</f>
        <v/>
      </c>
      <c r="H158" s="7">
        <f>IF(DATE(2034,8,1)&gt;TODAY(),"",SUMIFS('2024'!$V$5:$V$178,'2024'!$AG$5:$AG$178,"&gt;="&amp;DATE(2034,8,1),'2024'!$AG$5:$AG$178,"&lt;"&amp;EDATE(DATE(2034,8,1),1)))</f>
        <v/>
      </c>
      <c r="I158" s="6">
        <f>IF(N(D158)=0,"",(SUMIFS('2024'!$AH$5:$AH$178,'2024'!$AG$5:$AG$178,"&gt;="&amp;DATE(2034,8,1),'2024'!$AG$5:$AG$178,"&lt;"&amp;EDATE(DATE(2034,8,1),1)))/D158)</f>
        <v/>
      </c>
      <c r="J158" s="6">
        <f>IF(N(D158)=0,"",(SUMIFS('2024'!$AI$5:$AI$178,'2024'!$AG$5:$AG$178,"&gt;="&amp;DATE(2034,8,1),'2024'!$AG$5:$AG$178,"&lt;"&amp;EDATE(DATE(2034,8,1),1)))/D158)</f>
        <v/>
      </c>
    </row>
    <row r="159">
      <c r="B159" s="12">
        <f>IF(DATE(2034,9,1)&gt;TODAY(),"",DATE(2034,9,1))</f>
        <v/>
      </c>
      <c r="C159" s="6">
        <f>IF(DATE(2034,9,1)&gt;TODAY(),"",COUNTIFS('2024'!$AD$5:$AD$178,"&gt;="&amp;DATE(2034,9,1),'2024'!$AD$5:$AD$178,"&lt;"&amp;EDATE(DATE(2034,9,1),1)))</f>
        <v/>
      </c>
      <c r="D159" s="6">
        <f>IF(DATE(2034,9,1)&gt;TODAY(),"",COUNTIFS('2024'!$AG$5:$AG$178,"&gt;="&amp;DATE(2034,9,1),'2024'!$AG$5:$AG$178,"&lt;"&amp;EDATE(DATE(2034,9,1),1)))</f>
        <v/>
      </c>
      <c r="E159" s="7">
        <f>IF(DATE(2034,9,1)&gt;TODAY(),"",SUMIFS('2024'!$X$5:$X$178,'2024'!$AG$5:$AG$178,"&gt;="&amp;DATE(2034,9,1),'2024'!$AG$5:$AG$178,"&lt;"&amp;EDATE(DATE(2034,9,1),1)))</f>
        <v/>
      </c>
      <c r="F159" s="7">
        <f>IF(N(D159)=0,"",E159/D159)</f>
        <v/>
      </c>
      <c r="G159" s="7">
        <f>IF(E159="","",E159/2)</f>
        <v/>
      </c>
      <c r="H159" s="7">
        <f>IF(DATE(2034,9,1)&gt;TODAY(),"",SUMIFS('2024'!$V$5:$V$178,'2024'!$AG$5:$AG$178,"&gt;="&amp;DATE(2034,9,1),'2024'!$AG$5:$AG$178,"&lt;"&amp;EDATE(DATE(2034,9,1),1)))</f>
        <v/>
      </c>
      <c r="I159" s="6">
        <f>IF(N(D159)=0,"",(SUMIFS('2024'!$AH$5:$AH$178,'2024'!$AG$5:$AG$178,"&gt;="&amp;DATE(2034,9,1),'2024'!$AG$5:$AG$178,"&lt;"&amp;EDATE(DATE(2034,9,1),1)))/D159)</f>
        <v/>
      </c>
      <c r="J159" s="6">
        <f>IF(N(D159)=0,"",(SUMIFS('2024'!$AI$5:$AI$178,'2024'!$AG$5:$AG$178,"&gt;="&amp;DATE(2034,9,1),'2024'!$AG$5:$AG$178,"&lt;"&amp;EDATE(DATE(2034,9,1),1)))/D159)</f>
        <v/>
      </c>
    </row>
    <row r="160">
      <c r="B160" s="12">
        <f>IF(DATE(2034,10,1)&gt;TODAY(),"",DATE(2034,10,1))</f>
        <v/>
      </c>
      <c r="C160" s="6">
        <f>IF(DATE(2034,10,1)&gt;TODAY(),"",COUNTIFS('2024'!$AD$5:$AD$178,"&gt;="&amp;DATE(2034,10,1),'2024'!$AD$5:$AD$178,"&lt;"&amp;EDATE(DATE(2034,10,1),1)))</f>
        <v/>
      </c>
      <c r="D160" s="6">
        <f>IF(DATE(2034,10,1)&gt;TODAY(),"",COUNTIFS('2024'!$AG$5:$AG$178,"&gt;="&amp;DATE(2034,10,1),'2024'!$AG$5:$AG$178,"&lt;"&amp;EDATE(DATE(2034,10,1),1)))</f>
        <v/>
      </c>
      <c r="E160" s="7">
        <f>IF(DATE(2034,10,1)&gt;TODAY(),"",SUMIFS('2024'!$X$5:$X$178,'2024'!$AG$5:$AG$178,"&gt;="&amp;DATE(2034,10,1),'2024'!$AG$5:$AG$178,"&lt;"&amp;EDATE(DATE(2034,10,1),1)))</f>
        <v/>
      </c>
      <c r="F160" s="7">
        <f>IF(N(D160)=0,"",E160/D160)</f>
        <v/>
      </c>
      <c r="G160" s="7">
        <f>IF(E160="","",E160/2)</f>
        <v/>
      </c>
      <c r="H160" s="7">
        <f>IF(DATE(2034,10,1)&gt;TODAY(),"",SUMIFS('2024'!$V$5:$V$178,'2024'!$AG$5:$AG$178,"&gt;="&amp;DATE(2034,10,1),'2024'!$AG$5:$AG$178,"&lt;"&amp;EDATE(DATE(2034,10,1),1)))</f>
        <v/>
      </c>
      <c r="I160" s="6">
        <f>IF(N(D160)=0,"",(SUMIFS('2024'!$AH$5:$AH$178,'2024'!$AG$5:$AG$178,"&gt;="&amp;DATE(2034,10,1),'2024'!$AG$5:$AG$178,"&lt;"&amp;EDATE(DATE(2034,10,1),1)))/D160)</f>
        <v/>
      </c>
      <c r="J160" s="6">
        <f>IF(N(D160)=0,"",(SUMIFS('2024'!$AI$5:$AI$178,'2024'!$AG$5:$AG$178,"&gt;="&amp;DATE(2034,10,1),'2024'!$AG$5:$AG$178,"&lt;"&amp;EDATE(DATE(2034,10,1),1)))/D160)</f>
        <v/>
      </c>
    </row>
    <row r="161">
      <c r="B161" s="12">
        <f>IF(DATE(2034,11,1)&gt;TODAY(),"",DATE(2034,11,1))</f>
        <v/>
      </c>
      <c r="C161" s="6">
        <f>IF(DATE(2034,11,1)&gt;TODAY(),"",COUNTIFS('2024'!$AD$5:$AD$178,"&gt;="&amp;DATE(2034,11,1),'2024'!$AD$5:$AD$178,"&lt;"&amp;EDATE(DATE(2034,11,1),1)))</f>
        <v/>
      </c>
      <c r="D161" s="6">
        <f>IF(DATE(2034,11,1)&gt;TODAY(),"",COUNTIFS('2024'!$AG$5:$AG$178,"&gt;="&amp;DATE(2034,11,1),'2024'!$AG$5:$AG$178,"&lt;"&amp;EDATE(DATE(2034,11,1),1)))</f>
        <v/>
      </c>
      <c r="E161" s="7">
        <f>IF(DATE(2034,11,1)&gt;TODAY(),"",SUMIFS('2024'!$X$5:$X$178,'2024'!$AG$5:$AG$178,"&gt;="&amp;DATE(2034,11,1),'2024'!$AG$5:$AG$178,"&lt;"&amp;EDATE(DATE(2034,11,1),1)))</f>
        <v/>
      </c>
      <c r="F161" s="7">
        <f>IF(N(D161)=0,"",E161/D161)</f>
        <v/>
      </c>
      <c r="G161" s="7">
        <f>IF(E161="","",E161/2)</f>
        <v/>
      </c>
      <c r="H161" s="7">
        <f>IF(DATE(2034,11,1)&gt;TODAY(),"",SUMIFS('2024'!$V$5:$V$178,'2024'!$AG$5:$AG$178,"&gt;="&amp;DATE(2034,11,1),'2024'!$AG$5:$AG$178,"&lt;"&amp;EDATE(DATE(2034,11,1),1)))</f>
        <v/>
      </c>
      <c r="I161" s="6">
        <f>IF(N(D161)=0,"",(SUMIFS('2024'!$AH$5:$AH$178,'2024'!$AG$5:$AG$178,"&gt;="&amp;DATE(2034,11,1),'2024'!$AG$5:$AG$178,"&lt;"&amp;EDATE(DATE(2034,11,1),1)))/D161)</f>
        <v/>
      </c>
      <c r="J161" s="6">
        <f>IF(N(D161)=0,"",(SUMIFS('2024'!$AI$5:$AI$178,'2024'!$AG$5:$AG$178,"&gt;="&amp;DATE(2034,11,1),'2024'!$AG$5:$AG$178,"&lt;"&amp;EDATE(DATE(2034,11,1),1)))/D161)</f>
        <v/>
      </c>
    </row>
    <row r="162">
      <c r="B162" s="12">
        <f>IF(DATE(2034,12,1)&gt;TODAY(),"",DATE(2034,12,1))</f>
        <v/>
      </c>
      <c r="C162" s="6">
        <f>IF(DATE(2034,12,1)&gt;TODAY(),"",COUNTIFS('2024'!$AD$5:$AD$178,"&gt;="&amp;DATE(2034,12,1),'2024'!$AD$5:$AD$178,"&lt;"&amp;EDATE(DATE(2034,12,1),1)))</f>
        <v/>
      </c>
      <c r="D162" s="6">
        <f>IF(DATE(2034,12,1)&gt;TODAY(),"",COUNTIFS('2024'!$AG$5:$AG$178,"&gt;="&amp;DATE(2034,12,1),'2024'!$AG$5:$AG$178,"&lt;"&amp;EDATE(DATE(2034,12,1),1)))</f>
        <v/>
      </c>
      <c r="E162" s="7">
        <f>IF(DATE(2034,12,1)&gt;TODAY(),"",SUMIFS('2024'!$X$5:$X$178,'2024'!$AG$5:$AG$178,"&gt;="&amp;DATE(2034,12,1),'2024'!$AG$5:$AG$178,"&lt;"&amp;EDATE(DATE(2034,12,1),1)))</f>
        <v/>
      </c>
      <c r="F162" s="7">
        <f>IF(N(D162)=0,"",E162/D162)</f>
        <v/>
      </c>
      <c r="G162" s="7">
        <f>IF(E162="","",E162/2)</f>
        <v/>
      </c>
      <c r="H162" s="7">
        <f>IF(DATE(2034,12,1)&gt;TODAY(),"",SUMIFS('2024'!$V$5:$V$178,'2024'!$AG$5:$AG$178,"&gt;="&amp;DATE(2034,12,1),'2024'!$AG$5:$AG$178,"&lt;"&amp;EDATE(DATE(2034,12,1),1)))</f>
        <v/>
      </c>
      <c r="I162" s="6">
        <f>IF(N(D162)=0,"",(SUMIFS('2024'!$AH$5:$AH$178,'2024'!$AG$5:$AG$178,"&gt;="&amp;DATE(2034,12,1),'2024'!$AG$5:$AG$178,"&lt;"&amp;EDATE(DATE(2034,12,1),1)))/D162)</f>
        <v/>
      </c>
      <c r="J162" s="6">
        <f>IF(N(D162)=0,"",(SUMIFS('2024'!$AI$5:$AI$178,'2024'!$AG$5:$AG$178,"&gt;="&amp;DATE(2034,12,1),'2024'!$AG$5:$AG$178,"&lt;"&amp;EDATE(DATE(2034,12,1),1)))/D162)</f>
        <v/>
      </c>
    </row>
    <row r="163">
      <c r="B163" s="12">
        <f>IF(DATE(2035,1,1)&gt;TODAY(),"",DATE(2035,1,1))</f>
        <v/>
      </c>
      <c r="C163" s="6">
        <f>IF(DATE(2035,1,1)&gt;TODAY(),"",COUNTIFS('2024'!$AD$5:$AD$178,"&gt;="&amp;DATE(2035,1,1),'2024'!$AD$5:$AD$178,"&lt;"&amp;EDATE(DATE(2035,1,1),1)))</f>
        <v/>
      </c>
      <c r="D163" s="6">
        <f>IF(DATE(2035,1,1)&gt;TODAY(),"",COUNTIFS('2024'!$AG$5:$AG$178,"&gt;="&amp;DATE(2035,1,1),'2024'!$AG$5:$AG$178,"&lt;"&amp;EDATE(DATE(2035,1,1),1)))</f>
        <v/>
      </c>
      <c r="E163" s="7">
        <f>IF(DATE(2035,1,1)&gt;TODAY(),"",SUMIFS('2024'!$X$5:$X$178,'2024'!$AG$5:$AG$178,"&gt;="&amp;DATE(2035,1,1),'2024'!$AG$5:$AG$178,"&lt;"&amp;EDATE(DATE(2035,1,1),1)))</f>
        <v/>
      </c>
      <c r="F163" s="7">
        <f>IF(N(D163)=0,"",E163/D163)</f>
        <v/>
      </c>
      <c r="G163" s="7">
        <f>IF(E163="","",E163/2)</f>
        <v/>
      </c>
      <c r="H163" s="7">
        <f>IF(DATE(2035,1,1)&gt;TODAY(),"",SUMIFS('2024'!$V$5:$V$178,'2024'!$AG$5:$AG$178,"&gt;="&amp;DATE(2035,1,1),'2024'!$AG$5:$AG$178,"&lt;"&amp;EDATE(DATE(2035,1,1),1)))</f>
        <v/>
      </c>
      <c r="I163" s="6">
        <f>IF(N(D163)=0,"",(SUMIFS('2024'!$AH$5:$AH$178,'2024'!$AG$5:$AG$178,"&gt;="&amp;DATE(2035,1,1),'2024'!$AG$5:$AG$178,"&lt;"&amp;EDATE(DATE(2035,1,1),1)))/D163)</f>
        <v/>
      </c>
      <c r="J163" s="6">
        <f>IF(N(D163)=0,"",(SUMIFS('2024'!$AI$5:$AI$178,'2024'!$AG$5:$AG$178,"&gt;="&amp;DATE(2035,1,1),'2024'!$AG$5:$AG$178,"&lt;"&amp;EDATE(DATE(2035,1,1),1)))/D163)</f>
        <v/>
      </c>
    </row>
    <row r="164">
      <c r="B164" s="12">
        <f>IF(DATE(2035,2,1)&gt;TODAY(),"",DATE(2035,2,1))</f>
        <v/>
      </c>
      <c r="C164" s="6">
        <f>IF(DATE(2035,2,1)&gt;TODAY(),"",COUNTIFS('2024'!$AD$5:$AD$178,"&gt;="&amp;DATE(2035,2,1),'2024'!$AD$5:$AD$178,"&lt;"&amp;EDATE(DATE(2035,2,1),1)))</f>
        <v/>
      </c>
      <c r="D164" s="6">
        <f>IF(DATE(2035,2,1)&gt;TODAY(),"",COUNTIFS('2024'!$AG$5:$AG$178,"&gt;="&amp;DATE(2035,2,1),'2024'!$AG$5:$AG$178,"&lt;"&amp;EDATE(DATE(2035,2,1),1)))</f>
        <v/>
      </c>
      <c r="E164" s="7">
        <f>IF(DATE(2035,2,1)&gt;TODAY(),"",SUMIFS('2024'!$X$5:$X$178,'2024'!$AG$5:$AG$178,"&gt;="&amp;DATE(2035,2,1),'2024'!$AG$5:$AG$178,"&lt;"&amp;EDATE(DATE(2035,2,1),1)))</f>
        <v/>
      </c>
      <c r="F164" s="7">
        <f>IF(N(D164)=0,"",E164/D164)</f>
        <v/>
      </c>
      <c r="G164" s="7">
        <f>IF(E164="","",E164/2)</f>
        <v/>
      </c>
      <c r="H164" s="7">
        <f>IF(DATE(2035,2,1)&gt;TODAY(),"",SUMIFS('2024'!$V$5:$V$178,'2024'!$AG$5:$AG$178,"&gt;="&amp;DATE(2035,2,1),'2024'!$AG$5:$AG$178,"&lt;"&amp;EDATE(DATE(2035,2,1),1)))</f>
        <v/>
      </c>
      <c r="I164" s="6">
        <f>IF(N(D164)=0,"",(SUMIFS('2024'!$AH$5:$AH$178,'2024'!$AG$5:$AG$178,"&gt;="&amp;DATE(2035,2,1),'2024'!$AG$5:$AG$178,"&lt;"&amp;EDATE(DATE(2035,2,1),1)))/D164)</f>
        <v/>
      </c>
      <c r="J164" s="6">
        <f>IF(N(D164)=0,"",(SUMIFS('2024'!$AI$5:$AI$178,'2024'!$AG$5:$AG$178,"&gt;="&amp;DATE(2035,2,1),'2024'!$AG$5:$AG$178,"&lt;"&amp;EDATE(DATE(2035,2,1),1)))/D164)</f>
        <v/>
      </c>
    </row>
    <row r="165">
      <c r="B165" s="12">
        <f>IF(DATE(2035,3,1)&gt;TODAY(),"",DATE(2035,3,1))</f>
        <v/>
      </c>
      <c r="C165" s="6">
        <f>IF(DATE(2035,3,1)&gt;TODAY(),"",COUNTIFS('2024'!$AD$5:$AD$178,"&gt;="&amp;DATE(2035,3,1),'2024'!$AD$5:$AD$178,"&lt;"&amp;EDATE(DATE(2035,3,1),1)))</f>
        <v/>
      </c>
      <c r="D165" s="6">
        <f>IF(DATE(2035,3,1)&gt;TODAY(),"",COUNTIFS('2024'!$AG$5:$AG$178,"&gt;="&amp;DATE(2035,3,1),'2024'!$AG$5:$AG$178,"&lt;"&amp;EDATE(DATE(2035,3,1),1)))</f>
        <v/>
      </c>
      <c r="E165" s="7">
        <f>IF(DATE(2035,3,1)&gt;TODAY(),"",SUMIFS('2024'!$X$5:$X$178,'2024'!$AG$5:$AG$178,"&gt;="&amp;DATE(2035,3,1),'2024'!$AG$5:$AG$178,"&lt;"&amp;EDATE(DATE(2035,3,1),1)))</f>
        <v/>
      </c>
      <c r="F165" s="7">
        <f>IF(N(D165)=0,"",E165/D165)</f>
        <v/>
      </c>
      <c r="G165" s="7">
        <f>IF(E165="","",E165/2)</f>
        <v/>
      </c>
      <c r="H165" s="7">
        <f>IF(DATE(2035,3,1)&gt;TODAY(),"",SUMIFS('2024'!$V$5:$V$178,'2024'!$AG$5:$AG$178,"&gt;="&amp;DATE(2035,3,1),'2024'!$AG$5:$AG$178,"&lt;"&amp;EDATE(DATE(2035,3,1),1)))</f>
        <v/>
      </c>
      <c r="I165" s="6">
        <f>IF(N(D165)=0,"",(SUMIFS('2024'!$AH$5:$AH$178,'2024'!$AG$5:$AG$178,"&gt;="&amp;DATE(2035,3,1),'2024'!$AG$5:$AG$178,"&lt;"&amp;EDATE(DATE(2035,3,1),1)))/D165)</f>
        <v/>
      </c>
      <c r="J165" s="6">
        <f>IF(N(D165)=0,"",(SUMIFS('2024'!$AI$5:$AI$178,'2024'!$AG$5:$AG$178,"&gt;="&amp;DATE(2035,3,1),'2024'!$AG$5:$AG$178,"&lt;"&amp;EDATE(DATE(2035,3,1),1)))/D165)</f>
        <v/>
      </c>
    </row>
    <row r="166">
      <c r="B166" s="12">
        <f>IF(DATE(2035,4,1)&gt;TODAY(),"",DATE(2035,4,1))</f>
        <v/>
      </c>
      <c r="C166" s="6">
        <f>IF(DATE(2035,4,1)&gt;TODAY(),"",COUNTIFS('2024'!$AD$5:$AD$178,"&gt;="&amp;DATE(2035,4,1),'2024'!$AD$5:$AD$178,"&lt;"&amp;EDATE(DATE(2035,4,1),1)))</f>
        <v/>
      </c>
      <c r="D166" s="6">
        <f>IF(DATE(2035,4,1)&gt;TODAY(),"",COUNTIFS('2024'!$AG$5:$AG$178,"&gt;="&amp;DATE(2035,4,1),'2024'!$AG$5:$AG$178,"&lt;"&amp;EDATE(DATE(2035,4,1),1)))</f>
        <v/>
      </c>
      <c r="E166" s="7">
        <f>IF(DATE(2035,4,1)&gt;TODAY(),"",SUMIFS('2024'!$X$5:$X$178,'2024'!$AG$5:$AG$178,"&gt;="&amp;DATE(2035,4,1),'2024'!$AG$5:$AG$178,"&lt;"&amp;EDATE(DATE(2035,4,1),1)))</f>
        <v/>
      </c>
      <c r="F166" s="7">
        <f>IF(N(D166)=0,"",E166/D166)</f>
        <v/>
      </c>
      <c r="G166" s="7">
        <f>IF(E166="","",E166/2)</f>
        <v/>
      </c>
      <c r="H166" s="7">
        <f>IF(DATE(2035,4,1)&gt;TODAY(),"",SUMIFS('2024'!$V$5:$V$178,'2024'!$AG$5:$AG$178,"&gt;="&amp;DATE(2035,4,1),'2024'!$AG$5:$AG$178,"&lt;"&amp;EDATE(DATE(2035,4,1),1)))</f>
        <v/>
      </c>
      <c r="I166" s="6">
        <f>IF(N(D166)=0,"",(SUMIFS('2024'!$AH$5:$AH$178,'2024'!$AG$5:$AG$178,"&gt;="&amp;DATE(2035,4,1),'2024'!$AG$5:$AG$178,"&lt;"&amp;EDATE(DATE(2035,4,1),1)))/D166)</f>
        <v/>
      </c>
      <c r="J166" s="6">
        <f>IF(N(D166)=0,"",(SUMIFS('2024'!$AI$5:$AI$178,'2024'!$AG$5:$AG$178,"&gt;="&amp;DATE(2035,4,1),'2024'!$AG$5:$AG$178,"&lt;"&amp;EDATE(DATE(2035,4,1),1)))/D166)</f>
        <v/>
      </c>
    </row>
    <row r="167">
      <c r="B167" s="12">
        <f>IF(DATE(2035,5,1)&gt;TODAY(),"",DATE(2035,5,1))</f>
        <v/>
      </c>
      <c r="C167" s="6">
        <f>IF(DATE(2035,5,1)&gt;TODAY(),"",COUNTIFS('2024'!$AD$5:$AD$178,"&gt;="&amp;DATE(2035,5,1),'2024'!$AD$5:$AD$178,"&lt;"&amp;EDATE(DATE(2035,5,1),1)))</f>
        <v/>
      </c>
      <c r="D167" s="6">
        <f>IF(DATE(2035,5,1)&gt;TODAY(),"",COUNTIFS('2024'!$AG$5:$AG$178,"&gt;="&amp;DATE(2035,5,1),'2024'!$AG$5:$AG$178,"&lt;"&amp;EDATE(DATE(2035,5,1),1)))</f>
        <v/>
      </c>
      <c r="E167" s="7">
        <f>IF(DATE(2035,5,1)&gt;TODAY(),"",SUMIFS('2024'!$X$5:$X$178,'2024'!$AG$5:$AG$178,"&gt;="&amp;DATE(2035,5,1),'2024'!$AG$5:$AG$178,"&lt;"&amp;EDATE(DATE(2035,5,1),1)))</f>
        <v/>
      </c>
      <c r="F167" s="7">
        <f>IF(N(D167)=0,"",E167/D167)</f>
        <v/>
      </c>
      <c r="G167" s="7">
        <f>IF(E167="","",E167/2)</f>
        <v/>
      </c>
      <c r="H167" s="7">
        <f>IF(DATE(2035,5,1)&gt;TODAY(),"",SUMIFS('2024'!$V$5:$V$178,'2024'!$AG$5:$AG$178,"&gt;="&amp;DATE(2035,5,1),'2024'!$AG$5:$AG$178,"&lt;"&amp;EDATE(DATE(2035,5,1),1)))</f>
        <v/>
      </c>
      <c r="I167" s="6">
        <f>IF(N(D167)=0,"",(SUMIFS('2024'!$AH$5:$AH$178,'2024'!$AG$5:$AG$178,"&gt;="&amp;DATE(2035,5,1),'2024'!$AG$5:$AG$178,"&lt;"&amp;EDATE(DATE(2035,5,1),1)))/D167)</f>
        <v/>
      </c>
      <c r="J167" s="6">
        <f>IF(N(D167)=0,"",(SUMIFS('2024'!$AI$5:$AI$178,'2024'!$AG$5:$AG$178,"&gt;="&amp;DATE(2035,5,1),'2024'!$AG$5:$AG$178,"&lt;"&amp;EDATE(DATE(2035,5,1),1)))/D167)</f>
        <v/>
      </c>
    </row>
    <row r="168">
      <c r="B168" s="12">
        <f>IF(DATE(2035,6,1)&gt;TODAY(),"",DATE(2035,6,1))</f>
        <v/>
      </c>
      <c r="C168" s="6">
        <f>IF(DATE(2035,6,1)&gt;TODAY(),"",COUNTIFS('2024'!$AD$5:$AD$178,"&gt;="&amp;DATE(2035,6,1),'2024'!$AD$5:$AD$178,"&lt;"&amp;EDATE(DATE(2035,6,1),1)))</f>
        <v/>
      </c>
      <c r="D168" s="6">
        <f>IF(DATE(2035,6,1)&gt;TODAY(),"",COUNTIFS('2024'!$AG$5:$AG$178,"&gt;="&amp;DATE(2035,6,1),'2024'!$AG$5:$AG$178,"&lt;"&amp;EDATE(DATE(2035,6,1),1)))</f>
        <v/>
      </c>
      <c r="E168" s="7">
        <f>IF(DATE(2035,6,1)&gt;TODAY(),"",SUMIFS('2024'!$X$5:$X$178,'2024'!$AG$5:$AG$178,"&gt;="&amp;DATE(2035,6,1),'2024'!$AG$5:$AG$178,"&lt;"&amp;EDATE(DATE(2035,6,1),1)))</f>
        <v/>
      </c>
      <c r="F168" s="7">
        <f>IF(N(D168)=0,"",E168/D168)</f>
        <v/>
      </c>
      <c r="G168" s="7">
        <f>IF(E168="","",E168/2)</f>
        <v/>
      </c>
      <c r="H168" s="7">
        <f>IF(DATE(2035,6,1)&gt;TODAY(),"",SUMIFS('2024'!$V$5:$V$178,'2024'!$AG$5:$AG$178,"&gt;="&amp;DATE(2035,6,1),'2024'!$AG$5:$AG$178,"&lt;"&amp;EDATE(DATE(2035,6,1),1)))</f>
        <v/>
      </c>
      <c r="I168" s="6">
        <f>IF(N(D168)=0,"",(SUMIFS('2024'!$AH$5:$AH$178,'2024'!$AG$5:$AG$178,"&gt;="&amp;DATE(2035,6,1),'2024'!$AG$5:$AG$178,"&lt;"&amp;EDATE(DATE(2035,6,1),1)))/D168)</f>
        <v/>
      </c>
      <c r="J168" s="6">
        <f>IF(N(D168)=0,"",(SUMIFS('2024'!$AI$5:$AI$178,'2024'!$AG$5:$AG$178,"&gt;="&amp;DATE(2035,6,1),'2024'!$AG$5:$AG$178,"&lt;"&amp;EDATE(DATE(2035,6,1),1)))/D168)</f>
        <v/>
      </c>
    </row>
    <row r="169">
      <c r="B169" s="12">
        <f>IF(DATE(2035,7,1)&gt;TODAY(),"",DATE(2035,7,1))</f>
        <v/>
      </c>
      <c r="C169" s="6">
        <f>IF(DATE(2035,7,1)&gt;TODAY(),"",COUNTIFS('2024'!$AD$5:$AD$178,"&gt;="&amp;DATE(2035,7,1),'2024'!$AD$5:$AD$178,"&lt;"&amp;EDATE(DATE(2035,7,1),1)))</f>
        <v/>
      </c>
      <c r="D169" s="6">
        <f>IF(DATE(2035,7,1)&gt;TODAY(),"",COUNTIFS('2024'!$AG$5:$AG$178,"&gt;="&amp;DATE(2035,7,1),'2024'!$AG$5:$AG$178,"&lt;"&amp;EDATE(DATE(2035,7,1),1)))</f>
        <v/>
      </c>
      <c r="E169" s="7">
        <f>IF(DATE(2035,7,1)&gt;TODAY(),"",SUMIFS('2024'!$X$5:$X$178,'2024'!$AG$5:$AG$178,"&gt;="&amp;DATE(2035,7,1),'2024'!$AG$5:$AG$178,"&lt;"&amp;EDATE(DATE(2035,7,1),1)))</f>
        <v/>
      </c>
      <c r="F169" s="7">
        <f>IF(N(D169)=0,"",E169/D169)</f>
        <v/>
      </c>
      <c r="G169" s="7">
        <f>IF(E169="","",E169/2)</f>
        <v/>
      </c>
      <c r="H169" s="7">
        <f>IF(DATE(2035,7,1)&gt;TODAY(),"",SUMIFS('2024'!$V$5:$V$178,'2024'!$AG$5:$AG$178,"&gt;="&amp;DATE(2035,7,1),'2024'!$AG$5:$AG$178,"&lt;"&amp;EDATE(DATE(2035,7,1),1)))</f>
        <v/>
      </c>
      <c r="I169" s="6">
        <f>IF(N(D169)=0,"",(SUMIFS('2024'!$AH$5:$AH$178,'2024'!$AG$5:$AG$178,"&gt;="&amp;DATE(2035,7,1),'2024'!$AG$5:$AG$178,"&lt;"&amp;EDATE(DATE(2035,7,1),1)))/D169)</f>
        <v/>
      </c>
      <c r="J169" s="6">
        <f>IF(N(D169)=0,"",(SUMIFS('2024'!$AI$5:$AI$178,'2024'!$AG$5:$AG$178,"&gt;="&amp;DATE(2035,7,1),'2024'!$AG$5:$AG$178,"&lt;"&amp;EDATE(DATE(2035,7,1),1)))/D169)</f>
        <v/>
      </c>
    </row>
    <row r="170">
      <c r="B170" s="12">
        <f>IF(DATE(2035,8,1)&gt;TODAY(),"",DATE(2035,8,1))</f>
        <v/>
      </c>
      <c r="C170" s="6">
        <f>IF(DATE(2035,8,1)&gt;TODAY(),"",COUNTIFS('2024'!$AD$5:$AD$178,"&gt;="&amp;DATE(2035,8,1),'2024'!$AD$5:$AD$178,"&lt;"&amp;EDATE(DATE(2035,8,1),1)))</f>
        <v/>
      </c>
      <c r="D170" s="6">
        <f>IF(DATE(2035,8,1)&gt;TODAY(),"",COUNTIFS('2024'!$AG$5:$AG$178,"&gt;="&amp;DATE(2035,8,1),'2024'!$AG$5:$AG$178,"&lt;"&amp;EDATE(DATE(2035,8,1),1)))</f>
        <v/>
      </c>
      <c r="E170" s="7">
        <f>IF(DATE(2035,8,1)&gt;TODAY(),"",SUMIFS('2024'!$X$5:$X$178,'2024'!$AG$5:$AG$178,"&gt;="&amp;DATE(2035,8,1),'2024'!$AG$5:$AG$178,"&lt;"&amp;EDATE(DATE(2035,8,1),1)))</f>
        <v/>
      </c>
      <c r="F170" s="7">
        <f>IF(N(D170)=0,"",E170/D170)</f>
        <v/>
      </c>
      <c r="G170" s="7">
        <f>IF(E170="","",E170/2)</f>
        <v/>
      </c>
      <c r="H170" s="7">
        <f>IF(DATE(2035,8,1)&gt;TODAY(),"",SUMIFS('2024'!$V$5:$V$178,'2024'!$AG$5:$AG$178,"&gt;="&amp;DATE(2035,8,1),'2024'!$AG$5:$AG$178,"&lt;"&amp;EDATE(DATE(2035,8,1),1)))</f>
        <v/>
      </c>
      <c r="I170" s="6">
        <f>IF(N(D170)=0,"",(SUMIFS('2024'!$AH$5:$AH$178,'2024'!$AG$5:$AG$178,"&gt;="&amp;DATE(2035,8,1),'2024'!$AG$5:$AG$178,"&lt;"&amp;EDATE(DATE(2035,8,1),1)))/D170)</f>
        <v/>
      </c>
      <c r="J170" s="6">
        <f>IF(N(D170)=0,"",(SUMIFS('2024'!$AI$5:$AI$178,'2024'!$AG$5:$AG$178,"&gt;="&amp;DATE(2035,8,1),'2024'!$AG$5:$AG$178,"&lt;"&amp;EDATE(DATE(2035,8,1),1)))/D170)</f>
        <v/>
      </c>
    </row>
    <row r="171">
      <c r="B171" s="12">
        <f>IF(DATE(2035,9,1)&gt;TODAY(),"",DATE(2035,9,1))</f>
        <v/>
      </c>
      <c r="C171" s="6">
        <f>IF(DATE(2035,9,1)&gt;TODAY(),"",COUNTIFS('2024'!$AD$5:$AD$178,"&gt;="&amp;DATE(2035,9,1),'2024'!$AD$5:$AD$178,"&lt;"&amp;EDATE(DATE(2035,9,1),1)))</f>
        <v/>
      </c>
      <c r="D171" s="6">
        <f>IF(DATE(2035,9,1)&gt;TODAY(),"",COUNTIFS('2024'!$AG$5:$AG$178,"&gt;="&amp;DATE(2035,9,1),'2024'!$AG$5:$AG$178,"&lt;"&amp;EDATE(DATE(2035,9,1),1)))</f>
        <v/>
      </c>
      <c r="E171" s="7">
        <f>IF(DATE(2035,9,1)&gt;TODAY(),"",SUMIFS('2024'!$X$5:$X$178,'2024'!$AG$5:$AG$178,"&gt;="&amp;DATE(2035,9,1),'2024'!$AG$5:$AG$178,"&lt;"&amp;EDATE(DATE(2035,9,1),1)))</f>
        <v/>
      </c>
      <c r="F171" s="7">
        <f>IF(N(D171)=0,"",E171/D171)</f>
        <v/>
      </c>
      <c r="G171" s="7">
        <f>IF(E171="","",E171/2)</f>
        <v/>
      </c>
      <c r="H171" s="7">
        <f>IF(DATE(2035,9,1)&gt;TODAY(),"",SUMIFS('2024'!$V$5:$V$178,'2024'!$AG$5:$AG$178,"&gt;="&amp;DATE(2035,9,1),'2024'!$AG$5:$AG$178,"&lt;"&amp;EDATE(DATE(2035,9,1),1)))</f>
        <v/>
      </c>
      <c r="I171" s="6">
        <f>IF(N(D171)=0,"",(SUMIFS('2024'!$AH$5:$AH$178,'2024'!$AG$5:$AG$178,"&gt;="&amp;DATE(2035,9,1),'2024'!$AG$5:$AG$178,"&lt;"&amp;EDATE(DATE(2035,9,1),1)))/D171)</f>
        <v/>
      </c>
      <c r="J171" s="6">
        <f>IF(N(D171)=0,"",(SUMIFS('2024'!$AI$5:$AI$178,'2024'!$AG$5:$AG$178,"&gt;="&amp;DATE(2035,9,1),'2024'!$AG$5:$AG$178,"&lt;"&amp;EDATE(DATE(2035,9,1),1)))/D171)</f>
        <v/>
      </c>
    </row>
    <row r="172">
      <c r="B172" s="12">
        <f>IF(DATE(2035,10,1)&gt;TODAY(),"",DATE(2035,10,1))</f>
        <v/>
      </c>
      <c r="C172" s="6">
        <f>IF(DATE(2035,10,1)&gt;TODAY(),"",COUNTIFS('2024'!$AD$5:$AD$178,"&gt;="&amp;DATE(2035,10,1),'2024'!$AD$5:$AD$178,"&lt;"&amp;EDATE(DATE(2035,10,1),1)))</f>
        <v/>
      </c>
      <c r="D172" s="6">
        <f>IF(DATE(2035,10,1)&gt;TODAY(),"",COUNTIFS('2024'!$AG$5:$AG$178,"&gt;="&amp;DATE(2035,10,1),'2024'!$AG$5:$AG$178,"&lt;"&amp;EDATE(DATE(2035,10,1),1)))</f>
        <v/>
      </c>
      <c r="E172" s="7">
        <f>IF(DATE(2035,10,1)&gt;TODAY(),"",SUMIFS('2024'!$X$5:$X$178,'2024'!$AG$5:$AG$178,"&gt;="&amp;DATE(2035,10,1),'2024'!$AG$5:$AG$178,"&lt;"&amp;EDATE(DATE(2035,10,1),1)))</f>
        <v/>
      </c>
      <c r="F172" s="7">
        <f>IF(N(D172)=0,"",E172/D172)</f>
        <v/>
      </c>
      <c r="G172" s="7">
        <f>IF(E172="","",E172/2)</f>
        <v/>
      </c>
      <c r="H172" s="7">
        <f>IF(DATE(2035,10,1)&gt;TODAY(),"",SUMIFS('2024'!$V$5:$V$178,'2024'!$AG$5:$AG$178,"&gt;="&amp;DATE(2035,10,1),'2024'!$AG$5:$AG$178,"&lt;"&amp;EDATE(DATE(2035,10,1),1)))</f>
        <v/>
      </c>
      <c r="I172" s="6">
        <f>IF(N(D172)=0,"",(SUMIFS('2024'!$AH$5:$AH$178,'2024'!$AG$5:$AG$178,"&gt;="&amp;DATE(2035,10,1),'2024'!$AG$5:$AG$178,"&lt;"&amp;EDATE(DATE(2035,10,1),1)))/D172)</f>
        <v/>
      </c>
      <c r="J172" s="6">
        <f>IF(N(D172)=0,"",(SUMIFS('2024'!$AI$5:$AI$178,'2024'!$AG$5:$AG$178,"&gt;="&amp;DATE(2035,10,1),'2024'!$AG$5:$AG$178,"&lt;"&amp;EDATE(DATE(2035,10,1),1)))/D172)</f>
        <v/>
      </c>
    </row>
    <row r="173">
      <c r="B173" s="12">
        <f>IF(DATE(2035,11,1)&gt;TODAY(),"",DATE(2035,11,1))</f>
        <v/>
      </c>
      <c r="C173" s="6">
        <f>IF(DATE(2035,11,1)&gt;TODAY(),"",COUNTIFS('2024'!$AD$5:$AD$178,"&gt;="&amp;DATE(2035,11,1),'2024'!$AD$5:$AD$178,"&lt;"&amp;EDATE(DATE(2035,11,1),1)))</f>
        <v/>
      </c>
      <c r="D173" s="6">
        <f>IF(DATE(2035,11,1)&gt;TODAY(),"",COUNTIFS('2024'!$AG$5:$AG$178,"&gt;="&amp;DATE(2035,11,1),'2024'!$AG$5:$AG$178,"&lt;"&amp;EDATE(DATE(2035,11,1),1)))</f>
        <v/>
      </c>
      <c r="E173" s="7">
        <f>IF(DATE(2035,11,1)&gt;TODAY(),"",SUMIFS('2024'!$X$5:$X$178,'2024'!$AG$5:$AG$178,"&gt;="&amp;DATE(2035,11,1),'2024'!$AG$5:$AG$178,"&lt;"&amp;EDATE(DATE(2035,11,1),1)))</f>
        <v/>
      </c>
      <c r="F173" s="7">
        <f>IF(N(D173)=0,"",E173/D173)</f>
        <v/>
      </c>
      <c r="G173" s="7">
        <f>IF(E173="","",E173/2)</f>
        <v/>
      </c>
      <c r="H173" s="7">
        <f>IF(DATE(2035,11,1)&gt;TODAY(),"",SUMIFS('2024'!$V$5:$V$178,'2024'!$AG$5:$AG$178,"&gt;="&amp;DATE(2035,11,1),'2024'!$AG$5:$AG$178,"&lt;"&amp;EDATE(DATE(2035,11,1),1)))</f>
        <v/>
      </c>
      <c r="I173" s="6">
        <f>IF(N(D173)=0,"",(SUMIFS('2024'!$AH$5:$AH$178,'2024'!$AG$5:$AG$178,"&gt;="&amp;DATE(2035,11,1),'2024'!$AG$5:$AG$178,"&lt;"&amp;EDATE(DATE(2035,11,1),1)))/D173)</f>
        <v/>
      </c>
      <c r="J173" s="6">
        <f>IF(N(D173)=0,"",(SUMIFS('2024'!$AI$5:$AI$178,'2024'!$AG$5:$AG$178,"&gt;="&amp;DATE(2035,11,1),'2024'!$AG$5:$AG$178,"&lt;"&amp;EDATE(DATE(2035,11,1),1)))/D173)</f>
        <v/>
      </c>
    </row>
    <row r="174">
      <c r="B174" s="12">
        <f>IF(DATE(2035,12,1)&gt;TODAY(),"",DATE(2035,12,1))</f>
        <v/>
      </c>
      <c r="C174" s="6">
        <f>IF(DATE(2035,12,1)&gt;TODAY(),"",COUNTIFS('2024'!$AD$5:$AD$178,"&gt;="&amp;DATE(2035,12,1),'2024'!$AD$5:$AD$178,"&lt;"&amp;EDATE(DATE(2035,12,1),1)))</f>
        <v/>
      </c>
      <c r="D174" s="6">
        <f>IF(DATE(2035,12,1)&gt;TODAY(),"",COUNTIFS('2024'!$AG$5:$AG$178,"&gt;="&amp;DATE(2035,12,1),'2024'!$AG$5:$AG$178,"&lt;"&amp;EDATE(DATE(2035,12,1),1)))</f>
        <v/>
      </c>
      <c r="E174" s="7">
        <f>IF(DATE(2035,12,1)&gt;TODAY(),"",SUMIFS('2024'!$X$5:$X$178,'2024'!$AG$5:$AG$178,"&gt;="&amp;DATE(2035,12,1),'2024'!$AG$5:$AG$178,"&lt;"&amp;EDATE(DATE(2035,12,1),1)))</f>
        <v/>
      </c>
      <c r="F174" s="7">
        <f>IF(N(D174)=0,"",E174/D174)</f>
        <v/>
      </c>
      <c r="G174" s="7">
        <f>IF(E174="","",E174/2)</f>
        <v/>
      </c>
      <c r="H174" s="7">
        <f>IF(DATE(2035,12,1)&gt;TODAY(),"",SUMIFS('2024'!$V$5:$V$178,'2024'!$AG$5:$AG$178,"&gt;="&amp;DATE(2035,12,1),'2024'!$AG$5:$AG$178,"&lt;"&amp;EDATE(DATE(2035,12,1),1)))</f>
        <v/>
      </c>
      <c r="I174" s="6">
        <f>IF(N(D174)=0,"",(SUMIFS('2024'!$AH$5:$AH$178,'2024'!$AG$5:$AG$178,"&gt;="&amp;DATE(2035,12,1),'2024'!$AG$5:$AG$178,"&lt;"&amp;EDATE(DATE(2035,12,1),1)))/D174)</f>
        <v/>
      </c>
      <c r="J174" s="6">
        <f>IF(N(D174)=0,"",(SUMIFS('2024'!$AI$5:$AI$178,'2024'!$AG$5:$AG$178,"&gt;="&amp;DATE(2035,12,1),'2024'!$AG$5:$AG$178,"&lt;"&amp;EDATE(DATE(2035,12,1),1)))/D174)</f>
        <v/>
      </c>
    </row>
  </sheetData>
  <conditionalFormatting sqref="B31:J174">
    <cfRule type="expression" priority="1" dxfId="0">
      <formula>AND($B31&lt;&gt;"",YEAR($B31)=YEAR(TODAY()),MONTH($B31)=MONTH(TODAY()))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 placeholder. Copy the Statistics tab into your AUTOBONO sheet (right-click the tab → Copy to → Existing spreadsheet); there it reads your real 2024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2026-10-07T07:09:29Z</dcterms:created>
  <dcterms:modified xmlns:dcterms="http://purl.org/dc/terms/" xmlns:xsi="http://www.w3.org/2001/XMLSchema-instance" xsi:type="dcterms:W3CDTF">2026-10-07T07:09:29Z</dcterms:modified>
</cp:coreProperties>
</file>