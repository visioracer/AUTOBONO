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Cars" sheetId="3" state="visible" r:id="rId5"/>
    <sheet name="Expenses" sheetId="4" state="visible" r:id="rId6"/>
    <sheet name="Lists" sheetId="5" state="visible" r:id="rId7"/>
    <sheet name="Check these" sheetId="6" state="visible" r:id="rId8"/>
  </sheets>
  <definedNames>
    <definedName function="false" hidden="true" localSheetId="2" name="_xlnm._FilterDatabase" vbProcedure="false">Cars!$A$1:$AC$1000</definedName>
    <definedName function="false" hidden="true" localSheetId="3" name="_xlnm._FilterDatabase" vbProcedure="false">Expenses!$A$1:$G$3000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<sst xmlns="http://schemas.openxmlformats.org/spreadsheetml/2006/main" count="1635" uniqueCount="375">
  <si>
    <t xml:space="preserve">AUTOBONO — Car database (clean version)</t>
  </si>
  <si>
    <t xml:space="preserve">Built 07.10.2026 from your AUTOBONO Google Sheet ("2023" + "2024" tabs, data as of 25.07.2026). 148 cars imported. Your original sheet is not changed.</t>
  </si>
  <si>
    <t xml:space="preserve">THE TABS</t>
  </si>
  <si>
    <t xml:space="preserve">Summary — stock, money tied up, profit per year and brand, per-partner split. Fully automatic.</t>
  </si>
  <si>
    <t xml:space="preserve">Cars — ONE row per car, ever. Never start a new tab for a new year; filter by date instead.</t>
  </si>
  <si>
    <t xml:space="preserve">Expenses — ONE row per bill (transport, repair, tyres, ads…), with the Car ID. Adds up into "Extra costs" on Cars.</t>
  </si>
  <si>
    <t xml:space="preserve">Check these — problems I found in the old data (missing dates, profits that do not add up). Fix them, then delete the line.</t>
  </si>
  <si>
    <t xml:space="preserve">Lists — the values for every dropdown. Add a new brand or country here, never type it freely.</t>
  </si>
  <si>
    <t xml:space="preserve">HOW TO USE THE CARS TAB</t>
  </si>
  <si>
    <t xml:space="preserve">• Dark-blue headers = you type. Grey headers / grey cells = automatic formulas — never type over them.</t>
  </si>
  <si>
    <t xml:space="preserve">• New car bought: next free row, next Car ID (last is 149, so next is 150), Status = STOCK, fill purchase date and price.</t>
  </si>
  <si>
    <t xml:space="preserve">• Car sold: change Status to SOLD, fill Sale date, Sale price and "VAT &amp; deductions" (VAT you pay on the sale). Profit appears automatically.</t>
  </si>
  <si>
    <t xml:space="preserve">• Consignment / commission car: Deal type = Consignment, put your fee in "Commission". Profit = commission − costs.</t>
  </si>
  <si>
    <t xml:space="preserve">• Every extra cost goes on the Expenses tab with the Car ID — do not add it into Purchase price by hand.</t>
  </si>
  <si>
    <t xml:space="preserve">• Colours: green status = in stock, yellow = reserved, grey row = sold, red "Days in stock" = unsold over 90 days, yellow date cell = missing.</t>
  </si>
  <si>
    <t xml:space="preserve">HOW PROFIT IS CALCULATED</t>
  </si>
  <si>
    <t xml:space="preserve">Profit = Sale price − (Purchase price + Extra costs) − VAT &amp; deductions.</t>
  </si>
  <si>
    <t xml:space="preserve">In the old sheet profit was typed by hand and not calculated the same way every time: for about 83 sold cars it was sale − costs, for others the VAT was also subtracted, and about 10 cars match neither. To keep all your old profit figures exactly as they were, I filled "VAT &amp; deductions" for old cars with whatever difference makes the profit match. Ask your accountant which rule is correct for M (margin) and D (deductible) cars — then this column can be calculated automatically.</t>
  </si>
  <si>
    <t xml:space="preserve">For old cars, "Purchase price" holds the old "Costs" total (purchase + extras together), because the old sheet did not keep them apart. From now on keep them separate.</t>
  </si>
  <si>
    <t xml:space="preserve">MOVING IT TO GOOGLE SHEETS</t>
  </si>
  <si>
    <t xml:space="preserve">1. Google Drive → New → File upload → choose this file. 2. Right-click → Open with → Google Sheets. 3. File → Save as Google Sheets. Keep your old sheet as it is and compare the two side by side for a few weeks.</t>
  </si>
  <si>
    <t xml:space="preserve">4. Protect the formulas: select the grey columns on Cars (Q, R, X–AB) → right-click → View more cell actions → Protect range → "Show a warning when editing this range". Do the same for the whole Summary tab.</t>
  </si>
  <si>
    <t xml:space="preserve">5. Rename "Partner 1 / Partner 2" on the Lists tab to your names.</t>
  </si>
  <si>
    <t xml:space="preserve">6. Agree that only one of you changes the structure (columns, tabs, formulas). Both of you add data.</t>
  </si>
  <si>
    <t xml:space="preserve">LATER: A PHONE APP ON TOP OF THIS SHEET</t>
  </si>
  <si>
    <t xml:space="preserve">Because the data is now one clean table per thing, Google AppSheet (appsheet.com, sign in with Google) can turn this sheet into a phone app with forms, photos and dropdowns — without moving the data anywhere.</t>
  </si>
  <si>
    <t xml:space="preserve">AUTOBONO — Summary</t>
  </si>
  <si>
    <t xml:space="preserve">Everything on this tab is calculated from the Cars and Expenses tabs. Do not type here.</t>
  </si>
  <si>
    <t xml:space="preserve">Right now</t>
  </si>
  <si>
    <t xml:space="preserve">Cars in stock</t>
  </si>
  <si>
    <t xml:space="preserve">Cars reserved</t>
  </si>
  <si>
    <t xml:space="preserve">Money tied up in stock (total cost, own purchases)</t>
  </si>
  <si>
    <t xml:space="preserve">Stock cars older than 90 days</t>
  </si>
  <si>
    <t xml:space="preserve">Average days in stock (cars not yet sold)</t>
  </si>
  <si>
    <t xml:space="preserve">Cars with missing purchase date</t>
  </si>
  <si>
    <t xml:space="preserve">Sold cars by year (by sale date)</t>
  </si>
  <si>
    <t xml:space="preserve">Year</t>
  </si>
  <si>
    <t xml:space="preserve">Cars sold</t>
  </si>
  <si>
    <t xml:space="preserve">Profit (€)</t>
  </si>
  <si>
    <t xml:space="preserve">Avg profit / car (€)</t>
  </si>
  <si>
    <t xml:space="preserve">Avg days in stock</t>
  </si>
  <si>
    <t xml:space="preserve">Per partner (€)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</si>
  <si>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</si>
  <si>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</si>
  <si>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</si>
  <si>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</si>
  <si>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</si>
  <si>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All years</t>
  </si>
  <si>
    <t xml:space="preserve">Sold cars by brand (all years)</t>
  </si>
  <si>
    <t xml:space="preserve">Brand</t>
  </si>
  <si>
    <t xml:space="preserve">In stock now</t>
  </si>
  <si>
    <t xml:space="preserve">VW</t>
  </si>
  <si>
    <t xml:space="preserve">Škoda</t>
  </si>
  <si>
    <t xml:space="preserve">Seat</t>
  </si>
  <si>
    <t xml:space="preserve">Audi</t>
  </si>
  <si>
    <t xml:space="preserve">Mercedes-Benz</t>
  </si>
  <si>
    <t xml:space="preserve">Mazda</t>
  </si>
  <si>
    <t xml:space="preserve">Alfa Romeo</t>
  </si>
  <si>
    <t xml:space="preserve">BMW</t>
  </si>
  <si>
    <t xml:space="preserve">Citroën</t>
  </si>
  <si>
    <t xml:space="preserve">Hyundai</t>
  </si>
  <si>
    <t xml:space="preserve">Kia</t>
  </si>
  <si>
    <t xml:space="preserve">Maserati</t>
  </si>
  <si>
    <t xml:space="preserve">Nissan</t>
  </si>
  <si>
    <t xml:space="preserve">Opel</t>
  </si>
  <si>
    <t xml:space="preserve">Renault</t>
  </si>
  <si>
    <t xml:space="preserve">Volvo</t>
  </si>
  <si>
    <t xml:space="preserve">Expenses — who paid (to settle between partners)</t>
  </si>
  <si>
    <t xml:space="preserve">Paid by</t>
  </si>
  <si>
    <t xml:space="preserve">Total (€)</t>
  </si>
  <si>
    <t xml:space="preserve">Partner 1</t>
  </si>
  <si>
    <t xml:space="preserve">Partner 2</t>
  </si>
  <si>
    <t xml:space="preserve">Company account</t>
  </si>
  <si>
    <t xml:space="preserve">Car ID</t>
  </si>
  <si>
    <t xml:space="preserve">Status</t>
  </si>
  <si>
    <t xml:space="preserve">Deal type</t>
  </si>
  <si>
    <t xml:space="preserve">Model</t>
  </si>
  <si>
    <t xml:space="preserve">Trim</t>
  </si>
  <si>
    <t xml:space="preserve">First registration</t>
  </si>
  <si>
    <t xml:space="preserve">Engine</t>
  </si>
  <si>
    <t xml:space="preserve">Gearbox</t>
  </si>
  <si>
    <t xml:space="preserve">Drive</t>
  </si>
  <si>
    <t xml:space="preserve">Mileage (km)</t>
  </si>
  <si>
    <t xml:space="preserve">VIN</t>
  </si>
  <si>
    <t xml:space="preserve">Bought in (country)</t>
  </si>
  <si>
    <t xml:space="preserve">VAT scheme (M/D)</t>
  </si>
  <si>
    <t xml:space="preserve">Purchase date</t>
  </si>
  <si>
    <t xml:space="preserve">Purchase price (€)</t>
  </si>
  <si>
    <t xml:space="preserve">Extra costs (€) [from Expenses]</t>
  </si>
  <si>
    <t xml:space="preserve">Total cost (€)</t>
  </si>
  <si>
    <t xml:space="preserve">Asking price (€)</t>
  </si>
  <si>
    <t xml:space="preserve">Sale date</t>
  </si>
  <si>
    <t xml:space="preserve">Sale price (€)</t>
  </si>
  <si>
    <t xml:space="preserve">VAT &amp; deductions (€)</t>
  </si>
  <si>
    <t xml:space="preserve">Commission (€) [consignment only]</t>
  </si>
  <si>
    <t xml:space="preserve">Margin % of cost</t>
  </si>
  <si>
    <t xml:space="preserve">Days in stock</t>
  </si>
  <si>
    <t xml:space="preserve">Sale month</t>
  </si>
  <si>
    <t xml:space="preserve">Profit per partner (€) [50/50]</t>
  </si>
  <si>
    <t xml:space="preserve">Notes</t>
  </si>
  <si>
    <t xml:space="preserve">SOLD</t>
  </si>
  <si>
    <t xml:space="preserve">Own purchase</t>
  </si>
  <si>
    <t xml:space="preserve">i40 CW</t>
  </si>
  <si>
    <t xml:space="preserve">Business</t>
  </si>
  <si>
    <t xml:space="preserve">1.7 CRDi 104 kW</t>
  </si>
  <si>
    <t xml:space="preserve">DCT7</t>
  </si>
  <si>
    <t xml:space="preserve">CZ</t>
  </si>
  <si>
    <t xml:space="preserve">M</t>
  </si>
  <si>
    <t xml:space="preserve">Cee'd SW</t>
  </si>
  <si>
    <t xml:space="preserve">Gold</t>
  </si>
  <si>
    <t xml:space="preserve">1.6 CRDi 85 kW</t>
  </si>
  <si>
    <t xml:space="preserve">MT6</t>
  </si>
  <si>
    <t xml:space="preserve">BE</t>
  </si>
  <si>
    <t xml:space="preserve">D</t>
  </si>
  <si>
    <t xml:space="preserve">Superb Combi</t>
  </si>
  <si>
    <t xml:space="preserve">Style</t>
  </si>
  <si>
    <t xml:space="preserve">2.0 TDI 110 kW</t>
  </si>
  <si>
    <t xml:space="preserve">DSG6</t>
  </si>
  <si>
    <t xml:space="preserve">6</t>
  </si>
  <si>
    <t xml:space="preserve">Revolution</t>
  </si>
  <si>
    <t xml:space="preserve">2.5 Skyactiv-G192</t>
  </si>
  <si>
    <t xml:space="preserve">AT6</t>
  </si>
  <si>
    <t xml:space="preserve">DE</t>
  </si>
  <si>
    <t xml:space="preserve">Kodiaq</t>
  </si>
  <si>
    <t xml:space="preserve">Ambition</t>
  </si>
  <si>
    <t xml:space="preserve">1.4 TSI 92 kW</t>
  </si>
  <si>
    <t xml:space="preserve">NL</t>
  </si>
  <si>
    <t xml:space="preserve">Touran</t>
  </si>
  <si>
    <t xml:space="preserve">Highline</t>
  </si>
  <si>
    <t xml:space="preserve">DSG7</t>
  </si>
  <si>
    <t xml:space="preserve">STOCK</t>
  </si>
  <si>
    <t xml:space="preserve">A4 Avant</t>
  </si>
  <si>
    <t xml:space="preserve">Basis</t>
  </si>
  <si>
    <t xml:space="preserve">IT</t>
  </si>
  <si>
    <t xml:space="preserve">Octavia Combi</t>
  </si>
  <si>
    <t xml:space="preserve">1.0 TSI 85 kW</t>
  </si>
  <si>
    <t xml:space="preserve">Passat</t>
  </si>
  <si>
    <t xml:space="preserve">Comfortline</t>
  </si>
  <si>
    <t xml:space="preserve">SK</t>
  </si>
  <si>
    <t xml:space="preserve">Passat Variant R-line</t>
  </si>
  <si>
    <t xml:space="preserve">Highline Business</t>
  </si>
  <si>
    <t xml:space="preserve">1.8 TSI 132 kW</t>
  </si>
  <si>
    <t xml:space="preserve">Touran R-line</t>
  </si>
  <si>
    <t xml:space="preserve">1.4 TSI 110 kW</t>
  </si>
  <si>
    <t xml:space="preserve">FR</t>
  </si>
  <si>
    <t xml:space="preserve">Ateca</t>
  </si>
  <si>
    <t xml:space="preserve">Arona</t>
  </si>
  <si>
    <t xml:space="preserve">1.6 TDI 70 kW</t>
  </si>
  <si>
    <t xml:space="preserve">DK</t>
  </si>
  <si>
    <t xml:space="preserve">V60</t>
  </si>
  <si>
    <t xml:space="preserve">Cross Country</t>
  </si>
  <si>
    <t xml:space="preserve">2.0 D4 140 kW</t>
  </si>
  <si>
    <t xml:space="preserve">AT8</t>
  </si>
  <si>
    <t xml:space="preserve">C 220d T-Modell</t>
  </si>
  <si>
    <t xml:space="preserve">Business Plus</t>
  </si>
  <si>
    <t xml:space="preserve">2.2d 125 kW</t>
  </si>
  <si>
    <t xml:space="preserve">AT9</t>
  </si>
  <si>
    <t xml:space="preserve">S-line</t>
  </si>
  <si>
    <t xml:space="preserve">2.0 TDI 140 kW</t>
  </si>
  <si>
    <t xml:space="preserve">Q5 quattro</t>
  </si>
  <si>
    <t xml:space="preserve">3.0 TDI 176 kW 4x4</t>
  </si>
  <si>
    <t xml:space="preserve">4x4</t>
  </si>
  <si>
    <t xml:space="preserve">2.5i 141 kW</t>
  </si>
  <si>
    <t xml:space="preserve">Passat Variant</t>
  </si>
  <si>
    <t xml:space="preserve">1.5 TSI 110 kW</t>
  </si>
  <si>
    <t xml:space="preserve">MT5</t>
  </si>
  <si>
    <t xml:space="preserve">Stelvio</t>
  </si>
  <si>
    <t xml:space="preserve">Executive</t>
  </si>
  <si>
    <t xml:space="preserve">2.2d 154 kW</t>
  </si>
  <si>
    <t xml:space="preserve">Touareg</t>
  </si>
  <si>
    <t xml:space="preserve">Exclusive</t>
  </si>
  <si>
    <t xml:space="preserve">3.0 TDI 176 kW</t>
  </si>
  <si>
    <t xml:space="preserve">Golf Variant</t>
  </si>
  <si>
    <t xml:space="preserve">AT</t>
  </si>
  <si>
    <t xml:space="preserve">1.6 TDI 85 kW</t>
  </si>
  <si>
    <t xml:space="preserve">Leon ST</t>
  </si>
  <si>
    <t xml:space="preserve">Stylance</t>
  </si>
  <si>
    <t xml:space="preserve">LU</t>
  </si>
  <si>
    <t xml:space="preserve">CLA 220 d Shooting Brake</t>
  </si>
  <si>
    <t xml:space="preserve">AMG line</t>
  </si>
  <si>
    <t xml:space="preserve">2.2d 130 kW</t>
  </si>
  <si>
    <t xml:space="preserve">Giulietta</t>
  </si>
  <si>
    <t xml:space="preserve">Distinctive</t>
  </si>
  <si>
    <t xml:space="preserve">1.4 TB 125 kW</t>
  </si>
  <si>
    <t xml:space="preserve">Design</t>
  </si>
  <si>
    <t xml:space="preserve">2.0 TDI</t>
  </si>
  <si>
    <t xml:space="preserve">Jumpy</t>
  </si>
  <si>
    <t xml:space="preserve">L2H1</t>
  </si>
  <si>
    <t xml:space="preserve">2.0 HDI 130 kW</t>
  </si>
  <si>
    <t xml:space="preserve">Tiguan 4Motion</t>
  </si>
  <si>
    <t xml:space="preserve">Sport &amp; Style</t>
  </si>
  <si>
    <t xml:space="preserve">1.4 TSI 118 kW</t>
  </si>
  <si>
    <t xml:space="preserve">SE</t>
  </si>
  <si>
    <t xml:space="preserve">1.6 TDI</t>
  </si>
  <si>
    <t xml:space="preserve">1.0 TSI</t>
  </si>
  <si>
    <t xml:space="preserve">Espace</t>
  </si>
  <si>
    <t xml:space="preserve">Zen</t>
  </si>
  <si>
    <t xml:space="preserve">2.0 dCi 118 kW</t>
  </si>
  <si>
    <t xml:space="preserve">EDC6</t>
  </si>
  <si>
    <t xml:space="preserve">1.6 TDI 88 kW</t>
  </si>
  <si>
    <t xml:space="preserve">Sport</t>
  </si>
  <si>
    <t xml:space="preserve">Consignment</t>
  </si>
  <si>
    <t xml:space="preserve">Mito</t>
  </si>
  <si>
    <t xml:space="preserve">1.4 T-Jet 114 kW</t>
  </si>
  <si>
    <t xml:space="preserve">Tiguan</t>
  </si>
  <si>
    <t xml:space="preserve">Trend &amp; Fun</t>
  </si>
  <si>
    <t xml:space="preserve">2.0 TDI 103 kW</t>
  </si>
  <si>
    <t xml:space="preserve">MX-5</t>
  </si>
  <si>
    <t xml:space="preserve">2.0 Skyactiv-G 118 kW</t>
  </si>
  <si>
    <t xml:space="preserve">E53 AMG</t>
  </si>
  <si>
    <t xml:space="preserve">AMG</t>
  </si>
  <si>
    <t xml:space="preserve">3.0i 320 kW</t>
  </si>
  <si>
    <t xml:space="preserve">Karoq</t>
  </si>
  <si>
    <t xml:space="preserve">Vivaro</t>
  </si>
  <si>
    <t xml:space="preserve">2.0 HDI 90 kW</t>
  </si>
  <si>
    <t xml:space="preserve">V90</t>
  </si>
  <si>
    <t xml:space="preserve">Inscription</t>
  </si>
  <si>
    <t xml:space="preserve">2.0 D5 173 kW AWD</t>
  </si>
  <si>
    <t xml:space="preserve">530i xDrive Touring</t>
  </si>
  <si>
    <t xml:space="preserve">M Sport</t>
  </si>
  <si>
    <t xml:space="preserve">2.0i 185 kW xDrive</t>
  </si>
  <si>
    <t xml:space="preserve">2.0 TDI 85 kW</t>
  </si>
  <si>
    <t xml:space="preserve">1.4 TSI 92 kW CZCA</t>
  </si>
  <si>
    <t xml:space="preserve">2.0 TDI 110 kW DFGA</t>
  </si>
  <si>
    <t xml:space="preserve">Elegance</t>
  </si>
  <si>
    <t xml:space="preserve">1.4 TSI 103 kW</t>
  </si>
  <si>
    <t xml:space="preserve">1.4 TSI 90 kW</t>
  </si>
  <si>
    <t xml:space="preserve">2.0 TDI 140 kW 4Motion</t>
  </si>
  <si>
    <t xml:space="preserve">Tucson</t>
  </si>
  <si>
    <t xml:space="preserve">1.7 CRDI 104 kW</t>
  </si>
  <si>
    <t xml:space="preserve">Xcellence</t>
  </si>
  <si>
    <t xml:space="preserve">1.4 TIS 110 kW</t>
  </si>
  <si>
    <t xml:space="preserve">2.0 TDI 81 kW</t>
  </si>
  <si>
    <t xml:space="preserve">Alltrack</t>
  </si>
  <si>
    <t xml:space="preserve">2.0 TDI 147 kW 4Motion</t>
  </si>
  <si>
    <t xml:space="preserve">Ghibli S Q4</t>
  </si>
  <si>
    <t xml:space="preserve">GranSport</t>
  </si>
  <si>
    <t xml:space="preserve">3.0 V6 316 kW</t>
  </si>
  <si>
    <t xml:space="preserve">Sportage</t>
  </si>
  <si>
    <t xml:space="preserve">1.6 CRDi 100 kW</t>
  </si>
  <si>
    <t xml:space="preserve">Alhambra</t>
  </si>
  <si>
    <t xml:space="preserve">2.0 TDI 103 kW 4Motion</t>
  </si>
  <si>
    <t xml:space="preserve">2.0 TDI 130 kW 4Motion</t>
  </si>
  <si>
    <t xml:space="preserve">Insignia Grand Sport</t>
  </si>
  <si>
    <t xml:space="preserve">OPC line</t>
  </si>
  <si>
    <t xml:space="preserve">2.0 CDTI 125 kW</t>
  </si>
  <si>
    <t xml:space="preserve">Navara Double</t>
  </si>
  <si>
    <t xml:space="preserve">N-Guard</t>
  </si>
  <si>
    <t xml:space="preserve">2.3 dCi 140 kW</t>
  </si>
  <si>
    <t xml:space="preserve">AT7</t>
  </si>
  <si>
    <t xml:space="preserve">HU</t>
  </si>
  <si>
    <t xml:space="preserve">Tayron</t>
  </si>
  <si>
    <t xml:space="preserve">Highline R-line</t>
  </si>
  <si>
    <t xml:space="preserve">2.0 TDI 142 kW 4Motion</t>
  </si>
  <si>
    <t xml:space="preserve">420d Gran Coupé</t>
  </si>
  <si>
    <t xml:space="preserve">2.0d 140 kW</t>
  </si>
  <si>
    <t xml:space="preserve">Super</t>
  </si>
  <si>
    <t xml:space="preserve">2.2d 110 kW</t>
  </si>
  <si>
    <t xml:space="preserve">ID.3</t>
  </si>
  <si>
    <t xml:space="preserve">1st Pro</t>
  </si>
  <si>
    <t xml:space="preserve">58 kWh 150 kW</t>
  </si>
  <si>
    <t xml:space="preserve">AT1</t>
  </si>
  <si>
    <t xml:space="preserve">525d Touring</t>
  </si>
  <si>
    <t xml:space="preserve">2.5d 130 kW</t>
  </si>
  <si>
    <t xml:space="preserve">Pro</t>
  </si>
  <si>
    <t xml:space="preserve">ID.4</t>
  </si>
  <si>
    <t xml:space="preserve">77 kWh 150 kW</t>
  </si>
  <si>
    <t xml:space="preserve">1.5 TSI 96 kW</t>
  </si>
  <si>
    <t xml:space="preserve">2.0 TSI 140 kW</t>
  </si>
  <si>
    <t xml:space="preserve">1.4 T-Jet 88 kW</t>
  </si>
  <si>
    <t xml:space="preserve">2.0 TDI 110 kW 4x4</t>
  </si>
  <si>
    <t xml:space="preserve">E53 AMG 4Matic</t>
  </si>
  <si>
    <t xml:space="preserve">3.0i 320 kW 4Matic+</t>
  </si>
  <si>
    <t xml:space="preserve">GLA 200 d</t>
  </si>
  <si>
    <t xml:space="preserve">2.0d 110 kW</t>
  </si>
  <si>
    <t xml:space="preserve">DCT8</t>
  </si>
  <si>
    <t xml:space="preserve">GTE</t>
  </si>
  <si>
    <t xml:space="preserve">1.4 TSI 160 kW</t>
  </si>
  <si>
    <t xml:space="preserve">CX-3</t>
  </si>
  <si>
    <t xml:space="preserve">Attraction</t>
  </si>
  <si>
    <t xml:space="preserve">2.0i 88 kW</t>
  </si>
  <si>
    <t xml:space="preserve">A6 Avant</t>
  </si>
  <si>
    <t xml:space="preserve">Allroad</t>
  </si>
  <si>
    <t xml:space="preserve">3.0 TDI V6 257 kW</t>
  </si>
  <si>
    <t xml:space="preserve">Date</t>
  </si>
  <si>
    <t xml:space="preserve">Category</t>
  </si>
  <si>
    <t xml:space="preserve">Description</t>
  </si>
  <si>
    <t xml:space="preserve">Amount (€)</t>
  </si>
  <si>
    <t xml:space="preserve">Invoice / receipt no.</t>
  </si>
  <si>
    <t xml:space="preserve">EXAMPLE</t>
  </si>
  <si>
    <t xml:space="preserve">Repair &amp; service</t>
  </si>
  <si>
    <t xml:space="preserve">Example row — serpentine belt + oil change (delete me)</t>
  </si>
  <si>
    <t xml:space="preserve">FA-2026-0123</t>
  </si>
  <si>
    <t xml:space="preserve">Country</t>
  </si>
  <si>
    <t xml:space="preserve">VAT scheme</t>
  </si>
  <si>
    <t xml:space="preserve">Expense category</t>
  </si>
  <si>
    <t xml:space="preserve">FWD</t>
  </si>
  <si>
    <t xml:space="preserve">Transport / import</t>
  </si>
  <si>
    <t xml:space="preserve">RESERVED</t>
  </si>
  <si>
    <t xml:space="preserve">RWD</t>
  </si>
  <si>
    <t xml:space="preserve">Tyres</t>
  </si>
  <si>
    <t xml:space="preserve">Cleaning &amp; detailing</t>
  </si>
  <si>
    <t xml:space="preserve">Cupra</t>
  </si>
  <si>
    <t xml:space="preserve">STK / EK</t>
  </si>
  <si>
    <t xml:space="preserve">Ford</t>
  </si>
  <si>
    <t xml:space="preserve">Registration &amp; fees</t>
  </si>
  <si>
    <t xml:space="preserve">Advertising</t>
  </si>
  <si>
    <t xml:space="preserve">Fuel</t>
  </si>
  <si>
    <t xml:space="preserve">Other</t>
  </si>
  <si>
    <t xml:space="preserve">ES</t>
  </si>
  <si>
    <t xml:space="preserve">PL</t>
  </si>
  <si>
    <t xml:space="preserve">Toyota</t>
  </si>
  <si>
    <t xml:space="preserve">Add new values at the bottom of a column — the dropdowns pick them up automatically (up to row 60). Rename "Partner 1 / Partner 2" to your names.</t>
  </si>
  <si>
    <t xml:space="preserve">Things found while moving your data — please check and fix on the Cars tab, then delete the line here</t>
  </si>
  <si>
    <t xml:space="preserve">Car</t>
  </si>
  <si>
    <t xml:space="preserve">What looks wrong</t>
  </si>
  <si>
    <t xml:space="preserve">What I did</t>
  </si>
  <si>
    <t xml:space="preserve">Hyundai i40 CW (?)</t>
  </si>
  <si>
    <t xml:space="preserve">Purchase date missing.</t>
  </si>
  <si>
    <t xml:space="preserve">Left empty — "Days in stock" cannot be calculated. Please fill in.</t>
  </si>
  <si>
    <t xml:space="preserve">First registration (model year) missing.</t>
  </si>
  <si>
    <t xml:space="preserve">Left empty. Please fill in from the registration papers.</t>
  </si>
  <si>
    <t xml:space="preserve">Kia Cee'd SW (08/2019)</t>
  </si>
  <si>
    <t xml:space="preserve">Škoda Superb Combi (04/2016)</t>
  </si>
  <si>
    <t xml:space="preserve">Mazda 6 (05/2013)</t>
  </si>
  <si>
    <t xml:space="preserve">Škoda Kodiaq (10/2017)</t>
  </si>
  <si>
    <t xml:space="preserve">VW Touran (08/2019)</t>
  </si>
  <si>
    <t xml:space="preserve">Audi A4 Avant (07/2018)</t>
  </si>
  <si>
    <t xml:space="preserve">Škoda Octavia Combi (03/2018)</t>
  </si>
  <si>
    <t xml:space="preserve">Volkswagen Passat (02/2017)</t>
  </si>
  <si>
    <t xml:space="preserve">Seat Ateca (02/2020)</t>
  </si>
  <si>
    <t xml:space="preserve">Old profit (576 €) ≠ sale − costs (566 €) and ≠ sale − costs − VAT column (2,250 €).</t>
  </si>
  <si>
    <t xml:space="preserve">"VAT &amp; deductions" set to -10.00 € so profit matches the old sheet. Check which number is right.</t>
  </si>
  <si>
    <t xml:space="preserve">Audi A4 Avant (01/2016)</t>
  </si>
  <si>
    <t xml:space="preserve">Old profit (1,768 €) ≠ sale − costs (4,101 €) and ≠ sale − costs − VAT column (1,965 €).</t>
  </si>
  <si>
    <t xml:space="preserve">"VAT &amp; deductions" set to 2,333.33 € so profit matches the old sheet. Check which number is right.</t>
  </si>
  <si>
    <t xml:space="preserve">Mercedes-Benz C 220d T-Modell (10/2017)</t>
  </si>
  <si>
    <t xml:space="preserve">Old profit (788 €) ≠ sale − costs (3,271 €) and ≠ sale − costs − VAT column (2,167 €).</t>
  </si>
  <si>
    <t xml:space="preserve">"VAT &amp; deductions" set to 2,483.00 € so profit matches the old sheet. Check which number is right.</t>
  </si>
  <si>
    <t xml:space="preserve">Škoda Octavia Combi (02/2018)</t>
  </si>
  <si>
    <t xml:space="preserve">Old profit (750 €) ≠ sale − costs (949 €) and ≠ sale − costs − VAT column (1,417 €).</t>
  </si>
  <si>
    <t xml:space="preserve">"VAT &amp; deductions" set to 199.33 € so profit matches the old sheet. Check which number is right.</t>
  </si>
  <si>
    <t xml:space="preserve">Citroën Jumpy (11/2017)</t>
  </si>
  <si>
    <t xml:space="preserve">Old profit (1,852 €) ≠ sale − costs (4,350 €) and ≠ sale − costs − VAT column (2,579 €).</t>
  </si>
  <si>
    <t xml:space="preserve">"VAT &amp; deductions" set to 2,498.00 € so profit matches the old sheet. Check which number is right.</t>
  </si>
  <si>
    <t xml:space="preserve">Škoda Kodiaq (12/2016)</t>
  </si>
  <si>
    <t xml:space="preserve">Commission / consignment deal: "Costs" is a small fee, not a purchase price.</t>
  </si>
  <si>
    <t xml:space="preserve">Marked as Consignment. Commission set to recorded profit + costs = 790.00 € so profit stays 700.00 €. Please confirm the real commission.</t>
  </si>
  <si>
    <t xml:space="preserve">VW Tiguan (12/2013)</t>
  </si>
  <si>
    <t xml:space="preserve">Old profit (1,900 €) ≠ sale − costs (2,295 €) and ≠ sale − costs − VAT column (91 €).</t>
  </si>
  <si>
    <t xml:space="preserve">"VAT &amp; deductions" set to 395.12 € so profit matches the old sheet. Check which number is right.</t>
  </si>
  <si>
    <t xml:space="preserve">Mazda MX-5 (05/2016)</t>
  </si>
  <si>
    <t xml:space="preserve">Old profit (2,886 €) ≠ sale − costs (2,054 €) and ≠ sale − costs − VAT column (2,468 €).</t>
  </si>
  <si>
    <t xml:space="preserve">"VAT &amp; deductions" set to -831.56 € so profit matches the old sheet. Check which number is right.</t>
  </si>
  <si>
    <t xml:space="preserve">Mercedes-Benz E53 AMG (02/2023)</t>
  </si>
  <si>
    <t xml:space="preserve">Marked as Consignment. Commission set to recorded profit + costs = 3,764.42 € so profit stays 2,056.00 €. Please confirm the real commission.</t>
  </si>
  <si>
    <t xml:space="preserve">BMW 530i xDrive Touring (09/2019)</t>
  </si>
  <si>
    <t xml:space="preserve">Old profit (1,000 €) ≠ sale − costs (1,159 €) and ≠ sale − costs − VAT column (0 €).</t>
  </si>
  <si>
    <t xml:space="preserve">"VAT &amp; deductions" set to 158.55 € so profit matches the old sheet. Check which number is right.</t>
  </si>
  <si>
    <t xml:space="preserve">VW Passat Variant (11/2021)</t>
  </si>
  <si>
    <t xml:space="preserve">Marked as Consignment. Commission set to recorded profit + costs = 3,166.74 € so profit stays 1,200.00 €. Please confirm the real commission.</t>
  </si>
  <si>
    <t xml:space="preserve">Maserati Ghibli S Q4 (10/2017)</t>
  </si>
  <si>
    <t xml:space="preserve">Marked as Consignment. Commission set to recorded profit + costs = 2,701.00 € so profit stays 1,250.00 €. Please confirm the real commission.</t>
  </si>
  <si>
    <t xml:space="preserve">Kia Sportage (03/2023)</t>
  </si>
  <si>
    <t xml:space="preserve">Marked as Consignment. Commission set to recorded profit + costs = 900.00 € so profit stays 857.00 €. Please confirm the real commission.</t>
  </si>
  <si>
    <t xml:space="preserve">Country missing.</t>
  </si>
  <si>
    <t xml:space="preserve">Left empty.</t>
  </si>
  <si>
    <t xml:space="preserve">BMW 420d Gran Coupé (09/2017)</t>
  </si>
  <si>
    <t xml:space="preserve">Marked as Consignment. Commission set to recorded profit + costs = 1,000.00 € so profit stays 950.00 €. Please confirm the real commission.</t>
  </si>
  <si>
    <t xml:space="preserve">Mercedes-Benz E53 AMG 4Matic (03/2023)</t>
  </si>
  <si>
    <t xml:space="preserve">Looks like a consignment car (costs only 60 €).</t>
  </si>
  <si>
    <t xml:space="preserve">Marked as Consignment. Change Deal type if wrong.</t>
  </si>
  <si>
    <t xml:space="preserve">Mercedes-Benz GLA 200 d (10/2020)</t>
  </si>
  <si>
    <t xml:space="preserve">Looks like a consignment car (costs only 83 €).</t>
  </si>
  <si>
    <t xml:space="preserve">Audi A6 Avant (11/2019)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</si>
</sst>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&quot; €&quot;;\-#,##0&quot; €&quot;;\-"/>
    <numFmt numFmtId="167" formatCode="#,##0.00&quot; €&quot;;\-#,##0.00&quot; €&quot;;\-"/>
    <numFmt numFmtId="168" formatCode="mm/yyyy"/>
    <numFmt numFmtId="169" formatCode="#,##0"/>
    <numFmt numFmtId="170" formatCode="@"/>
    <numFmt numFmtId="171" formatCode="dd\.mm\.yyyy"/>
    <numFmt numFmtId="172" formatCode="0.0%;\-0.0%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808080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ont>
        <color rgb="FF808080"/>
      </font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ont>
        <color rgb="FFC00000"/>
      </font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22.3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5" t="s">
        <v>10</v>
      </c>
    </row>
    <row r="15" customFormat="false" ht="23.8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5" t="s">
        <v>13</v>
      </c>
    </row>
    <row r="18" customFormat="false" ht="23.85" hidden="false" customHeight="false" outlineLevel="0" collapsed="false">
      <c r="B18" s="5" t="s">
        <v>14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5" t="s">
        <v>16</v>
      </c>
    </row>
    <row r="22" customFormat="false" ht="46.25" hidden="false" customHeight="false" outlineLevel="0" collapsed="false">
      <c r="B22" s="5" t="s">
        <v>17</v>
      </c>
    </row>
    <row r="23" customFormat="false" ht="23.85" hidden="false" customHeight="false" outlineLevel="0" collapsed="false">
      <c r="B23" s="5" t="s">
        <v>18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4" t="s">
        <v>19</v>
      </c>
    </row>
    <row r="26" customFormat="false" ht="23.85" hidden="false" customHeight="false" outlineLevel="0" collapsed="false">
      <c r="B26" s="5" t="s">
        <v>20</v>
      </c>
    </row>
    <row r="27" customFormat="false" ht="23.8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5" t="s">
        <v>23</v>
      </c>
    </row>
    <row r="30" customFormat="false" ht="15" hidden="false" customHeight="false" outlineLevel="0" collapsed="false">
      <c r="B30" s="3"/>
    </row>
    <row r="31" customFormat="false" ht="15" hidden="false" customHeight="false" outlineLevel="0" collapsed="false">
      <c r="B31" s="4" t="s">
        <v>24</v>
      </c>
    </row>
    <row r="32" customFormat="false" ht="23.85" hidden="false" customHeight="false" outlineLevel="0" collapsed="false">
      <c r="B32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8" min="3" style="0" width="15"/>
  </cols>
  <sheetData>
    <row r="2" customFormat="false" ht="19.7" hidden="false" customHeight="false" outlineLevel="0" collapsed="false">
      <c r="B2" s="6" t="s">
        <v>26</v>
      </c>
    </row>
    <row r="3" customFormat="false" ht="15" hidden="false" customHeight="false" outlineLevel="0" collapsed="false">
      <c r="B3" s="7" t="s">
        <v>27</v>
      </c>
    </row>
    <row r="5" customFormat="false" ht="15" hidden="false" customHeight="false" outlineLevel="0" collapsed="false">
      <c r="B5" s="8" t="s">
        <v>28</v>
      </c>
    </row>
    <row r="6" customFormat="false" ht="15" hidden="false" customHeight="false" outlineLevel="0" collapsed="false">
      <c r="B6" s="9" t="s">
        <v>29</v>
      </c>
      <c r="C6" s="10" t="n">
        <f aca="false">COUNTIF(Cars!$B$2:$B$1000,"STOCK")</f>
        <v>19</v>
      </c>
    </row>
    <row r="7" customFormat="false" ht="15" hidden="false" customHeight="false" outlineLevel="0" collapsed="false">
      <c r="B7" s="9" t="s">
        <v>30</v>
      </c>
      <c r="C7" s="10" t="n">
        <f aca="false">COUNTIF(Cars!$B$2:$B$1000,"RESERVED")</f>
        <v>0</v>
      </c>
    </row>
    <row r="8" customFormat="false" ht="15" hidden="false" customHeight="false" outlineLevel="0" collapsed="false">
      <c r="B8" s="9" t="s">
        <v>31</v>
      </c>
      <c r="C8" s="11" t="n">
        <f aca="false">SUMIFS(Cars!$R$2:$R$1000,Cars!$B$2:$B$1000,"&lt;&gt;SOLD",Cars!$C$2:$C$1000,"Own purchase",Cars!$A$2:$A$1000,"&lt;&gt;")</f>
        <v>173167.06</v>
      </c>
    </row>
    <row r="9" customFormat="false" ht="15" hidden="false" customHeight="false" outlineLevel="0" collapsed="false">
      <c r="B9" s="9" t="s">
        <v>32</v>
      </c>
      <c r="C9" s="10" t="n">
        <f aca="false">COUNTIFS(Cars!$B$2:$B$1000,"&lt;&gt;SOLD",Cars!$A$2:$A$1000,"&lt;&gt;",Cars!$Z$2:$Z$1000,"&gt;90")</f>
        <v>16</v>
      </c>
    </row>
    <row r="10" customFormat="false" ht="15" hidden="false" customHeight="false" outlineLevel="0" collapsed="false">
      <c r="B10" s="9" t="s">
        <v>33</v>
      </c>
      <c r="C10" s="10" t="n">
        <f aca="false">IFERROR(AVERAGEIFS(Cars!$Z$2:$Z$1000,Cars!$B$2:$B$1000,"&lt;&gt;SOLD",Cars!$A$2:$A$1000,"&lt;&gt;"),"")</f>
        <v>181.111111111111</v>
      </c>
    </row>
    <row r="11" customFormat="false" ht="15" hidden="false" customHeight="false" outlineLevel="0" collapsed="false">
      <c r="B11" s="9" t="s">
        <v>34</v>
      </c>
      <c r="C11" s="10" t="n">
        <f aca="false">COUNTIFS(Cars!$A$2:$A$1000,"&lt;&gt;",Cars!$O$2:$O$1000,"")</f>
        <v>9</v>
      </c>
    </row>
    <row r="13" customFormat="false" ht="15" hidden="false" customHeight="false" outlineLevel="0" collapsed="false">
      <c r="B13" s="8" t="s">
        <v>35</v>
      </c>
    </row>
    <row r="14" customFormat="false" ht="23.85" hidden="false" customHeight="false" outlineLevel="0" collapsed="false"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2" t="s">
        <v>41</v>
      </c>
    </row>
    <row r="15" customFormat="false" ht="15" hidden="false" customHeight="false" outlineLevel="0" collapsed="false">
      <c r="B15" s="9" t="s">
        <v>42</v>
      </c>
      <c r="C15" s="10" t="n">
        <f aca="false">COUNTIFS(Cars!$B$2:$B$1000,"SOLD",Cars!$T$2:$T$1000,"&gt;="&amp;DATE(2023,1,1),Cars!$T$2:$T$1000,"&lt;"&amp;DATE(2024,1,1))</f>
        <v>8</v>
      </c>
      <c r="D15" s="11" t="n">
        <f aca="false">SUMIFS(Cars!$X$2:$X$1000,Cars!$B$2:$B$1000,"SOLD",Cars!$T$2:$T$1000,"&gt;="&amp;DATE(2023,1,1),Cars!$T$2:$T$1000,"&lt;"&amp;DATE(2024,1,1))</f>
        <v>11232.12</v>
      </c>
      <c r="E15" s="11" t="n">
        <f aca="false">IF(C15=0,"",D15/C15)</f>
        <v>1404.015</v>
      </c>
      <c r="F15" s="10" t="str">
        <f aca="false">IFERROR(AVERAGEIFS(Cars!$Z$2:$Z$1000,Cars!$B$2:$B$1000,"SOLD",Cars!$T$2:$T$1000,"&gt;="&amp;DATE(2023,1,1),Cars!$T$2:$T$1000,"&lt;"&amp;DATE(2024,1,1)),"")</f>
        <v/>
      </c>
      <c r="G15" s="11" t="n">
        <f aca="false">D15/2</f>
        <v>5616.06</v>
      </c>
    </row>
    <row r="16" customFormat="false" ht="15" hidden="false" customHeight="false" outlineLevel="0" collapsed="false">
      <c r="B16" s="9" t="s">
        <v>43</v>
      </c>
      <c r="C16" s="10" t="n">
        <f aca="false">COUNTIFS(Cars!$B$2:$B$1000,"SOLD",Cars!$T$2:$T$1000,"&gt;="&amp;DATE(2024,1,1),Cars!$T$2:$T$1000,"&lt;"&amp;DATE(2025,1,1))</f>
        <v>40</v>
      </c>
      <c r="D16" s="11" t="n">
        <f aca="false">SUMIFS(Cars!$X$2:$X$1000,Cars!$B$2:$B$1000,"SOLD",Cars!$T$2:$T$1000,"&gt;="&amp;DATE(2024,1,1),Cars!$T$2:$T$1000,"&lt;"&amp;DATE(2025,1,1))</f>
        <v>72612</v>
      </c>
      <c r="E16" s="11" t="n">
        <f aca="false">IF(C16=0,"",D16/C16)</f>
        <v>1815.3</v>
      </c>
      <c r="F16" s="10" t="n">
        <f aca="false">IFERROR(AVERAGEIFS(Cars!$Z$2:$Z$1000,Cars!$B$2:$B$1000,"SOLD",Cars!$T$2:$T$1000,"&gt;="&amp;DATE(2024,1,1),Cars!$T$2:$T$1000,"&lt;"&amp;DATE(2025,1,1)),"")</f>
        <v>71.775</v>
      </c>
      <c r="G16" s="11" t="n">
        <f aca="false">D16/2</f>
        <v>36306</v>
      </c>
    </row>
    <row r="17" customFormat="false" ht="15" hidden="false" customHeight="false" outlineLevel="0" collapsed="false">
      <c r="B17" s="9" t="s">
        <v>44</v>
      </c>
      <c r="C17" s="10" t="n">
        <f aca="false">COUNTIFS(Cars!$B$2:$B$1000,"SOLD",Cars!$T$2:$T$1000,"&gt;="&amp;DATE(2025,1,1),Cars!$T$2:$T$1000,"&lt;"&amp;DATE(2026,1,1))</f>
        <v>52</v>
      </c>
      <c r="D17" s="11" t="n">
        <f aca="false">SUMIFS(Cars!$X$2:$X$1000,Cars!$B$2:$B$1000,"SOLD",Cars!$T$2:$T$1000,"&gt;="&amp;DATE(2025,1,1),Cars!$T$2:$T$1000,"&lt;"&amp;DATE(2026,1,1))</f>
        <v>90415</v>
      </c>
      <c r="E17" s="11" t="n">
        <f aca="false">IF(C17=0,"",D17/C17)</f>
        <v>1738.75</v>
      </c>
      <c r="F17" s="10" t="n">
        <f aca="false">IFERROR(AVERAGEIFS(Cars!$Z$2:$Z$1000,Cars!$B$2:$B$1000,"SOLD",Cars!$T$2:$T$1000,"&gt;="&amp;DATE(2025,1,1),Cars!$T$2:$T$1000,"&lt;"&amp;DATE(2026,1,1)),"")</f>
        <v>79.4807692307692</v>
      </c>
      <c r="G17" s="11" t="n">
        <f aca="false">D17/2</f>
        <v>45207.5</v>
      </c>
    </row>
    <row r="18" customFormat="false" ht="15" hidden="false" customHeight="false" outlineLevel="0" collapsed="false">
      <c r="B18" s="9" t="s">
        <v>45</v>
      </c>
      <c r="C18" s="10" t="n">
        <f aca="false">COUNTIFS(Cars!$B$2:$B$1000,"SOLD",Cars!$T$2:$T$1000,"&gt;="&amp;DATE(2026,1,1),Cars!$T$2:$T$1000,"&lt;"&amp;DATE(2027,1,1))</f>
        <v>29</v>
      </c>
      <c r="D18" s="11" t="n">
        <f aca="false">SUMIFS(Cars!$X$2:$X$1000,Cars!$B$2:$B$1000,"SOLD",Cars!$T$2:$T$1000,"&gt;="&amp;DATE(2026,1,1),Cars!$T$2:$T$1000,"&lt;"&amp;DATE(2027,1,1))</f>
        <v>43659</v>
      </c>
      <c r="E18" s="11" t="n">
        <f aca="false">IF(C18=0,"",D18/C18)</f>
        <v>1505.48275862069</v>
      </c>
      <c r="F18" s="10" t="n">
        <f aca="false">IFERROR(AVERAGEIFS(Cars!$Z$2:$Z$1000,Cars!$B$2:$B$1000,"SOLD",Cars!$T$2:$T$1000,"&gt;="&amp;DATE(2026,1,1),Cars!$T$2:$T$1000,"&lt;"&amp;DATE(2027,1,1)),"")</f>
        <v>110.965517241379</v>
      </c>
      <c r="G18" s="11" t="n">
        <f aca="false">D18/2</f>
        <v>21829.5</v>
      </c>
    </row>
    <row r="19" customFormat="false" ht="15" hidden="false" customHeight="false" outlineLevel="0" collapsed="false">
      <c r="B19" s="9" t="s">
        <v>46</v>
      </c>
      <c r="C19" s="10" t="n">
        <f aca="false">COUNTIFS(Cars!$B$2:$B$1000,"SOLD",Cars!$T$2:$T$1000,"&gt;="&amp;DATE(2027,1,1),Cars!$T$2:$T$1000,"&lt;"&amp;DATE(2028,1,1))</f>
        <v>0</v>
      </c>
      <c r="D19" s="11" t="n">
        <f aca="false">SUMIFS(Cars!$X$2:$X$1000,Cars!$B$2:$B$1000,"SOLD",Cars!$T$2:$T$1000,"&gt;="&amp;DATE(2027,1,1),Cars!$T$2:$T$1000,"&lt;"&amp;DATE(2028,1,1))</f>
        <v>0</v>
      </c>
      <c r="E19" s="11" t="str">
        <f aca="false">IF(C19=0,"",D19/C19)</f>
        <v/>
      </c>
      <c r="F19" s="10" t="str">
        <f aca="false">IFERROR(AVERAGEIFS(Cars!$Z$2:$Z$1000,Cars!$B$2:$B$1000,"SOLD",Cars!$T$2:$T$1000,"&gt;="&amp;DATE(2027,1,1),Cars!$T$2:$T$1000,"&lt;"&amp;DATE(2028,1,1)),"")</f>
        <v/>
      </c>
      <c r="G19" s="11" t="n">
        <f aca="false">D19/2</f>
        <v>0</v>
      </c>
    </row>
    <row r="20" customFormat="false" ht="15" hidden="false" customHeight="false" outlineLevel="0" collapsed="false">
      <c r="B20" s="13" t="s">
        <v>47</v>
      </c>
      <c r="C20" s="14" t="n">
        <f aca="false">SUM(C15:C19)</f>
        <v>129</v>
      </c>
      <c r="D20" s="15" t="n">
        <f aca="false">SUM(D15:D19)</f>
        <v>217918.12</v>
      </c>
      <c r="E20" s="15" t="n">
        <f aca="false">IF(C20=0,"",D20/C20)</f>
        <v>1689.28775193798</v>
      </c>
      <c r="G20" s="15" t="n">
        <f aca="false">D20/2</f>
        <v>108959.06</v>
      </c>
    </row>
    <row r="22" customFormat="false" ht="15" hidden="false" customHeight="false" outlineLevel="0" collapsed="false">
      <c r="B22" s="8" t="s">
        <v>48</v>
      </c>
    </row>
    <row r="23" customFormat="false" ht="23.85" hidden="false" customHeight="false" outlineLevel="0" collapsed="false">
      <c r="B23" s="12" t="s">
        <v>49</v>
      </c>
      <c r="C23" s="12" t="s">
        <v>37</v>
      </c>
      <c r="D23" s="12" t="s">
        <v>38</v>
      </c>
      <c r="E23" s="12" t="s">
        <v>39</v>
      </c>
      <c r="F23" s="12" t="s">
        <v>40</v>
      </c>
      <c r="G23" s="12" t="s">
        <v>50</v>
      </c>
    </row>
    <row r="24" customFormat="false" ht="15" hidden="false" customHeight="false" outlineLevel="0" collapsed="false">
      <c r="B24" s="9" t="s">
        <v>51</v>
      </c>
      <c r="C24" s="10" t="n">
        <f aca="false">COUNTIFS(Cars!$B$2:$B$1000,"SOLD",Cars!$D$2:$D$1000,B24)</f>
        <v>41</v>
      </c>
      <c r="D24" s="11" t="n">
        <f aca="false">SUMIFS(Cars!$X$2:$X$1000,Cars!$B$2:$B$1000,"SOLD",Cars!$D$2:$D$1000,B24)</f>
        <v>66335</v>
      </c>
      <c r="E24" s="11" t="n">
        <f aca="false">IF(C24=0,"",D24/C24)</f>
        <v>1617.92682926829</v>
      </c>
      <c r="F24" s="10" t="n">
        <f aca="false">IFERROR(AVERAGEIFS(Cars!$Z$2:$Z$1000,Cars!$B$2:$B$1000,"SOLD",Cars!$D$2:$D$1000,B24),"")</f>
        <v>76.5384615384615</v>
      </c>
      <c r="G24" s="10" t="n">
        <f aca="false">COUNTIFS(Cars!$B$2:$B$1000,"&lt;&gt;SOLD",Cars!$D$2:$D$1000,B24)</f>
        <v>6</v>
      </c>
    </row>
    <row r="25" customFormat="false" ht="15" hidden="false" customHeight="false" outlineLevel="0" collapsed="false">
      <c r="B25" s="9" t="s">
        <v>52</v>
      </c>
      <c r="C25" s="10" t="n">
        <f aca="false">COUNTIFS(Cars!$B$2:$B$1000,"SOLD",Cars!$D$2:$D$1000,B25)</f>
        <v>33</v>
      </c>
      <c r="D25" s="11" t="n">
        <f aca="false">SUMIFS(Cars!$X$2:$X$1000,Cars!$B$2:$B$1000,"SOLD",Cars!$D$2:$D$1000,B25)</f>
        <v>53948.99</v>
      </c>
      <c r="E25" s="11" t="n">
        <f aca="false">IF(C25=0,"",D25/C25)</f>
        <v>1634.81787878788</v>
      </c>
      <c r="F25" s="10" t="n">
        <f aca="false">IFERROR(AVERAGEIFS(Cars!$Z$2:$Z$1000,Cars!$B$2:$B$1000,"SOLD",Cars!$D$2:$D$1000,B25),"")</f>
        <v>97.6</v>
      </c>
      <c r="G25" s="10" t="n">
        <f aca="false">COUNTIFS(Cars!$B$2:$B$1000,"&lt;&gt;SOLD",Cars!$D$2:$D$1000,B25)</f>
        <v>2</v>
      </c>
    </row>
    <row r="26" customFormat="false" ht="15" hidden="false" customHeight="false" outlineLevel="0" collapsed="false">
      <c r="B26" s="9" t="s">
        <v>53</v>
      </c>
      <c r="C26" s="10" t="n">
        <f aca="false">COUNTIFS(Cars!$B$2:$B$1000,"SOLD",Cars!$D$2:$D$1000,B26)</f>
        <v>18</v>
      </c>
      <c r="D26" s="11" t="n">
        <f aca="false">SUMIFS(Cars!$X$2:$X$1000,Cars!$B$2:$B$1000,"SOLD",Cars!$D$2:$D$1000,B26)</f>
        <v>33098</v>
      </c>
      <c r="E26" s="11" t="n">
        <f aca="false">IF(C26=0,"",D26/C26)</f>
        <v>1838.77777777778</v>
      </c>
      <c r="F26" s="10" t="n">
        <f aca="false">IFERROR(AVERAGEIFS(Cars!$Z$2:$Z$1000,Cars!$B$2:$B$1000,"SOLD",Cars!$D$2:$D$1000,B26),"")</f>
        <v>91.5</v>
      </c>
      <c r="G26" s="10" t="n">
        <f aca="false">COUNTIFS(Cars!$B$2:$B$1000,"&lt;&gt;SOLD",Cars!$D$2:$D$1000,B26)</f>
        <v>4</v>
      </c>
    </row>
    <row r="27" customFormat="false" ht="15" hidden="false" customHeight="false" outlineLevel="0" collapsed="false">
      <c r="B27" s="9" t="s">
        <v>54</v>
      </c>
      <c r="C27" s="10" t="n">
        <f aca="false">COUNTIFS(Cars!$B$2:$B$1000,"SOLD",Cars!$D$2:$D$1000,B27)</f>
        <v>12</v>
      </c>
      <c r="D27" s="11" t="n">
        <f aca="false">SUMIFS(Cars!$X$2:$X$1000,Cars!$B$2:$B$1000,"SOLD",Cars!$D$2:$D$1000,B27)</f>
        <v>26413</v>
      </c>
      <c r="E27" s="11" t="n">
        <f aca="false">IF(C27=0,"",D27/C27)</f>
        <v>2201.08333333333</v>
      </c>
      <c r="F27" s="10" t="n">
        <f aca="false">IFERROR(AVERAGEIFS(Cars!$Z$2:$Z$1000,Cars!$B$2:$B$1000,"SOLD",Cars!$D$2:$D$1000,B27),"")</f>
        <v>60.8333333333333</v>
      </c>
      <c r="G27" s="10" t="n">
        <f aca="false">COUNTIFS(Cars!$B$2:$B$1000,"&lt;&gt;SOLD",Cars!$D$2:$D$1000,B27)</f>
        <v>1</v>
      </c>
    </row>
    <row r="28" customFormat="false" ht="15" hidden="false" customHeight="false" outlineLevel="0" collapsed="false">
      <c r="B28" s="9" t="s">
        <v>55</v>
      </c>
      <c r="C28" s="10" t="n">
        <f aca="false">COUNTIFS(Cars!$B$2:$B$1000,"SOLD",Cars!$D$2:$D$1000,B28)</f>
        <v>3</v>
      </c>
      <c r="D28" s="11" t="n">
        <f aca="false">SUMIFS(Cars!$X$2:$X$1000,Cars!$B$2:$B$1000,"SOLD",Cars!$D$2:$D$1000,B28)</f>
        <v>5831</v>
      </c>
      <c r="E28" s="11" t="n">
        <f aca="false">IF(C28=0,"",D28/C28)</f>
        <v>1943.66666666667</v>
      </c>
      <c r="F28" s="10" t="n">
        <f aca="false">IFERROR(AVERAGEIFS(Cars!$Z$2:$Z$1000,Cars!$B$2:$B$1000,"SOLD",Cars!$D$2:$D$1000,B28),"")</f>
        <v>83.3333333333333</v>
      </c>
      <c r="G28" s="10" t="n">
        <f aca="false">COUNTIFS(Cars!$B$2:$B$1000,"&lt;&gt;SOLD",Cars!$D$2:$D$1000,B28)</f>
        <v>2</v>
      </c>
    </row>
    <row r="29" customFormat="false" ht="15" hidden="false" customHeight="false" outlineLevel="0" collapsed="false">
      <c r="B29" s="9" t="s">
        <v>56</v>
      </c>
      <c r="C29" s="10" t="n">
        <f aca="false">COUNTIFS(Cars!$B$2:$B$1000,"SOLD",Cars!$D$2:$D$1000,B29)</f>
        <v>3</v>
      </c>
      <c r="D29" s="11" t="n">
        <f aca="false">SUMIFS(Cars!$X$2:$X$1000,Cars!$B$2:$B$1000,"SOLD",Cars!$D$2:$D$1000,B29)</f>
        <v>6047.21</v>
      </c>
      <c r="E29" s="11" t="n">
        <f aca="false">IF(C29=0,"",D29/C29)</f>
        <v>2015.73666666667</v>
      </c>
      <c r="F29" s="10" t="n">
        <f aca="false">IFERROR(AVERAGEIFS(Cars!$Z$2:$Z$1000,Cars!$B$2:$B$1000,"SOLD",Cars!$D$2:$D$1000,B29),"")</f>
        <v>301.5</v>
      </c>
      <c r="G29" s="10" t="n">
        <f aca="false">COUNTIFS(Cars!$B$2:$B$1000,"&lt;&gt;SOLD",Cars!$D$2:$D$1000,B29)</f>
        <v>1</v>
      </c>
    </row>
    <row r="30" customFormat="false" ht="15" hidden="false" customHeight="false" outlineLevel="0" collapsed="false">
      <c r="B30" s="9" t="s">
        <v>57</v>
      </c>
      <c r="C30" s="10" t="n">
        <f aca="false">COUNTIFS(Cars!$B$2:$B$1000,"SOLD",Cars!$D$2:$D$1000,B30)</f>
        <v>3</v>
      </c>
      <c r="D30" s="11" t="n">
        <f aca="false">SUMIFS(Cars!$X$2:$X$1000,Cars!$B$2:$B$1000,"SOLD",Cars!$D$2:$D$1000,B30)</f>
        <v>3807</v>
      </c>
      <c r="E30" s="11" t="n">
        <f aca="false">IF(C30=0,"",D30/C30)</f>
        <v>1269</v>
      </c>
      <c r="F30" s="10" t="n">
        <f aca="false">IFERROR(AVERAGEIFS(Cars!$Z$2:$Z$1000,Cars!$B$2:$B$1000,"SOLD",Cars!$D$2:$D$1000,B30),"")</f>
        <v>86.6666666666667</v>
      </c>
      <c r="G30" s="10" t="n">
        <f aca="false">COUNTIFS(Cars!$B$2:$B$1000,"&lt;&gt;SOLD",Cars!$D$2:$D$1000,B30)</f>
        <v>2</v>
      </c>
    </row>
    <row r="31" customFormat="false" ht="15" hidden="false" customHeight="false" outlineLevel="0" collapsed="false">
      <c r="B31" s="9" t="s">
        <v>58</v>
      </c>
      <c r="C31" s="10" t="n">
        <f aca="false">COUNTIFS(Cars!$B$2:$B$1000,"SOLD",Cars!$D$2:$D$1000,B31)</f>
        <v>3</v>
      </c>
      <c r="D31" s="11" t="n">
        <f aca="false">SUMIFS(Cars!$X$2:$X$1000,Cars!$B$2:$B$1000,"SOLD",Cars!$D$2:$D$1000,B31)</f>
        <v>2270</v>
      </c>
      <c r="E31" s="11" t="n">
        <f aca="false">IF(C31=0,"",D31/C31)</f>
        <v>756.666666666666</v>
      </c>
      <c r="F31" s="10" t="n">
        <f aca="false">IFERROR(AVERAGEIFS(Cars!$Z$2:$Z$1000,Cars!$B$2:$B$1000,"SOLD",Cars!$D$2:$D$1000,B31),"")</f>
        <v>58.3333333333333</v>
      </c>
      <c r="G31" s="10" t="n">
        <f aca="false">COUNTIFS(Cars!$B$2:$B$1000,"&lt;&gt;SOLD",Cars!$D$2:$D$1000,B31)</f>
        <v>0</v>
      </c>
    </row>
    <row r="32" customFormat="false" ht="15" hidden="false" customHeight="false" outlineLevel="0" collapsed="false">
      <c r="B32" s="9" t="s">
        <v>59</v>
      </c>
      <c r="C32" s="10" t="n">
        <f aca="false">COUNTIFS(Cars!$B$2:$B$1000,"SOLD",Cars!$D$2:$D$1000,B32)</f>
        <v>3</v>
      </c>
      <c r="D32" s="11" t="n">
        <f aca="false">SUMIFS(Cars!$X$2:$X$1000,Cars!$B$2:$B$1000,"SOLD",Cars!$D$2:$D$1000,B32)</f>
        <v>5930</v>
      </c>
      <c r="E32" s="11" t="n">
        <f aca="false">IF(C32=0,"",D32/C32)</f>
        <v>1976.66666666667</v>
      </c>
      <c r="F32" s="10" t="n">
        <f aca="false">IFERROR(AVERAGEIFS(Cars!$Z$2:$Z$1000,Cars!$B$2:$B$1000,"SOLD",Cars!$D$2:$D$1000,B32),"")</f>
        <v>93.3333333333333</v>
      </c>
      <c r="G32" s="10" t="n">
        <f aca="false">COUNTIFS(Cars!$B$2:$B$1000,"&lt;&gt;SOLD",Cars!$D$2:$D$1000,B32)</f>
        <v>0</v>
      </c>
    </row>
    <row r="33" customFormat="false" ht="15" hidden="false" customHeight="false" outlineLevel="0" collapsed="false">
      <c r="B33" s="9" t="s">
        <v>60</v>
      </c>
      <c r="C33" s="10" t="n">
        <f aca="false">COUNTIFS(Cars!$B$2:$B$1000,"SOLD",Cars!$D$2:$D$1000,B33)</f>
        <v>2</v>
      </c>
      <c r="D33" s="11" t="n">
        <f aca="false">SUMIFS(Cars!$X$2:$X$1000,Cars!$B$2:$B$1000,"SOLD",Cars!$D$2:$D$1000,B33)</f>
        <v>2496.21</v>
      </c>
      <c r="E33" s="11" t="n">
        <f aca="false">IF(C33=0,"",D33/C33)</f>
        <v>1248.105</v>
      </c>
      <c r="F33" s="10" t="n">
        <f aca="false">IFERROR(AVERAGEIFS(Cars!$Z$2:$Z$1000,Cars!$B$2:$B$1000,"SOLD",Cars!$D$2:$D$1000,B33),"")</f>
        <v>19</v>
      </c>
      <c r="G33" s="10" t="n">
        <f aca="false">COUNTIFS(Cars!$B$2:$B$1000,"&lt;&gt;SOLD",Cars!$D$2:$D$1000,B33)</f>
        <v>0</v>
      </c>
    </row>
    <row r="34" customFormat="false" ht="15" hidden="false" customHeight="false" outlineLevel="0" collapsed="false">
      <c r="B34" s="9" t="s">
        <v>61</v>
      </c>
      <c r="C34" s="10" t="n">
        <f aca="false">COUNTIFS(Cars!$B$2:$B$1000,"SOLD",Cars!$D$2:$D$1000,B34)</f>
        <v>2</v>
      </c>
      <c r="D34" s="11" t="n">
        <f aca="false">SUMIFS(Cars!$X$2:$X$1000,Cars!$B$2:$B$1000,"SOLD",Cars!$D$2:$D$1000,B34)</f>
        <v>2264.71</v>
      </c>
      <c r="E34" s="11" t="n">
        <f aca="false">IF(C34=0,"",D34/C34)</f>
        <v>1132.355</v>
      </c>
      <c r="F34" s="10" t="n">
        <f aca="false">IFERROR(AVERAGEIFS(Cars!$Z$2:$Z$1000,Cars!$B$2:$B$1000,"SOLD",Cars!$D$2:$D$1000,B34),"")</f>
        <v>35</v>
      </c>
      <c r="G34" s="10" t="n">
        <f aca="false">COUNTIFS(Cars!$B$2:$B$1000,"&lt;&gt;SOLD",Cars!$D$2:$D$1000,B34)</f>
        <v>0</v>
      </c>
    </row>
    <row r="35" customFormat="false" ht="15" hidden="false" customHeight="false" outlineLevel="0" collapsed="false">
      <c r="B35" s="9" t="s">
        <v>62</v>
      </c>
      <c r="C35" s="10" t="n">
        <f aca="false">COUNTIFS(Cars!$B$2:$B$1000,"SOLD",Cars!$D$2:$D$1000,B35)</f>
        <v>1</v>
      </c>
      <c r="D35" s="11" t="n">
        <f aca="false">SUMIFS(Cars!$X$2:$X$1000,Cars!$B$2:$B$1000,"SOLD",Cars!$D$2:$D$1000,B35)</f>
        <v>1250</v>
      </c>
      <c r="E35" s="11" t="n">
        <f aca="false">IF(C35=0,"",D35/C35)</f>
        <v>1250</v>
      </c>
      <c r="F35" s="10" t="n">
        <f aca="false">IFERROR(AVERAGEIFS(Cars!$Z$2:$Z$1000,Cars!$B$2:$B$1000,"SOLD",Cars!$D$2:$D$1000,B35),"")</f>
        <v>6</v>
      </c>
      <c r="G35" s="10" t="n">
        <f aca="false">COUNTIFS(Cars!$B$2:$B$1000,"&lt;&gt;SOLD",Cars!$D$2:$D$1000,B35)</f>
        <v>0</v>
      </c>
    </row>
    <row r="36" customFormat="false" ht="15" hidden="false" customHeight="false" outlineLevel="0" collapsed="false">
      <c r="B36" s="9" t="s">
        <v>63</v>
      </c>
      <c r="C36" s="10" t="n">
        <f aca="false">COUNTIFS(Cars!$B$2:$B$1000,"SOLD",Cars!$D$2:$D$1000,B36)</f>
        <v>1</v>
      </c>
      <c r="D36" s="11" t="n">
        <f aca="false">SUMIFS(Cars!$X$2:$X$1000,Cars!$B$2:$B$1000,"SOLD",Cars!$D$2:$D$1000,B36)</f>
        <v>1000</v>
      </c>
      <c r="E36" s="11" t="n">
        <f aca="false">IF(C36=0,"",D36/C36)</f>
        <v>1000</v>
      </c>
      <c r="F36" s="10" t="n">
        <f aca="false">IFERROR(AVERAGEIFS(Cars!$Z$2:$Z$1000,Cars!$B$2:$B$1000,"SOLD",Cars!$D$2:$D$1000,B36),"")</f>
        <v>3</v>
      </c>
      <c r="G36" s="10" t="n">
        <f aca="false">COUNTIFS(Cars!$B$2:$B$1000,"&lt;&gt;SOLD",Cars!$D$2:$D$1000,B36)</f>
        <v>0</v>
      </c>
    </row>
    <row r="37" customFormat="false" ht="15" hidden="false" customHeight="false" outlineLevel="0" collapsed="false">
      <c r="B37" s="9" t="s">
        <v>64</v>
      </c>
      <c r="C37" s="10" t="n">
        <f aca="false">COUNTIFS(Cars!$B$2:$B$1000,"SOLD",Cars!$D$2:$D$1000,B37)</f>
        <v>1</v>
      </c>
      <c r="D37" s="11" t="n">
        <f aca="false">SUMIFS(Cars!$X$2:$X$1000,Cars!$B$2:$B$1000,"SOLD",Cars!$D$2:$D$1000,B37)</f>
        <v>1955</v>
      </c>
      <c r="E37" s="11" t="n">
        <f aca="false">IF(C37=0,"",D37/C37)</f>
        <v>1955</v>
      </c>
      <c r="F37" s="10" t="n">
        <f aca="false">IFERROR(AVERAGEIFS(Cars!$Z$2:$Z$1000,Cars!$B$2:$B$1000,"SOLD",Cars!$D$2:$D$1000,B37),"")</f>
        <v>20</v>
      </c>
      <c r="G37" s="10" t="n">
        <f aca="false">COUNTIFS(Cars!$B$2:$B$1000,"&lt;&gt;SOLD",Cars!$D$2:$D$1000,B37)</f>
        <v>1</v>
      </c>
    </row>
    <row r="38" customFormat="false" ht="15" hidden="false" customHeight="false" outlineLevel="0" collapsed="false">
      <c r="B38" s="9" t="s">
        <v>65</v>
      </c>
      <c r="C38" s="10" t="n">
        <f aca="false">COUNTIFS(Cars!$B$2:$B$1000,"SOLD",Cars!$D$2:$D$1000,B38)</f>
        <v>1</v>
      </c>
      <c r="D38" s="11" t="n">
        <f aca="false">SUMIFS(Cars!$X$2:$X$1000,Cars!$B$2:$B$1000,"SOLD",Cars!$D$2:$D$1000,B38)</f>
        <v>3318</v>
      </c>
      <c r="E38" s="11" t="n">
        <f aca="false">IF(C38=0,"",D38/C38)</f>
        <v>3318</v>
      </c>
      <c r="F38" s="10" t="n">
        <f aca="false">IFERROR(AVERAGEIFS(Cars!$Z$2:$Z$1000,Cars!$B$2:$B$1000,"SOLD",Cars!$D$2:$D$1000,B38),"")</f>
        <v>29</v>
      </c>
      <c r="G38" s="10" t="n">
        <f aca="false">COUNTIFS(Cars!$B$2:$B$1000,"&lt;&gt;SOLD",Cars!$D$2:$D$1000,B38)</f>
        <v>0</v>
      </c>
    </row>
    <row r="39" customFormat="false" ht="15" hidden="false" customHeight="false" outlineLevel="0" collapsed="false">
      <c r="B39" s="9" t="s">
        <v>66</v>
      </c>
      <c r="C39" s="10" t="n">
        <f aca="false">COUNTIFS(Cars!$B$2:$B$1000,"SOLD",Cars!$D$2:$D$1000,B39)</f>
        <v>2</v>
      </c>
      <c r="D39" s="11" t="n">
        <f aca="false">SUMIFS(Cars!$X$2:$X$1000,Cars!$B$2:$B$1000,"SOLD",Cars!$D$2:$D$1000,B39)</f>
        <v>1954</v>
      </c>
      <c r="E39" s="11" t="n">
        <f aca="false">IF(C39=0,"",D39/C39)</f>
        <v>976.999999999999</v>
      </c>
      <c r="F39" s="10" t="n">
        <f aca="false">IFERROR(AVERAGEIFS(Cars!$Z$2:$Z$1000,Cars!$B$2:$B$1000,"SOLD",Cars!$D$2:$D$1000,B39),"")</f>
        <v>126</v>
      </c>
      <c r="G39" s="10" t="n">
        <f aca="false">COUNTIFS(Cars!$B$2:$B$1000,"&lt;&gt;SOLD",Cars!$D$2:$D$1000,B39)</f>
        <v>0</v>
      </c>
    </row>
    <row r="41" customFormat="false" ht="15" hidden="false" customHeight="false" outlineLevel="0" collapsed="false">
      <c r="B41" s="8" t="s">
        <v>67</v>
      </c>
    </row>
    <row r="42" customFormat="false" ht="15" hidden="false" customHeight="false" outlineLevel="0" collapsed="false">
      <c r="B42" s="16" t="s">
        <v>68</v>
      </c>
      <c r="C42" s="16" t="s">
        <v>69</v>
      </c>
    </row>
    <row r="43" customFormat="false" ht="15" hidden="false" customHeight="false" outlineLevel="0" collapsed="false">
      <c r="B43" s="9" t="s">
        <v>70</v>
      </c>
      <c r="C43" s="17" t="n">
        <f aca="false">SUMIFS(Expenses!$E$2:$E$3000,Expenses!$F$2:$F$3000,B43,Expenses!$B$2:$B$3000,"&lt;&gt;EXAMPLE")</f>
        <v>0</v>
      </c>
    </row>
    <row r="44" customFormat="false" ht="15" hidden="false" customHeight="false" outlineLevel="0" collapsed="false">
      <c r="B44" s="9" t="s">
        <v>71</v>
      </c>
      <c r="C44" s="17" t="n">
        <f aca="false">SUMIFS(Expenses!$E$2:$E$3000,Expenses!$F$2:$F$3000,B44,Expenses!$B$2:$B$3000,"&lt;&gt;EXAMPLE")</f>
        <v>0</v>
      </c>
    </row>
    <row r="45" customFormat="false" ht="15" hidden="false" customHeight="false" outlineLevel="0" collapsed="false">
      <c r="B45" s="9" t="s">
        <v>72</v>
      </c>
      <c r="C45" s="17" t="n">
        <f aca="false">SUMIFS(Expenses!$E$2:$E$3000,Expenses!$F$2:$F$3000,B45,Expenses!$B$2:$B$3000,"&lt;&gt;EXAMPLE")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19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8" min="16" style="0" width="12"/>
    <col collapsed="false" customWidth="true" hidden="false" outlineLevel="0" max="20" min="19" style="0" width="11"/>
    <col collapsed="false" customWidth="true" hidden="false" outlineLevel="0" max="22" min="21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9"/>
    <col collapsed="false" customWidth="true" hidden="false" outlineLevel="0" max="26" min="26" style="0" width="8"/>
    <col collapsed="false" customWidth="true" hidden="false" outlineLevel="0" max="27" min="27" style="0" width="9"/>
    <col collapsed="false" customWidth="true" hidden="false" outlineLevel="0" max="28" min="28" style="0" width="12"/>
    <col collapsed="false" customWidth="true" hidden="false" outlineLevel="0" max="29" min="29" style="0" width="40"/>
  </cols>
  <sheetData>
    <row r="1" customFormat="false" ht="42" hidden="false" customHeight="true" outlineLevel="0" collapsed="false">
      <c r="A1" s="18" t="s">
        <v>73</v>
      </c>
      <c r="B1" s="18" t="s">
        <v>74</v>
      </c>
      <c r="C1" s="18" t="s">
        <v>75</v>
      </c>
      <c r="D1" s="18" t="s">
        <v>49</v>
      </c>
      <c r="E1" s="18" t="s">
        <v>76</v>
      </c>
      <c r="F1" s="18" t="s">
        <v>77</v>
      </c>
      <c r="G1" s="18" t="s">
        <v>78</v>
      </c>
      <c r="H1" s="18" t="s">
        <v>79</v>
      </c>
      <c r="I1" s="18" t="s">
        <v>80</v>
      </c>
      <c r="J1" s="18" t="s">
        <v>81</v>
      </c>
      <c r="K1" s="18" t="s">
        <v>82</v>
      </c>
      <c r="L1" s="18" t="s">
        <v>83</v>
      </c>
      <c r="M1" s="18" t="s">
        <v>84</v>
      </c>
      <c r="N1" s="18" t="s">
        <v>85</v>
      </c>
      <c r="O1" s="18" t="s">
        <v>86</v>
      </c>
      <c r="P1" s="18" t="s">
        <v>87</v>
      </c>
      <c r="Q1" s="19" t="s">
        <v>88</v>
      </c>
      <c r="R1" s="19" t="s">
        <v>89</v>
      </c>
      <c r="S1" s="18" t="s">
        <v>90</v>
      </c>
      <c r="T1" s="18" t="s">
        <v>91</v>
      </c>
      <c r="U1" s="18" t="s">
        <v>92</v>
      </c>
      <c r="V1" s="18" t="s">
        <v>93</v>
      </c>
      <c r="W1" s="18" t="s">
        <v>94</v>
      </c>
      <c r="X1" s="19" t="s">
        <v>38</v>
      </c>
      <c r="Y1" s="19" t="s">
        <v>95</v>
      </c>
      <c r="Z1" s="19" t="s">
        <v>96</v>
      </c>
      <c r="AA1" s="19" t="s">
        <v>97</v>
      </c>
      <c r="AB1" s="19" t="s">
        <v>98</v>
      </c>
      <c r="AC1" s="18" t="s">
        <v>99</v>
      </c>
    </row>
    <row r="2" customFormat="false" ht="15" hidden="false" customHeight="false" outlineLevel="0" collapsed="false">
      <c r="A2" s="20" t="n">
        <v>1</v>
      </c>
      <c r="B2" s="21" t="s">
        <v>100</v>
      </c>
      <c r="C2" s="21" t="s">
        <v>101</v>
      </c>
      <c r="D2" s="21" t="s">
        <v>60</v>
      </c>
      <c r="E2" s="21" t="s">
        <v>102</v>
      </c>
      <c r="F2" s="21" t="s">
        <v>103</v>
      </c>
      <c r="G2" s="22"/>
      <c r="H2" s="21" t="s">
        <v>104</v>
      </c>
      <c r="I2" s="21" t="s">
        <v>105</v>
      </c>
      <c r="J2" s="21"/>
      <c r="K2" s="23" t="n">
        <v>159713</v>
      </c>
      <c r="L2" s="24"/>
      <c r="M2" s="21" t="s">
        <v>106</v>
      </c>
      <c r="N2" s="21" t="s">
        <v>107</v>
      </c>
      <c r="O2" s="25"/>
      <c r="P2" s="26" t="n">
        <v>11103.79</v>
      </c>
      <c r="Q2" s="27" t="n">
        <f aca="false">IF(A2="","",SUMIF(Expenses!$B$2:$B$3000,A2,Expenses!$E$2:$E$3000))</f>
        <v>0</v>
      </c>
      <c r="R2" s="27" t="n">
        <f aca="false">IF(A2="","",N(P2)+N(Q2))</f>
        <v>11103.79</v>
      </c>
      <c r="S2" s="28"/>
      <c r="T2" s="25" t="n">
        <v>45034</v>
      </c>
      <c r="U2" s="26" t="n">
        <v>12800</v>
      </c>
      <c r="V2" s="26" t="n">
        <v>0</v>
      </c>
      <c r="W2" s="26"/>
      <c r="X2" s="27" t="n">
        <f aca="false">IF(B2&lt;&gt;"SOLD","",IF(C2="Consignment",N(W2)-R2,N(U2)-R2-N(V2)))</f>
        <v>1696.21</v>
      </c>
      <c r="Y2" s="29" t="n">
        <f aca="false">IF(OR(X2="",N(R2)=0),"",X2/R2)</f>
        <v>0.152759553269649</v>
      </c>
      <c r="Z2" s="30" t="str">
        <f aca="true">IF(O2="","",IF(T2="",TODAY(),T2)-O2)</f>
        <v/>
      </c>
      <c r="AA2" s="31" t="str">
        <f aca="false">IF(T2="","",TEXT(T2,"YYYY-MM"))</f>
        <v>2023-04</v>
      </c>
      <c r="AB2" s="27" t="n">
        <f aca="false">IF(X2="","",X2/2)</f>
        <v>848.105</v>
      </c>
      <c r="AC2" s="21"/>
    </row>
    <row r="3" customFormat="false" ht="15" hidden="false" customHeight="false" outlineLevel="0" collapsed="false">
      <c r="A3" s="20" t="n">
        <v>2</v>
      </c>
      <c r="B3" s="21" t="s">
        <v>100</v>
      </c>
      <c r="C3" s="21" t="s">
        <v>101</v>
      </c>
      <c r="D3" s="21" t="s">
        <v>61</v>
      </c>
      <c r="E3" s="21" t="s">
        <v>108</v>
      </c>
      <c r="F3" s="21" t="s">
        <v>109</v>
      </c>
      <c r="G3" s="22" t="n">
        <v>43678</v>
      </c>
      <c r="H3" s="21" t="s">
        <v>110</v>
      </c>
      <c r="I3" s="21" t="s">
        <v>111</v>
      </c>
      <c r="J3" s="21"/>
      <c r="K3" s="23" t="n">
        <v>118900</v>
      </c>
      <c r="L3" s="24"/>
      <c r="M3" s="21" t="s">
        <v>112</v>
      </c>
      <c r="N3" s="21" t="s">
        <v>113</v>
      </c>
      <c r="O3" s="25"/>
      <c r="P3" s="26" t="n">
        <v>12942.29</v>
      </c>
      <c r="Q3" s="27" t="n">
        <f aca="false">IF(A3="","",SUMIF(Expenses!$B$2:$B$3000,A3,Expenses!$E$2:$E$3000))</f>
        <v>0</v>
      </c>
      <c r="R3" s="27" t="n">
        <f aca="false">IF(A3="","",N(P3)+N(Q3))</f>
        <v>12942.29</v>
      </c>
      <c r="S3" s="28"/>
      <c r="T3" s="25" t="n">
        <v>45115</v>
      </c>
      <c r="U3" s="26" t="n">
        <v>14350</v>
      </c>
      <c r="V3" s="26" t="n">
        <v>0</v>
      </c>
      <c r="W3" s="26"/>
      <c r="X3" s="27" t="n">
        <f aca="false">IF(B3&lt;&gt;"SOLD","",IF(C3="Consignment",N(W3)-R3,N(U3)-R3-N(V3)))</f>
        <v>1407.71</v>
      </c>
      <c r="Y3" s="29" t="n">
        <f aca="false">IF(OR(X3="",N(R3)=0),"",X3/R3)</f>
        <v>0.108768231897137</v>
      </c>
      <c r="Z3" s="30" t="str">
        <f aca="true">IF(O3="","",IF(T3="",TODAY(),T3)-O3)</f>
        <v/>
      </c>
      <c r="AA3" s="31" t="str">
        <f aca="false">IF(T3="","",TEXT(T3,"YYYY-MM"))</f>
        <v>2023-07</v>
      </c>
      <c r="AB3" s="27" t="n">
        <f aca="false">IF(X3="","",X3/2)</f>
        <v>703.855</v>
      </c>
      <c r="AC3" s="21"/>
    </row>
    <row r="4" customFormat="false" ht="15" hidden="false" customHeight="false" outlineLevel="0" collapsed="false">
      <c r="A4" s="20" t="n">
        <v>3</v>
      </c>
      <c r="B4" s="21" t="s">
        <v>100</v>
      </c>
      <c r="C4" s="21" t="s">
        <v>101</v>
      </c>
      <c r="D4" s="21" t="s">
        <v>52</v>
      </c>
      <c r="E4" s="21" t="s">
        <v>114</v>
      </c>
      <c r="F4" s="21" t="s">
        <v>115</v>
      </c>
      <c r="G4" s="22" t="n">
        <v>42461</v>
      </c>
      <c r="H4" s="21" t="s">
        <v>116</v>
      </c>
      <c r="I4" s="21" t="s">
        <v>117</v>
      </c>
      <c r="J4" s="21"/>
      <c r="K4" s="23" t="n">
        <v>194400</v>
      </c>
      <c r="L4" s="24"/>
      <c r="M4" s="21" t="s">
        <v>112</v>
      </c>
      <c r="N4" s="21" t="s">
        <v>107</v>
      </c>
      <c r="O4" s="25"/>
      <c r="P4" s="26" t="n">
        <v>12955.84</v>
      </c>
      <c r="Q4" s="27" t="n">
        <f aca="false">IF(A4="","",SUMIF(Expenses!$B$2:$B$3000,A4,Expenses!$E$2:$E$3000))</f>
        <v>0</v>
      </c>
      <c r="R4" s="27" t="n">
        <f aca="false">IF(A4="","",N(P4)+N(Q4))</f>
        <v>12955.84</v>
      </c>
      <c r="S4" s="28"/>
      <c r="T4" s="25" t="n">
        <v>45236</v>
      </c>
      <c r="U4" s="26" t="n">
        <v>15400</v>
      </c>
      <c r="V4" s="26" t="n">
        <v>477.57</v>
      </c>
      <c r="W4" s="26"/>
      <c r="X4" s="27" t="n">
        <f aca="false">IF(B4&lt;&gt;"SOLD","",IF(C4="Consignment",N(W4)-R4,N(U4)-R4-N(V4)))</f>
        <v>1966.59</v>
      </c>
      <c r="Y4" s="29" t="n">
        <f aca="false">IF(OR(X4="",N(R4)=0),"",X4/R4)</f>
        <v>0.151791778842591</v>
      </c>
      <c r="Z4" s="30" t="str">
        <f aca="true">IF(O4="","",IF(T4="",TODAY(),T4)-O4)</f>
        <v/>
      </c>
      <c r="AA4" s="31" t="str">
        <f aca="false">IF(T4="","",TEXT(T4,"YYYY-MM"))</f>
        <v>2023-11</v>
      </c>
      <c r="AB4" s="27" t="n">
        <f aca="false">IF(X4="","",X4/2)</f>
        <v>983.295</v>
      </c>
      <c r="AC4" s="21"/>
    </row>
    <row r="5" customFormat="false" ht="15" hidden="false" customHeight="false" outlineLevel="0" collapsed="false">
      <c r="A5" s="20" t="n">
        <v>4</v>
      </c>
      <c r="B5" s="21" t="s">
        <v>100</v>
      </c>
      <c r="C5" s="21" t="s">
        <v>101</v>
      </c>
      <c r="D5" s="21" t="s">
        <v>56</v>
      </c>
      <c r="E5" s="21" t="s">
        <v>118</v>
      </c>
      <c r="F5" s="21" t="s">
        <v>119</v>
      </c>
      <c r="G5" s="22" t="n">
        <v>41395</v>
      </c>
      <c r="H5" s="21" t="s">
        <v>120</v>
      </c>
      <c r="I5" s="21" t="s">
        <v>121</v>
      </c>
      <c r="J5" s="21"/>
      <c r="K5" s="23" t="n">
        <v>146187</v>
      </c>
      <c r="L5" s="24"/>
      <c r="M5" s="21" t="s">
        <v>122</v>
      </c>
      <c r="N5" s="21" t="s">
        <v>107</v>
      </c>
      <c r="O5" s="25"/>
      <c r="P5" s="26" t="n">
        <v>12873.79</v>
      </c>
      <c r="Q5" s="27" t="n">
        <f aca="false">IF(A5="","",SUMIF(Expenses!$B$2:$B$3000,A5,Expenses!$E$2:$E$3000))</f>
        <v>0</v>
      </c>
      <c r="R5" s="27" t="n">
        <f aca="false">IF(A5="","",N(P5)+N(Q5))</f>
        <v>12873.79</v>
      </c>
      <c r="S5" s="28"/>
      <c r="T5" s="25" t="n">
        <v>45120</v>
      </c>
      <c r="U5" s="26" t="n">
        <v>13950</v>
      </c>
      <c r="V5" s="26" t="n">
        <v>0</v>
      </c>
      <c r="W5" s="26"/>
      <c r="X5" s="27" t="n">
        <f aca="false">IF(B5&lt;&gt;"SOLD","",IF(C5="Consignment",N(W5)-R5,N(U5)-R5-N(V5)))</f>
        <v>1076.21</v>
      </c>
      <c r="Y5" s="29" t="n">
        <f aca="false">IF(OR(X5="",N(R5)=0),"",X5/R5)</f>
        <v>0.0835969827067242</v>
      </c>
      <c r="Z5" s="30" t="str">
        <f aca="true">IF(O5="","",IF(T5="",TODAY(),T5)-O5)</f>
        <v/>
      </c>
      <c r="AA5" s="31" t="str">
        <f aca="false">IF(T5="","",TEXT(T5,"YYYY-MM"))</f>
        <v>2023-07</v>
      </c>
      <c r="AB5" s="27" t="n">
        <f aca="false">IF(X5="","",X5/2)</f>
        <v>538.105</v>
      </c>
      <c r="AC5" s="21"/>
    </row>
    <row r="6" customFormat="false" ht="15" hidden="false" customHeight="false" outlineLevel="0" collapsed="false">
      <c r="A6" s="20" t="n">
        <v>5</v>
      </c>
      <c r="B6" s="21" t="s">
        <v>100</v>
      </c>
      <c r="C6" s="21" t="s">
        <v>101</v>
      </c>
      <c r="D6" s="21" t="s">
        <v>52</v>
      </c>
      <c r="E6" s="21" t="s">
        <v>123</v>
      </c>
      <c r="F6" s="21" t="s">
        <v>124</v>
      </c>
      <c r="G6" s="22" t="n">
        <v>43009</v>
      </c>
      <c r="H6" s="21" t="s">
        <v>125</v>
      </c>
      <c r="I6" s="21" t="s">
        <v>111</v>
      </c>
      <c r="J6" s="21"/>
      <c r="K6" s="23" t="n">
        <v>178383</v>
      </c>
      <c r="L6" s="24"/>
      <c r="M6" s="21" t="s">
        <v>126</v>
      </c>
      <c r="N6" s="21" t="s">
        <v>113</v>
      </c>
      <c r="O6" s="25"/>
      <c r="P6" s="26" t="n">
        <v>15569</v>
      </c>
      <c r="Q6" s="27" t="n">
        <f aca="false">IF(A6="","",SUMIF(Expenses!$B$2:$B$3000,A6,Expenses!$E$2:$E$3000))</f>
        <v>0</v>
      </c>
      <c r="R6" s="27" t="n">
        <f aca="false">IF(A6="","",N(P6)+N(Q6))</f>
        <v>15569</v>
      </c>
      <c r="S6" s="28"/>
      <c r="T6" s="25" t="n">
        <v>45215</v>
      </c>
      <c r="U6" s="26" t="n">
        <v>17000</v>
      </c>
      <c r="V6" s="26" t="n">
        <v>0</v>
      </c>
      <c r="W6" s="26"/>
      <c r="X6" s="27" t="n">
        <f aca="false">IF(B6&lt;&gt;"SOLD","",IF(C6="Consignment",N(W6)-R6,N(U6)-R6-N(V6)))</f>
        <v>1431</v>
      </c>
      <c r="Y6" s="29" t="n">
        <f aca="false">IF(OR(X6="",N(R6)=0),"",X6/R6)</f>
        <v>0.0919134176889974</v>
      </c>
      <c r="Z6" s="30" t="str">
        <f aca="true">IF(O6="","",IF(T6="",TODAY(),T6)-O6)</f>
        <v/>
      </c>
      <c r="AA6" s="31" t="str">
        <f aca="false">IF(T6="","",TEXT(T6,"YYYY-MM"))</f>
        <v>2023-10</v>
      </c>
      <c r="AB6" s="27" t="n">
        <f aca="false">IF(X6="","",X6/2)</f>
        <v>715.5</v>
      </c>
      <c r="AC6" s="21"/>
    </row>
    <row r="7" customFormat="false" ht="15" hidden="false" customHeight="false" outlineLevel="0" collapsed="false">
      <c r="A7" s="20" t="n">
        <v>6</v>
      </c>
      <c r="B7" s="21" t="s">
        <v>100</v>
      </c>
      <c r="C7" s="21" t="s">
        <v>101</v>
      </c>
      <c r="D7" s="21" t="s">
        <v>51</v>
      </c>
      <c r="E7" s="21" t="s">
        <v>127</v>
      </c>
      <c r="F7" s="21" t="s">
        <v>128</v>
      </c>
      <c r="G7" s="22" t="n">
        <v>43678</v>
      </c>
      <c r="H7" s="21" t="s">
        <v>116</v>
      </c>
      <c r="I7" s="21" t="s">
        <v>129</v>
      </c>
      <c r="J7" s="21"/>
      <c r="K7" s="23" t="n">
        <v>188761</v>
      </c>
      <c r="L7" s="24"/>
      <c r="M7" s="21" t="s">
        <v>122</v>
      </c>
      <c r="N7" s="21" t="s">
        <v>113</v>
      </c>
      <c r="O7" s="25"/>
      <c r="P7" s="26" t="n">
        <v>14594</v>
      </c>
      <c r="Q7" s="27" t="n">
        <f aca="false">IF(A7="","",SUMIF(Expenses!$B$2:$B$3000,A7,Expenses!$E$2:$E$3000))</f>
        <v>0</v>
      </c>
      <c r="R7" s="27" t="n">
        <f aca="false">IF(A7="","",N(P7)+N(Q7))</f>
        <v>14594</v>
      </c>
      <c r="S7" s="28"/>
      <c r="T7" s="25" t="n">
        <v>45209</v>
      </c>
      <c r="U7" s="26" t="n">
        <v>16050</v>
      </c>
      <c r="V7" s="26" t="n">
        <v>0</v>
      </c>
      <c r="W7" s="26"/>
      <c r="X7" s="27" t="n">
        <f aca="false">IF(B7&lt;&gt;"SOLD","",IF(C7="Consignment",N(W7)-R7,N(U7)-R7-N(V7)))</f>
        <v>1456</v>
      </c>
      <c r="Y7" s="29" t="n">
        <f aca="false">IF(OR(X7="",N(R7)=0),"",X7/R7)</f>
        <v>0.0997670275455667</v>
      </c>
      <c r="Z7" s="30" t="str">
        <f aca="true">IF(O7="","",IF(T7="",TODAY(),T7)-O7)</f>
        <v/>
      </c>
      <c r="AA7" s="31" t="str">
        <f aca="false">IF(T7="","",TEXT(T7,"YYYY-MM"))</f>
        <v>2023-10</v>
      </c>
      <c r="AB7" s="27" t="n">
        <f aca="false">IF(X7="","",X7/2)</f>
        <v>728</v>
      </c>
      <c r="AC7" s="21"/>
    </row>
    <row r="8" customFormat="false" ht="15" hidden="false" customHeight="false" outlineLevel="0" collapsed="false">
      <c r="A8" s="20" t="n">
        <v>7</v>
      </c>
      <c r="B8" s="21" t="s">
        <v>130</v>
      </c>
      <c r="C8" s="21" t="s">
        <v>101</v>
      </c>
      <c r="D8" s="21" t="s">
        <v>54</v>
      </c>
      <c r="E8" s="21" t="s">
        <v>131</v>
      </c>
      <c r="F8" s="21" t="s">
        <v>132</v>
      </c>
      <c r="G8" s="22" t="n">
        <v>43282</v>
      </c>
      <c r="H8" s="21" t="s">
        <v>116</v>
      </c>
      <c r="I8" s="21" t="s">
        <v>129</v>
      </c>
      <c r="J8" s="21"/>
      <c r="K8" s="23" t="n">
        <v>177534</v>
      </c>
      <c r="L8" s="24"/>
      <c r="M8" s="21" t="s">
        <v>133</v>
      </c>
      <c r="N8" s="21" t="s">
        <v>113</v>
      </c>
      <c r="O8" s="25"/>
      <c r="P8" s="26" t="n">
        <v>12945</v>
      </c>
      <c r="Q8" s="27" t="n">
        <f aca="false">IF(A8="","",SUMIF(Expenses!$B$2:$B$3000,A8,Expenses!$E$2:$E$3000))</f>
        <v>0</v>
      </c>
      <c r="R8" s="27" t="n">
        <f aca="false">IF(A8="","",N(P8)+N(Q8))</f>
        <v>12945</v>
      </c>
      <c r="S8" s="28"/>
      <c r="T8" s="25"/>
      <c r="U8" s="26"/>
      <c r="V8" s="26"/>
      <c r="W8" s="26"/>
      <c r="X8" s="27" t="str">
        <f aca="false">IF(B8&lt;&gt;"SOLD","",IF(C8="Consignment",N(W8)-R8,N(U8)-R8-N(V8)))</f>
        <v/>
      </c>
      <c r="Y8" s="29" t="str">
        <f aca="false">IF(OR(X8="",N(R8)=0),"",X8/R8)</f>
        <v/>
      </c>
      <c r="Z8" s="30" t="str">
        <f aca="true">IF(O8="","",IF(T8="",TODAY(),T8)-O8)</f>
        <v/>
      </c>
      <c r="AA8" s="31" t="str">
        <f aca="false">IF(T8="","",TEXT(T8,"YYYY-MM"))</f>
        <v/>
      </c>
      <c r="AB8" s="27" t="str">
        <f aca="false">IF(X8="","",X8/2)</f>
        <v/>
      </c>
      <c r="AC8" s="21"/>
    </row>
    <row r="9" customFormat="false" ht="15" hidden="false" customHeight="false" outlineLevel="0" collapsed="false">
      <c r="A9" s="20" t="n">
        <v>8</v>
      </c>
      <c r="B9" s="21" t="s">
        <v>100</v>
      </c>
      <c r="C9" s="21" t="s">
        <v>101</v>
      </c>
      <c r="D9" s="21" t="s">
        <v>52</v>
      </c>
      <c r="E9" s="21" t="s">
        <v>134</v>
      </c>
      <c r="F9" s="21" t="s">
        <v>124</v>
      </c>
      <c r="G9" s="22" t="n">
        <v>43160</v>
      </c>
      <c r="H9" s="21" t="s">
        <v>135</v>
      </c>
      <c r="I9" s="21" t="s">
        <v>129</v>
      </c>
      <c r="J9" s="21"/>
      <c r="K9" s="23" t="n">
        <v>188436</v>
      </c>
      <c r="L9" s="24"/>
      <c r="M9" s="21" t="s">
        <v>126</v>
      </c>
      <c r="N9" s="21" t="s">
        <v>113</v>
      </c>
      <c r="O9" s="25"/>
      <c r="P9" s="26" t="n">
        <v>10029.6</v>
      </c>
      <c r="Q9" s="27" t="n">
        <f aca="false">IF(A9="","",SUMIF(Expenses!$B$2:$B$3000,A9,Expenses!$E$2:$E$3000))</f>
        <v>0</v>
      </c>
      <c r="R9" s="27" t="n">
        <f aca="false">IF(A9="","",N(P9)+N(Q9))</f>
        <v>10029.6</v>
      </c>
      <c r="S9" s="28"/>
      <c r="T9" s="25" t="n">
        <v>45238</v>
      </c>
      <c r="U9" s="26" t="n">
        <v>11000</v>
      </c>
      <c r="V9" s="26" t="n">
        <v>0</v>
      </c>
      <c r="W9" s="26"/>
      <c r="X9" s="27" t="n">
        <f aca="false">IF(B9&lt;&gt;"SOLD","",IF(C9="Consignment",N(W9)-R9,N(U9)-R9-N(V9)))</f>
        <v>970.4</v>
      </c>
      <c r="Y9" s="29" t="n">
        <f aca="false">IF(OR(X9="",N(R9)=0),"",X9/R9)</f>
        <v>0.0967536093164234</v>
      </c>
      <c r="Z9" s="30" t="str">
        <f aca="true">IF(O9="","",IF(T9="",TODAY(),T9)-O9)</f>
        <v/>
      </c>
      <c r="AA9" s="31" t="str">
        <f aca="false">IF(T9="","",TEXT(T9,"YYYY-MM"))</f>
        <v>2023-11</v>
      </c>
      <c r="AB9" s="27" t="n">
        <f aca="false">IF(X9="","",X9/2)</f>
        <v>485.2</v>
      </c>
      <c r="AC9" s="21"/>
    </row>
    <row r="10" customFormat="false" ht="15" hidden="false" customHeight="false" outlineLevel="0" collapsed="false">
      <c r="A10" s="20" t="n">
        <v>9</v>
      </c>
      <c r="B10" s="21" t="s">
        <v>100</v>
      </c>
      <c r="C10" s="21" t="s">
        <v>101</v>
      </c>
      <c r="D10" s="21" t="s">
        <v>51</v>
      </c>
      <c r="E10" s="21" t="s">
        <v>136</v>
      </c>
      <c r="F10" s="21" t="s">
        <v>137</v>
      </c>
      <c r="G10" s="22" t="n">
        <v>42767</v>
      </c>
      <c r="H10" s="21" t="s">
        <v>116</v>
      </c>
      <c r="I10" s="21" t="s">
        <v>117</v>
      </c>
      <c r="J10" s="21"/>
      <c r="K10" s="23" t="n">
        <v>185900</v>
      </c>
      <c r="L10" s="24"/>
      <c r="M10" s="21" t="s">
        <v>138</v>
      </c>
      <c r="N10" s="21" t="s">
        <v>113</v>
      </c>
      <c r="O10" s="25"/>
      <c r="P10" s="26" t="n">
        <v>13622</v>
      </c>
      <c r="Q10" s="27" t="n">
        <f aca="false">IF(A10="","",SUMIF(Expenses!$B$2:$B$3000,A10,Expenses!$E$2:$E$3000))</f>
        <v>0</v>
      </c>
      <c r="R10" s="27" t="n">
        <f aca="false">IF(A10="","",N(P10)+N(Q10))</f>
        <v>13622</v>
      </c>
      <c r="S10" s="28"/>
      <c r="T10" s="25" t="n">
        <v>45289</v>
      </c>
      <c r="U10" s="26" t="n">
        <v>14850</v>
      </c>
      <c r="V10" s="26" t="n">
        <v>0</v>
      </c>
      <c r="W10" s="26"/>
      <c r="X10" s="27" t="n">
        <f aca="false">IF(B10&lt;&gt;"SOLD","",IF(C10="Consignment",N(W10)-R10,N(U10)-R10-N(V10)))</f>
        <v>1228</v>
      </c>
      <c r="Y10" s="29" t="n">
        <f aca="false">IF(OR(X10="",N(R10)=0),"",X10/R10)</f>
        <v>0.09014828953164</v>
      </c>
      <c r="Z10" s="30" t="str">
        <f aca="true">IF(O10="","",IF(T10="",TODAY(),T10)-O10)</f>
        <v/>
      </c>
      <c r="AA10" s="31" t="str">
        <f aca="false">IF(T10="","",TEXT(T10,"YYYY-MM"))</f>
        <v>2023-12</v>
      </c>
      <c r="AB10" s="27" t="n">
        <f aca="false">IF(X10="","",X10/2)</f>
        <v>614</v>
      </c>
      <c r="AC10" s="21"/>
    </row>
    <row r="11" customFormat="false" ht="15" hidden="false" customHeight="false" outlineLevel="0" collapsed="false">
      <c r="A11" s="20" t="n">
        <v>10</v>
      </c>
      <c r="B11" s="21" t="s">
        <v>100</v>
      </c>
      <c r="C11" s="21" t="s">
        <v>101</v>
      </c>
      <c r="D11" s="21" t="s">
        <v>51</v>
      </c>
      <c r="E11" s="21" t="s">
        <v>139</v>
      </c>
      <c r="F11" s="21" t="s">
        <v>140</v>
      </c>
      <c r="G11" s="22" t="n">
        <v>42248</v>
      </c>
      <c r="H11" s="21" t="s">
        <v>141</v>
      </c>
      <c r="I11" s="21" t="s">
        <v>129</v>
      </c>
      <c r="J11" s="21"/>
      <c r="K11" s="23" t="n">
        <v>187200</v>
      </c>
      <c r="L11" s="24"/>
      <c r="M11" s="21" t="s">
        <v>126</v>
      </c>
      <c r="N11" s="21" t="s">
        <v>113</v>
      </c>
      <c r="O11" s="25" t="n">
        <v>45232</v>
      </c>
      <c r="P11" s="26" t="n">
        <v>12362.56</v>
      </c>
      <c r="Q11" s="27" t="n">
        <f aca="false">IF(A11="","",SUMIF(Expenses!$B$2:$B$3000,A11,Expenses!$E$2:$E$3000))</f>
        <v>0</v>
      </c>
      <c r="R11" s="27" t="n">
        <f aca="false">IF(A11="","",N(P11)+N(Q11))</f>
        <v>12362.56</v>
      </c>
      <c r="S11" s="28"/>
      <c r="T11" s="25" t="n">
        <v>45449</v>
      </c>
      <c r="U11" s="26" t="n">
        <v>12900</v>
      </c>
      <c r="V11" s="26" t="n">
        <v>2066.44</v>
      </c>
      <c r="W11" s="26"/>
      <c r="X11" s="27" t="n">
        <f aca="false">IF(B11&lt;&gt;"SOLD","",IF(C11="Consignment",N(W11)-R11,N(U11)-R11-N(V11)))</f>
        <v>-1529</v>
      </c>
      <c r="Y11" s="29" t="n">
        <f aca="false">IF(OR(X11="",N(R11)=0),"",X11/R11)</f>
        <v>-0.123679885072347</v>
      </c>
      <c r="Z11" s="30" t="n">
        <f aca="true">IF(O11="","",IF(T11="",TODAY(),T11)-O11)</f>
        <v>217</v>
      </c>
      <c r="AA11" s="31" t="str">
        <f aca="false">IF(T11="","",TEXT(T11,"YYYY-MM"))</f>
        <v>2024-06</v>
      </c>
      <c r="AB11" s="27" t="n">
        <f aca="false">IF(X11="","",X11/2)</f>
        <v>-764.5</v>
      </c>
      <c r="AC11" s="21"/>
    </row>
    <row r="12" customFormat="false" ht="15" hidden="false" customHeight="false" outlineLevel="0" collapsed="false">
      <c r="A12" s="20" t="n">
        <v>11</v>
      </c>
      <c r="B12" s="21" t="s">
        <v>100</v>
      </c>
      <c r="C12" s="21" t="s">
        <v>101</v>
      </c>
      <c r="D12" s="21" t="s">
        <v>51</v>
      </c>
      <c r="E12" s="21" t="s">
        <v>142</v>
      </c>
      <c r="F12" s="21" t="s">
        <v>128</v>
      </c>
      <c r="G12" s="22" t="n">
        <v>43101</v>
      </c>
      <c r="H12" s="21" t="s">
        <v>141</v>
      </c>
      <c r="I12" s="21" t="s">
        <v>129</v>
      </c>
      <c r="J12" s="21"/>
      <c r="K12" s="23" t="n">
        <v>151400</v>
      </c>
      <c r="L12" s="24"/>
      <c r="M12" s="21" t="s">
        <v>126</v>
      </c>
      <c r="N12" s="21" t="s">
        <v>107</v>
      </c>
      <c r="O12" s="25" t="n">
        <v>45236</v>
      </c>
      <c r="P12" s="26" t="n">
        <v>17778.05</v>
      </c>
      <c r="Q12" s="27" t="n">
        <f aca="false">IF(A12="","",SUMIF(Expenses!$B$2:$B$3000,A12,Expenses!$E$2:$E$3000))</f>
        <v>0</v>
      </c>
      <c r="R12" s="27" t="n">
        <f aca="false">IF(A12="","",N(P12)+N(Q12))</f>
        <v>17778.05</v>
      </c>
      <c r="S12" s="28"/>
      <c r="T12" s="25" t="n">
        <v>45400</v>
      </c>
      <c r="U12" s="26" t="n">
        <v>18390</v>
      </c>
      <c r="V12" s="26" t="n">
        <v>-0.05</v>
      </c>
      <c r="W12" s="26"/>
      <c r="X12" s="27" t="n">
        <f aca="false">IF(B12&lt;&gt;"SOLD","",IF(C12="Consignment",N(W12)-R12,N(U12)-R12-N(V12)))</f>
        <v>612.000000000001</v>
      </c>
      <c r="Y12" s="29" t="n">
        <f aca="false">IF(OR(X12="",N(R12)=0),"",X12/R12)</f>
        <v>0.0344244728752591</v>
      </c>
      <c r="Z12" s="30" t="n">
        <f aca="true">IF(O12="","",IF(T12="",TODAY(),T12)-O12)</f>
        <v>164</v>
      </c>
      <c r="AA12" s="31" t="str">
        <f aca="false">IF(T12="","",TEXT(T12,"YYYY-MM"))</f>
        <v>2024-04</v>
      </c>
      <c r="AB12" s="27" t="n">
        <f aca="false">IF(X12="","",X12/2)</f>
        <v>306</v>
      </c>
      <c r="AC12" s="21"/>
    </row>
    <row r="13" customFormat="false" ht="15" hidden="false" customHeight="false" outlineLevel="0" collapsed="false">
      <c r="A13" s="20" t="n">
        <v>12</v>
      </c>
      <c r="B13" s="21" t="s">
        <v>100</v>
      </c>
      <c r="C13" s="21" t="s">
        <v>101</v>
      </c>
      <c r="D13" s="21" t="s">
        <v>52</v>
      </c>
      <c r="E13" s="21" t="s">
        <v>123</v>
      </c>
      <c r="F13" s="21" t="s">
        <v>115</v>
      </c>
      <c r="G13" s="22" t="n">
        <v>42887</v>
      </c>
      <c r="H13" s="21" t="s">
        <v>143</v>
      </c>
      <c r="I13" s="21" t="s">
        <v>117</v>
      </c>
      <c r="J13" s="21"/>
      <c r="K13" s="23" t="n">
        <v>154100</v>
      </c>
      <c r="L13" s="24"/>
      <c r="M13" s="21" t="s">
        <v>144</v>
      </c>
      <c r="N13" s="21" t="s">
        <v>107</v>
      </c>
      <c r="O13" s="25" t="n">
        <v>45233</v>
      </c>
      <c r="P13" s="26" t="n">
        <v>18000.19</v>
      </c>
      <c r="Q13" s="27" t="n">
        <f aca="false">IF(A13="","",SUMIF(Expenses!$B$2:$B$3000,A13,Expenses!$E$2:$E$3000))</f>
        <v>0</v>
      </c>
      <c r="R13" s="27" t="n">
        <f aca="false">IF(A13="","",N(P13)+N(Q13))</f>
        <v>18000.19</v>
      </c>
      <c r="S13" s="28"/>
      <c r="T13" s="25" t="n">
        <v>45380</v>
      </c>
      <c r="U13" s="26" t="n">
        <v>20500</v>
      </c>
      <c r="V13" s="26" t="n">
        <v>-0.19</v>
      </c>
      <c r="W13" s="26"/>
      <c r="X13" s="27" t="n">
        <f aca="false">IF(B13&lt;&gt;"SOLD","",IF(C13="Consignment",N(W13)-R13,N(U13)-R13-N(V13)))</f>
        <v>2500</v>
      </c>
      <c r="Y13" s="29" t="n">
        <f aca="false">IF(OR(X13="",N(R13)=0),"",X13/R13)</f>
        <v>0.138887422854981</v>
      </c>
      <c r="Z13" s="30" t="n">
        <f aca="true">IF(O13="","",IF(T13="",TODAY(),T13)-O13)</f>
        <v>147</v>
      </c>
      <c r="AA13" s="31" t="str">
        <f aca="false">IF(T13="","",TEXT(T13,"YYYY-MM"))</f>
        <v>2024-03</v>
      </c>
      <c r="AB13" s="27" t="n">
        <f aca="false">IF(X13="","",X13/2)</f>
        <v>1250</v>
      </c>
      <c r="AC13" s="21"/>
    </row>
    <row r="14" customFormat="false" ht="15" hidden="false" customHeight="false" outlineLevel="0" collapsed="false">
      <c r="A14" s="20" t="n">
        <v>13</v>
      </c>
      <c r="B14" s="21" t="s">
        <v>100</v>
      </c>
      <c r="C14" s="21" t="s">
        <v>101</v>
      </c>
      <c r="D14" s="21" t="s">
        <v>53</v>
      </c>
      <c r="E14" s="21" t="s">
        <v>145</v>
      </c>
      <c r="F14" s="21" t="s">
        <v>115</v>
      </c>
      <c r="G14" s="22" t="n">
        <v>43862</v>
      </c>
      <c r="H14" s="21" t="s">
        <v>135</v>
      </c>
      <c r="I14" s="21" t="s">
        <v>111</v>
      </c>
      <c r="J14" s="21"/>
      <c r="K14" s="23" t="n">
        <v>176499</v>
      </c>
      <c r="L14" s="24"/>
      <c r="M14" s="21" t="s">
        <v>126</v>
      </c>
      <c r="N14" s="21" t="s">
        <v>113</v>
      </c>
      <c r="O14" s="25" t="n">
        <v>45243</v>
      </c>
      <c r="P14" s="26" t="n">
        <v>13424</v>
      </c>
      <c r="Q14" s="27" t="n">
        <f aca="false">IF(A14="","",SUMIF(Expenses!$B$2:$B$3000,A14,Expenses!$E$2:$E$3000))</f>
        <v>0</v>
      </c>
      <c r="R14" s="27" t="n">
        <f aca="false">IF(A14="","",N(P14)+N(Q14))</f>
        <v>13424</v>
      </c>
      <c r="S14" s="28"/>
      <c r="T14" s="25" t="n">
        <v>45386</v>
      </c>
      <c r="U14" s="26" t="n">
        <v>13990</v>
      </c>
      <c r="V14" s="26" t="n">
        <v>-10</v>
      </c>
      <c r="W14" s="26"/>
      <c r="X14" s="27" t="n">
        <f aca="false">IF(B14&lt;&gt;"SOLD","",IF(C14="Consignment",N(W14)-R14,N(U14)-R14-N(V14)))</f>
        <v>576</v>
      </c>
      <c r="Y14" s="29" t="n">
        <f aca="false">IF(OR(X14="",N(R14)=0),"",X14/R14)</f>
        <v>0.0429082240762813</v>
      </c>
      <c r="Z14" s="30" t="n">
        <f aca="true">IF(O14="","",IF(T14="",TODAY(),T14)-O14)</f>
        <v>143</v>
      </c>
      <c r="AA14" s="31" t="str">
        <f aca="false">IF(T14="","",TEXT(T14,"YYYY-MM"))</f>
        <v>2024-04</v>
      </c>
      <c r="AB14" s="27" t="n">
        <f aca="false">IF(X14="","",X14/2)</f>
        <v>288</v>
      </c>
      <c r="AC14" s="21"/>
    </row>
    <row r="15" customFormat="false" ht="15" hidden="false" customHeight="false" outlineLevel="0" collapsed="false">
      <c r="A15" s="20" t="n">
        <v>15</v>
      </c>
      <c r="B15" s="21" t="s">
        <v>100</v>
      </c>
      <c r="C15" s="21" t="s">
        <v>101</v>
      </c>
      <c r="D15" s="21" t="s">
        <v>53</v>
      </c>
      <c r="E15" s="21" t="s">
        <v>146</v>
      </c>
      <c r="F15" s="21" t="s">
        <v>115</v>
      </c>
      <c r="G15" s="22" t="n">
        <v>43497</v>
      </c>
      <c r="H15" s="21" t="s">
        <v>147</v>
      </c>
      <c r="I15" s="21" t="s">
        <v>111</v>
      </c>
      <c r="J15" s="21"/>
      <c r="K15" s="23" t="n">
        <v>67396</v>
      </c>
      <c r="L15" s="24"/>
      <c r="M15" s="21" t="s">
        <v>112</v>
      </c>
      <c r="N15" s="21" t="s">
        <v>107</v>
      </c>
      <c r="O15" s="25" t="n">
        <v>45251</v>
      </c>
      <c r="P15" s="26" t="n">
        <v>12564.68</v>
      </c>
      <c r="Q15" s="27" t="n">
        <f aca="false">IF(A15="","",SUMIF(Expenses!$B$2:$B$3000,A15,Expenses!$E$2:$E$3000))</f>
        <v>0</v>
      </c>
      <c r="R15" s="27" t="n">
        <f aca="false">IF(A15="","",N(P15)+N(Q15))</f>
        <v>12564.68</v>
      </c>
      <c r="S15" s="28"/>
      <c r="T15" s="25" t="n">
        <v>45339</v>
      </c>
      <c r="U15" s="26" t="n">
        <v>14500</v>
      </c>
      <c r="V15" s="26" t="n">
        <v>0.32</v>
      </c>
      <c r="W15" s="26"/>
      <c r="X15" s="27" t="n">
        <f aca="false">IF(B15&lt;&gt;"SOLD","",IF(C15="Consignment",N(W15)-R15,N(U15)-R15-N(V15)))</f>
        <v>1935</v>
      </c>
      <c r="Y15" s="29" t="n">
        <f aca="false">IF(OR(X15="",N(R15)=0),"",X15/R15)</f>
        <v>0.154003126223668</v>
      </c>
      <c r="Z15" s="30" t="n">
        <f aca="true">IF(O15="","",IF(T15="",TODAY(),T15)-O15)</f>
        <v>88</v>
      </c>
      <c r="AA15" s="31" t="str">
        <f aca="false">IF(T15="","",TEXT(T15,"YYYY-MM"))</f>
        <v>2024-02</v>
      </c>
      <c r="AB15" s="27" t="n">
        <f aca="false">IF(X15="","",X15/2)</f>
        <v>967.5</v>
      </c>
      <c r="AC15" s="21"/>
    </row>
    <row r="16" customFormat="false" ht="15" hidden="false" customHeight="false" outlineLevel="0" collapsed="false">
      <c r="A16" s="20" t="n">
        <v>16</v>
      </c>
      <c r="B16" s="21" t="s">
        <v>100</v>
      </c>
      <c r="C16" s="21" t="s">
        <v>101</v>
      </c>
      <c r="D16" s="21" t="s">
        <v>54</v>
      </c>
      <c r="E16" s="21" t="s">
        <v>131</v>
      </c>
      <c r="F16" s="21" t="s">
        <v>132</v>
      </c>
      <c r="G16" s="22" t="n">
        <v>42370</v>
      </c>
      <c r="H16" s="21" t="s">
        <v>116</v>
      </c>
      <c r="I16" s="21" t="s">
        <v>129</v>
      </c>
      <c r="J16" s="21"/>
      <c r="K16" s="23" t="n">
        <v>211000</v>
      </c>
      <c r="L16" s="24"/>
      <c r="M16" s="21" t="s">
        <v>148</v>
      </c>
      <c r="N16" s="21" t="s">
        <v>113</v>
      </c>
      <c r="O16" s="25" t="n">
        <v>45352</v>
      </c>
      <c r="P16" s="26" t="n">
        <v>9898.67</v>
      </c>
      <c r="Q16" s="27" t="n">
        <f aca="false">IF(A16="","",SUMIF(Expenses!$B$2:$B$3000,A16,Expenses!$E$2:$E$3000))</f>
        <v>0</v>
      </c>
      <c r="R16" s="27" t="n">
        <f aca="false">IF(A16="","",N(P16)+N(Q16))</f>
        <v>9898.67</v>
      </c>
      <c r="S16" s="28"/>
      <c r="T16" s="25" t="n">
        <v>45384</v>
      </c>
      <c r="U16" s="26" t="n">
        <v>14000</v>
      </c>
      <c r="V16" s="26" t="n">
        <v>2333.33</v>
      </c>
      <c r="W16" s="26"/>
      <c r="X16" s="27" t="n">
        <f aca="false">IF(B16&lt;&gt;"SOLD","",IF(C16="Consignment",N(W16)-R16,N(U16)-R16-N(V16)))</f>
        <v>1768</v>
      </c>
      <c r="Y16" s="29" t="n">
        <f aca="false">IF(OR(X16="",N(R16)=0),"",X16/R16)</f>
        <v>0.178609853647005</v>
      </c>
      <c r="Z16" s="30" t="n">
        <f aca="true">IF(O16="","",IF(T16="",TODAY(),T16)-O16)</f>
        <v>32</v>
      </c>
      <c r="AA16" s="31" t="str">
        <f aca="false">IF(T16="","",TEXT(T16,"YYYY-MM"))</f>
        <v>2024-04</v>
      </c>
      <c r="AB16" s="27" t="n">
        <f aca="false">IF(X16="","",X16/2)</f>
        <v>884</v>
      </c>
      <c r="AC16" s="21"/>
    </row>
    <row r="17" customFormat="false" ht="15" hidden="false" customHeight="false" outlineLevel="0" collapsed="false">
      <c r="A17" s="20" t="n">
        <v>17</v>
      </c>
      <c r="B17" s="21" t="s">
        <v>100</v>
      </c>
      <c r="C17" s="21" t="s">
        <v>101</v>
      </c>
      <c r="D17" s="21" t="s">
        <v>66</v>
      </c>
      <c r="E17" s="21" t="s">
        <v>149</v>
      </c>
      <c r="F17" s="21" t="s">
        <v>150</v>
      </c>
      <c r="G17" s="22" t="n">
        <v>43009</v>
      </c>
      <c r="H17" s="21" t="s">
        <v>151</v>
      </c>
      <c r="I17" s="21" t="s">
        <v>152</v>
      </c>
      <c r="J17" s="21"/>
      <c r="K17" s="23" t="n">
        <v>196000</v>
      </c>
      <c r="L17" s="24"/>
      <c r="M17" s="21" t="s">
        <v>122</v>
      </c>
      <c r="N17" s="21" t="s">
        <v>107</v>
      </c>
      <c r="O17" s="25" t="n">
        <v>45380</v>
      </c>
      <c r="P17" s="26" t="n">
        <v>13305</v>
      </c>
      <c r="Q17" s="27" t="n">
        <f aca="false">IF(A17="","",SUMIF(Expenses!$B$2:$B$3000,A17,Expenses!$E$2:$E$3000))</f>
        <v>0</v>
      </c>
      <c r="R17" s="27" t="n">
        <f aca="false">IF(A17="","",N(P17)+N(Q17))</f>
        <v>13305</v>
      </c>
      <c r="S17" s="28"/>
      <c r="T17" s="25" t="n">
        <v>45418</v>
      </c>
      <c r="U17" s="26" t="n">
        <v>13900</v>
      </c>
      <c r="V17" s="26" t="n">
        <v>0</v>
      </c>
      <c r="W17" s="26"/>
      <c r="X17" s="27" t="n">
        <f aca="false">IF(B17&lt;&gt;"SOLD","",IF(C17="Consignment",N(W17)-R17,N(U17)-R17-N(V17)))</f>
        <v>595</v>
      </c>
      <c r="Y17" s="29" t="n">
        <f aca="false">IF(OR(X17="",N(R17)=0),"",X17/R17)</f>
        <v>0.0447200300638858</v>
      </c>
      <c r="Z17" s="30" t="n">
        <f aca="true">IF(O17="","",IF(T17="",TODAY(),T17)-O17)</f>
        <v>38</v>
      </c>
      <c r="AA17" s="31" t="str">
        <f aca="false">IF(T17="","",TEXT(T17,"YYYY-MM"))</f>
        <v>2024-05</v>
      </c>
      <c r="AB17" s="27" t="n">
        <f aca="false">IF(X17="","",X17/2)</f>
        <v>297.5</v>
      </c>
      <c r="AC17" s="21"/>
    </row>
    <row r="18" customFormat="false" ht="15" hidden="false" customHeight="false" outlineLevel="0" collapsed="false">
      <c r="A18" s="20" t="n">
        <v>18</v>
      </c>
      <c r="B18" s="21" t="s">
        <v>100</v>
      </c>
      <c r="C18" s="21" t="s">
        <v>101</v>
      </c>
      <c r="D18" s="21" t="s">
        <v>55</v>
      </c>
      <c r="E18" s="21" t="s">
        <v>153</v>
      </c>
      <c r="F18" s="21" t="s">
        <v>154</v>
      </c>
      <c r="G18" s="22" t="n">
        <v>43009</v>
      </c>
      <c r="H18" s="21" t="s">
        <v>155</v>
      </c>
      <c r="I18" s="21" t="s">
        <v>156</v>
      </c>
      <c r="J18" s="21"/>
      <c r="K18" s="23" t="n">
        <v>212000</v>
      </c>
      <c r="L18" s="24"/>
      <c r="M18" s="21" t="s">
        <v>148</v>
      </c>
      <c r="N18" s="21" t="s">
        <v>113</v>
      </c>
      <c r="O18" s="25" t="n">
        <v>45394</v>
      </c>
      <c r="P18" s="26" t="n">
        <v>11629</v>
      </c>
      <c r="Q18" s="27" t="n">
        <f aca="false">IF(A18="","",SUMIF(Expenses!$B$2:$B$3000,A18,Expenses!$E$2:$E$3000))</f>
        <v>0</v>
      </c>
      <c r="R18" s="27" t="n">
        <f aca="false">IF(A18="","",N(P18)+N(Q18))</f>
        <v>11629</v>
      </c>
      <c r="S18" s="28"/>
      <c r="T18" s="25" t="n">
        <v>45537</v>
      </c>
      <c r="U18" s="26" t="n">
        <v>14900</v>
      </c>
      <c r="V18" s="26" t="n">
        <v>2483</v>
      </c>
      <c r="W18" s="26"/>
      <c r="X18" s="27" t="n">
        <f aca="false">IF(B18&lt;&gt;"SOLD","",IF(C18="Consignment",N(W18)-R18,N(U18)-R18-N(V18)))</f>
        <v>788</v>
      </c>
      <c r="Y18" s="29" t="n">
        <f aca="false">IF(OR(X18="",N(R18)=0),"",X18/R18)</f>
        <v>0.0677616304067418</v>
      </c>
      <c r="Z18" s="30" t="n">
        <f aca="true">IF(O18="","",IF(T18="",TODAY(),T18)-O18)</f>
        <v>143</v>
      </c>
      <c r="AA18" s="31" t="str">
        <f aca="false">IF(T18="","",TEXT(T18,"YYYY-MM"))</f>
        <v>2024-09</v>
      </c>
      <c r="AB18" s="27" t="n">
        <f aca="false">IF(X18="","",X18/2)</f>
        <v>394</v>
      </c>
      <c r="AC18" s="21"/>
    </row>
    <row r="19" customFormat="false" ht="15" hidden="false" customHeight="false" outlineLevel="0" collapsed="false">
      <c r="A19" s="20" t="n">
        <v>19</v>
      </c>
      <c r="B19" s="21" t="s">
        <v>100</v>
      </c>
      <c r="C19" s="21" t="s">
        <v>101</v>
      </c>
      <c r="D19" s="21" t="s">
        <v>52</v>
      </c>
      <c r="E19" s="21" t="s">
        <v>134</v>
      </c>
      <c r="F19" s="21" t="s">
        <v>115</v>
      </c>
      <c r="G19" s="22" t="n">
        <v>43405</v>
      </c>
      <c r="H19" s="21" t="s">
        <v>135</v>
      </c>
      <c r="I19" s="21" t="s">
        <v>111</v>
      </c>
      <c r="J19" s="21"/>
      <c r="K19" s="23" t="n">
        <v>201000</v>
      </c>
      <c r="L19" s="24"/>
      <c r="M19" s="21" t="s">
        <v>126</v>
      </c>
      <c r="N19" s="21" t="s">
        <v>113</v>
      </c>
      <c r="O19" s="25" t="n">
        <v>45412</v>
      </c>
      <c r="P19" s="26" t="n">
        <v>8067</v>
      </c>
      <c r="Q19" s="27" t="n">
        <f aca="false">IF(A19="","",SUMIF(Expenses!$B$2:$B$3000,A19,Expenses!$E$2:$E$3000))</f>
        <v>0</v>
      </c>
      <c r="R19" s="27" t="n">
        <f aca="false">IF(A19="","",N(P19)+N(Q19))</f>
        <v>8067</v>
      </c>
      <c r="S19" s="28"/>
      <c r="T19" s="25" t="n">
        <v>45451</v>
      </c>
      <c r="U19" s="26" t="n">
        <v>10500</v>
      </c>
      <c r="V19" s="26" t="n">
        <v>0</v>
      </c>
      <c r="W19" s="26"/>
      <c r="X19" s="27" t="n">
        <f aca="false">IF(B19&lt;&gt;"SOLD","",IF(C19="Consignment",N(W19)-R19,N(U19)-R19-N(V19)))</f>
        <v>2433</v>
      </c>
      <c r="Y19" s="29" t="n">
        <f aca="false">IF(OR(X19="",N(R19)=0),"",X19/R19)</f>
        <v>0.301599107474898</v>
      </c>
      <c r="Z19" s="30" t="n">
        <f aca="true">IF(O19="","",IF(T19="",TODAY(),T19)-O19)</f>
        <v>39</v>
      </c>
      <c r="AA19" s="31" t="str">
        <f aca="false">IF(T19="","",TEXT(T19,"YYYY-MM"))</f>
        <v>2024-06</v>
      </c>
      <c r="AB19" s="27" t="n">
        <f aca="false">IF(X19="","",X19/2)</f>
        <v>1216.5</v>
      </c>
      <c r="AC19" s="21"/>
    </row>
    <row r="20" customFormat="false" ht="15" hidden="false" customHeight="false" outlineLevel="0" collapsed="false">
      <c r="A20" s="20" t="n">
        <v>20</v>
      </c>
      <c r="B20" s="21" t="s">
        <v>100</v>
      </c>
      <c r="C20" s="21" t="s">
        <v>101</v>
      </c>
      <c r="D20" s="21" t="s">
        <v>52</v>
      </c>
      <c r="E20" s="21" t="s">
        <v>134</v>
      </c>
      <c r="F20" s="21" t="s">
        <v>115</v>
      </c>
      <c r="G20" s="22" t="n">
        <v>43891</v>
      </c>
      <c r="H20" s="21" t="s">
        <v>116</v>
      </c>
      <c r="I20" s="21" t="s">
        <v>129</v>
      </c>
      <c r="J20" s="21"/>
      <c r="K20" s="23" t="n">
        <v>193000</v>
      </c>
      <c r="L20" s="24"/>
      <c r="M20" s="21" t="s">
        <v>148</v>
      </c>
      <c r="N20" s="21" t="s">
        <v>113</v>
      </c>
      <c r="O20" s="25" t="n">
        <v>45415</v>
      </c>
      <c r="P20" s="26" t="n">
        <v>10345</v>
      </c>
      <c r="Q20" s="27" t="n">
        <f aca="false">IF(A20="","",SUMIF(Expenses!$B$2:$B$3000,A20,Expenses!$E$2:$E$3000))</f>
        <v>0</v>
      </c>
      <c r="R20" s="27" t="n">
        <f aca="false">IF(A20="","",N(P20)+N(Q20))</f>
        <v>10345</v>
      </c>
      <c r="S20" s="28"/>
      <c r="T20" s="25" t="n">
        <v>45471</v>
      </c>
      <c r="U20" s="26" t="n">
        <v>14490</v>
      </c>
      <c r="V20" s="26" t="n">
        <v>2415</v>
      </c>
      <c r="W20" s="26"/>
      <c r="X20" s="27" t="n">
        <f aca="false">IF(B20&lt;&gt;"SOLD","",IF(C20="Consignment",N(W20)-R20,N(U20)-R20-N(V20)))</f>
        <v>1730</v>
      </c>
      <c r="Y20" s="29" t="n">
        <f aca="false">IF(OR(X20="",N(R20)=0),"",X20/R20)</f>
        <v>0.167230546157564</v>
      </c>
      <c r="Z20" s="30" t="n">
        <f aca="true">IF(O20="","",IF(T20="",TODAY(),T20)-O20)</f>
        <v>56</v>
      </c>
      <c r="AA20" s="31" t="str">
        <f aca="false">IF(T20="","",TEXT(T20,"YYYY-MM"))</f>
        <v>2024-06</v>
      </c>
      <c r="AB20" s="27" t="n">
        <f aca="false">IF(X20="","",X20/2)</f>
        <v>865</v>
      </c>
      <c r="AC20" s="21"/>
    </row>
    <row r="21" customFormat="false" ht="15" hidden="false" customHeight="false" outlineLevel="0" collapsed="false">
      <c r="A21" s="20" t="n">
        <v>21</v>
      </c>
      <c r="B21" s="21" t="s">
        <v>100</v>
      </c>
      <c r="C21" s="21" t="s">
        <v>101</v>
      </c>
      <c r="D21" s="21" t="s">
        <v>54</v>
      </c>
      <c r="E21" s="21" t="s">
        <v>131</v>
      </c>
      <c r="F21" s="21" t="s">
        <v>157</v>
      </c>
      <c r="G21" s="22" t="n">
        <v>42430</v>
      </c>
      <c r="H21" s="21" t="s">
        <v>158</v>
      </c>
      <c r="I21" s="21" t="s">
        <v>129</v>
      </c>
      <c r="J21" s="21"/>
      <c r="K21" s="23" t="n">
        <v>160000</v>
      </c>
      <c r="L21" s="24"/>
      <c r="M21" s="21" t="s">
        <v>148</v>
      </c>
      <c r="N21" s="21" t="s">
        <v>113</v>
      </c>
      <c r="O21" s="25" t="n">
        <v>45422</v>
      </c>
      <c r="P21" s="26" t="n">
        <v>12529</v>
      </c>
      <c r="Q21" s="27" t="n">
        <f aca="false">IF(A21="","",SUMIF(Expenses!$B$2:$B$3000,A21,Expenses!$E$2:$E$3000))</f>
        <v>0</v>
      </c>
      <c r="R21" s="27" t="n">
        <f aca="false">IF(A21="","",N(P21)+N(Q21))</f>
        <v>12529</v>
      </c>
      <c r="S21" s="28"/>
      <c r="T21" s="25" t="n">
        <v>45443</v>
      </c>
      <c r="U21" s="26" t="n">
        <v>18700</v>
      </c>
      <c r="V21" s="26" t="n">
        <v>3117</v>
      </c>
      <c r="W21" s="26"/>
      <c r="X21" s="27" t="n">
        <f aca="false">IF(B21&lt;&gt;"SOLD","",IF(C21="Consignment",N(W21)-R21,N(U21)-R21-N(V21)))</f>
        <v>3054</v>
      </c>
      <c r="Y21" s="29" t="n">
        <f aca="false">IF(OR(X21="",N(R21)=0),"",X21/R21)</f>
        <v>0.243754489584165</v>
      </c>
      <c r="Z21" s="30" t="n">
        <f aca="true">IF(O21="","",IF(T21="",TODAY(),T21)-O21)</f>
        <v>21</v>
      </c>
      <c r="AA21" s="31" t="str">
        <f aca="false">IF(T21="","",TEXT(T21,"YYYY-MM"))</f>
        <v>2024-05</v>
      </c>
      <c r="AB21" s="27" t="n">
        <f aca="false">IF(X21="","",X21/2)</f>
        <v>1527</v>
      </c>
      <c r="AC21" s="21"/>
    </row>
    <row r="22" customFormat="false" ht="15" hidden="false" customHeight="false" outlineLevel="0" collapsed="false">
      <c r="A22" s="20" t="n">
        <v>22</v>
      </c>
      <c r="B22" s="21" t="s">
        <v>100</v>
      </c>
      <c r="C22" s="21" t="s">
        <v>101</v>
      </c>
      <c r="D22" s="21" t="s">
        <v>54</v>
      </c>
      <c r="E22" s="21" t="s">
        <v>159</v>
      </c>
      <c r="F22" s="21" t="s">
        <v>132</v>
      </c>
      <c r="G22" s="22" t="n">
        <v>40787</v>
      </c>
      <c r="H22" s="21" t="s">
        <v>160</v>
      </c>
      <c r="I22" s="21" t="s">
        <v>129</v>
      </c>
      <c r="J22" s="21" t="s">
        <v>161</v>
      </c>
      <c r="K22" s="23" t="n">
        <v>182000</v>
      </c>
      <c r="L22" s="24"/>
      <c r="M22" s="21" t="s">
        <v>133</v>
      </c>
      <c r="N22" s="21" t="s">
        <v>113</v>
      </c>
      <c r="O22" s="25" t="n">
        <v>45444</v>
      </c>
      <c r="P22" s="26" t="n">
        <v>9024</v>
      </c>
      <c r="Q22" s="27" t="n">
        <f aca="false">IF(A22="","",SUMIF(Expenses!$B$2:$B$3000,A22,Expenses!$E$2:$E$3000))</f>
        <v>0</v>
      </c>
      <c r="R22" s="27" t="n">
        <f aca="false">IF(A22="","",N(P22)+N(Q22))</f>
        <v>9024</v>
      </c>
      <c r="S22" s="28"/>
      <c r="T22" s="25" t="n">
        <v>45508</v>
      </c>
      <c r="U22" s="26" t="n">
        <v>13100</v>
      </c>
      <c r="V22" s="26" t="n">
        <v>2183</v>
      </c>
      <c r="W22" s="26"/>
      <c r="X22" s="27" t="n">
        <f aca="false">IF(B22&lt;&gt;"SOLD","",IF(C22="Consignment",N(W22)-R22,N(U22)-R22-N(V22)))</f>
        <v>1893</v>
      </c>
      <c r="Y22" s="29" t="n">
        <f aca="false">IF(OR(X22="",N(R22)=0),"",X22/R22)</f>
        <v>0.209773936170213</v>
      </c>
      <c r="Z22" s="30" t="n">
        <f aca="true">IF(O22="","",IF(T22="",TODAY(),T22)-O22)</f>
        <v>64</v>
      </c>
      <c r="AA22" s="31" t="str">
        <f aca="false">IF(T22="","",TEXT(T22,"YYYY-MM"))</f>
        <v>2024-08</v>
      </c>
      <c r="AB22" s="27" t="n">
        <f aca="false">IF(X22="","",X22/2)</f>
        <v>946.5</v>
      </c>
      <c r="AC22" s="21"/>
    </row>
    <row r="23" customFormat="false" ht="15" hidden="false" customHeight="false" outlineLevel="0" collapsed="false">
      <c r="A23" s="20" t="n">
        <v>23</v>
      </c>
      <c r="B23" s="21" t="s">
        <v>100</v>
      </c>
      <c r="C23" s="21" t="s">
        <v>101</v>
      </c>
      <c r="D23" s="21" t="s">
        <v>56</v>
      </c>
      <c r="E23" s="21" t="s">
        <v>118</v>
      </c>
      <c r="F23" s="21" t="s">
        <v>119</v>
      </c>
      <c r="G23" s="22" t="n">
        <v>43009</v>
      </c>
      <c r="H23" s="21" t="s">
        <v>162</v>
      </c>
      <c r="I23" s="21" t="s">
        <v>121</v>
      </c>
      <c r="J23" s="21"/>
      <c r="K23" s="23" t="n">
        <v>159000</v>
      </c>
      <c r="L23" s="24"/>
      <c r="M23" s="21" t="s">
        <v>148</v>
      </c>
      <c r="N23" s="21" t="s">
        <v>107</v>
      </c>
      <c r="O23" s="25" t="n">
        <v>45429</v>
      </c>
      <c r="P23" s="26" t="n">
        <v>14215</v>
      </c>
      <c r="Q23" s="27" t="n">
        <f aca="false">IF(A23="","",SUMIF(Expenses!$B$2:$B$3000,A23,Expenses!$E$2:$E$3000))</f>
        <v>0</v>
      </c>
      <c r="R23" s="27" t="n">
        <f aca="false">IF(A23="","",N(P23)+N(Q23))</f>
        <v>14215</v>
      </c>
      <c r="S23" s="28"/>
      <c r="T23" s="25" t="n">
        <v>45519</v>
      </c>
      <c r="U23" s="26" t="n">
        <v>16300</v>
      </c>
      <c r="V23" s="26" t="n">
        <v>0</v>
      </c>
      <c r="W23" s="26"/>
      <c r="X23" s="27" t="n">
        <f aca="false">IF(B23&lt;&gt;"SOLD","",IF(C23="Consignment",N(W23)-R23,N(U23)-R23-N(V23)))</f>
        <v>2085</v>
      </c>
      <c r="Y23" s="29" t="n">
        <f aca="false">IF(OR(X23="",N(R23)=0),"",X23/R23)</f>
        <v>0.146676046429828</v>
      </c>
      <c r="Z23" s="30" t="n">
        <f aca="true">IF(O23="","",IF(T23="",TODAY(),T23)-O23)</f>
        <v>90</v>
      </c>
      <c r="AA23" s="31" t="str">
        <f aca="false">IF(T23="","",TEXT(T23,"YYYY-MM"))</f>
        <v>2024-08</v>
      </c>
      <c r="AB23" s="27" t="n">
        <f aca="false">IF(X23="","",X23/2)</f>
        <v>1042.5</v>
      </c>
      <c r="AC23" s="21"/>
    </row>
    <row r="24" customFormat="false" ht="15" hidden="false" customHeight="false" outlineLevel="0" collapsed="false">
      <c r="A24" s="20" t="n">
        <v>24</v>
      </c>
      <c r="B24" s="21" t="s">
        <v>100</v>
      </c>
      <c r="C24" s="21" t="s">
        <v>101</v>
      </c>
      <c r="D24" s="21" t="s">
        <v>52</v>
      </c>
      <c r="E24" s="21" t="s">
        <v>134</v>
      </c>
      <c r="F24" s="21" t="s">
        <v>115</v>
      </c>
      <c r="G24" s="22" t="n">
        <v>43891</v>
      </c>
      <c r="H24" s="21" t="s">
        <v>116</v>
      </c>
      <c r="I24" s="21" t="s">
        <v>129</v>
      </c>
      <c r="J24" s="21"/>
      <c r="K24" s="23" t="n">
        <v>259000</v>
      </c>
      <c r="L24" s="24"/>
      <c r="M24" s="21" t="s">
        <v>148</v>
      </c>
      <c r="N24" s="21" t="s">
        <v>113</v>
      </c>
      <c r="O24" s="25" t="n">
        <v>45429</v>
      </c>
      <c r="P24" s="26" t="n">
        <v>8387</v>
      </c>
      <c r="Q24" s="27" t="n">
        <f aca="false">IF(A24="","",SUMIF(Expenses!$B$2:$B$3000,A24,Expenses!$E$2:$E$3000))</f>
        <v>0</v>
      </c>
      <c r="R24" s="27" t="n">
        <f aca="false">IF(A24="","",N(P24)+N(Q24))</f>
        <v>8387</v>
      </c>
      <c r="S24" s="28"/>
      <c r="T24" s="25" t="n">
        <v>45470</v>
      </c>
      <c r="U24" s="26" t="n">
        <v>10750</v>
      </c>
      <c r="V24" s="26" t="n">
        <v>1792</v>
      </c>
      <c r="W24" s="26"/>
      <c r="X24" s="27" t="n">
        <f aca="false">IF(B24&lt;&gt;"SOLD","",IF(C24="Consignment",N(W24)-R24,N(U24)-R24-N(V24)))</f>
        <v>571</v>
      </c>
      <c r="Y24" s="29" t="n">
        <f aca="false">IF(OR(X24="",N(R24)=0),"",X24/R24)</f>
        <v>0.0680815547871706</v>
      </c>
      <c r="Z24" s="30" t="n">
        <f aca="true">IF(O24="","",IF(T24="",TODAY(),T24)-O24)</f>
        <v>41</v>
      </c>
      <c r="AA24" s="31" t="str">
        <f aca="false">IF(T24="","",TEXT(T24,"YYYY-MM"))</f>
        <v>2024-06</v>
      </c>
      <c r="AB24" s="27" t="n">
        <f aca="false">IF(X24="","",X24/2)</f>
        <v>285.5</v>
      </c>
      <c r="AC24" s="21"/>
    </row>
    <row r="25" customFormat="false" ht="15" hidden="false" customHeight="false" outlineLevel="0" collapsed="false">
      <c r="A25" s="20" t="n">
        <v>25</v>
      </c>
      <c r="B25" s="21" t="s">
        <v>100</v>
      </c>
      <c r="C25" s="21" t="s">
        <v>101</v>
      </c>
      <c r="D25" s="21" t="s">
        <v>52</v>
      </c>
      <c r="E25" s="21" t="s">
        <v>134</v>
      </c>
      <c r="F25" s="21" t="s">
        <v>115</v>
      </c>
      <c r="G25" s="22" t="n">
        <v>42887</v>
      </c>
      <c r="H25" s="21" t="s">
        <v>135</v>
      </c>
      <c r="I25" s="21" t="s">
        <v>129</v>
      </c>
      <c r="J25" s="21"/>
      <c r="K25" s="23" t="n">
        <v>188000</v>
      </c>
      <c r="L25" s="24"/>
      <c r="M25" s="21" t="s">
        <v>122</v>
      </c>
      <c r="N25" s="21" t="s">
        <v>107</v>
      </c>
      <c r="O25" s="25" t="n">
        <v>45453</v>
      </c>
      <c r="P25" s="26" t="n">
        <v>8221</v>
      </c>
      <c r="Q25" s="27" t="n">
        <f aca="false">IF(A25="","",SUMIF(Expenses!$B$2:$B$3000,A25,Expenses!$E$2:$E$3000))</f>
        <v>0</v>
      </c>
      <c r="R25" s="27" t="n">
        <f aca="false">IF(A25="","",N(P25)+N(Q25))</f>
        <v>8221</v>
      </c>
      <c r="S25" s="28"/>
      <c r="T25" s="25" t="n">
        <v>45526</v>
      </c>
      <c r="U25" s="26" t="n">
        <v>10000</v>
      </c>
      <c r="V25" s="26" t="n">
        <v>0</v>
      </c>
      <c r="W25" s="26"/>
      <c r="X25" s="27" t="n">
        <f aca="false">IF(B25&lt;&gt;"SOLD","",IF(C25="Consignment",N(W25)-R25,N(U25)-R25-N(V25)))</f>
        <v>1779</v>
      </c>
      <c r="Y25" s="29" t="n">
        <f aca="false">IF(OR(X25="",N(R25)=0),"",X25/R25)</f>
        <v>0.216397031991242</v>
      </c>
      <c r="Z25" s="30" t="n">
        <f aca="true">IF(O25="","",IF(T25="",TODAY(),T25)-O25)</f>
        <v>73</v>
      </c>
      <c r="AA25" s="31" t="str">
        <f aca="false">IF(T25="","",TEXT(T25,"YYYY-MM"))</f>
        <v>2024-08</v>
      </c>
      <c r="AB25" s="27" t="n">
        <f aca="false">IF(X25="","",X25/2)</f>
        <v>889.5</v>
      </c>
      <c r="AC25" s="21"/>
    </row>
    <row r="26" customFormat="false" ht="15" hidden="false" customHeight="false" outlineLevel="0" collapsed="false">
      <c r="A26" s="20" t="n">
        <v>26</v>
      </c>
      <c r="B26" s="21" t="s">
        <v>100</v>
      </c>
      <c r="C26" s="21" t="s">
        <v>101</v>
      </c>
      <c r="D26" s="21" t="s">
        <v>51</v>
      </c>
      <c r="E26" s="21" t="s">
        <v>163</v>
      </c>
      <c r="F26" s="21" t="s">
        <v>128</v>
      </c>
      <c r="G26" s="22" t="n">
        <v>43800</v>
      </c>
      <c r="H26" s="21" t="s">
        <v>164</v>
      </c>
      <c r="I26" s="21" t="s">
        <v>111</v>
      </c>
      <c r="J26" s="21"/>
      <c r="K26" s="23" t="n">
        <v>144000</v>
      </c>
      <c r="L26" s="24"/>
      <c r="M26" s="21" t="s">
        <v>122</v>
      </c>
      <c r="N26" s="21" t="s">
        <v>113</v>
      </c>
      <c r="O26" s="25" t="n">
        <v>45456</v>
      </c>
      <c r="P26" s="26" t="n">
        <v>18813.42</v>
      </c>
      <c r="Q26" s="27" t="n">
        <f aca="false">IF(A26="","",SUMIF(Expenses!$B$2:$B$3000,A26,Expenses!$E$2:$E$3000))</f>
        <v>0</v>
      </c>
      <c r="R26" s="27" t="n">
        <f aca="false">IF(A26="","",N(P26)+N(Q26))</f>
        <v>18813.42</v>
      </c>
      <c r="S26" s="28"/>
      <c r="T26" s="25" t="n">
        <v>45476</v>
      </c>
      <c r="U26" s="26" t="n">
        <v>20800</v>
      </c>
      <c r="V26" s="26" t="n">
        <v>-0.42</v>
      </c>
      <c r="W26" s="26"/>
      <c r="X26" s="27" t="n">
        <f aca="false">IF(B26&lt;&gt;"SOLD","",IF(C26="Consignment",N(W26)-R26,N(U26)-R26-N(V26)))</f>
        <v>1987</v>
      </c>
      <c r="Y26" s="29" t="n">
        <f aca="false">IF(OR(X26="",N(R26)=0),"",X26/R26)</f>
        <v>0.105616097445334</v>
      </c>
      <c r="Z26" s="30" t="n">
        <f aca="true">IF(O26="","",IF(T26="",TODAY(),T26)-O26)</f>
        <v>20</v>
      </c>
      <c r="AA26" s="31" t="str">
        <f aca="false">IF(T26="","",TEXT(T26,"YYYY-MM"))</f>
        <v>2024-07</v>
      </c>
      <c r="AB26" s="27" t="n">
        <f aca="false">IF(X26="","",X26/2)</f>
        <v>993.500000000001</v>
      </c>
      <c r="AC26" s="21"/>
    </row>
    <row r="27" customFormat="false" ht="15" hidden="false" customHeight="false" outlineLevel="0" collapsed="false">
      <c r="A27" s="20" t="n">
        <v>27</v>
      </c>
      <c r="B27" s="21" t="s">
        <v>100</v>
      </c>
      <c r="C27" s="21" t="s">
        <v>101</v>
      </c>
      <c r="D27" s="21" t="s">
        <v>52</v>
      </c>
      <c r="E27" s="21" t="s">
        <v>114</v>
      </c>
      <c r="F27" s="21" t="s">
        <v>115</v>
      </c>
      <c r="G27" s="22" t="n">
        <v>43374</v>
      </c>
      <c r="H27" s="21" t="s">
        <v>116</v>
      </c>
      <c r="I27" s="21" t="s">
        <v>111</v>
      </c>
      <c r="J27" s="21"/>
      <c r="K27" s="23" t="n">
        <v>186000</v>
      </c>
      <c r="L27" s="24"/>
      <c r="M27" s="21" t="s">
        <v>112</v>
      </c>
      <c r="N27" s="21" t="s">
        <v>113</v>
      </c>
      <c r="O27" s="25" t="n">
        <v>45457</v>
      </c>
      <c r="P27" s="26" t="n">
        <v>9880.5</v>
      </c>
      <c r="Q27" s="27" t="n">
        <f aca="false">IF(A27="","",SUMIF(Expenses!$B$2:$B$3000,A27,Expenses!$E$2:$E$3000))</f>
        <v>0</v>
      </c>
      <c r="R27" s="27" t="n">
        <f aca="false">IF(A27="","",N(P27)+N(Q27))</f>
        <v>9880.5</v>
      </c>
      <c r="S27" s="28"/>
      <c r="T27" s="25" t="n">
        <v>45527</v>
      </c>
      <c r="U27" s="26" t="n">
        <v>16200</v>
      </c>
      <c r="V27" s="26" t="n">
        <v>2249.5</v>
      </c>
      <c r="W27" s="26"/>
      <c r="X27" s="27" t="n">
        <f aca="false">IF(B27&lt;&gt;"SOLD","",IF(C27="Consignment",N(W27)-R27,N(U27)-R27-N(V27)))</f>
        <v>4070</v>
      </c>
      <c r="Y27" s="29" t="n">
        <f aca="false">IF(OR(X27="",N(R27)=0),"",X27/R27)</f>
        <v>0.41192247355903</v>
      </c>
      <c r="Z27" s="30" t="n">
        <f aca="true">IF(O27="","",IF(T27="",TODAY(),T27)-O27)</f>
        <v>70</v>
      </c>
      <c r="AA27" s="31" t="str">
        <f aca="false">IF(T27="","",TEXT(T27,"YYYY-MM"))</f>
        <v>2024-08</v>
      </c>
      <c r="AB27" s="27" t="n">
        <f aca="false">IF(X27="","",X27/2)</f>
        <v>2035</v>
      </c>
      <c r="AC27" s="21"/>
    </row>
    <row r="28" customFormat="false" ht="15" hidden="false" customHeight="false" outlineLevel="0" collapsed="false">
      <c r="A28" s="20" t="n">
        <v>28</v>
      </c>
      <c r="B28" s="21" t="s">
        <v>100</v>
      </c>
      <c r="C28" s="21" t="s">
        <v>101</v>
      </c>
      <c r="D28" s="21" t="s">
        <v>53</v>
      </c>
      <c r="E28" s="21" t="s">
        <v>146</v>
      </c>
      <c r="F28" s="21" t="s">
        <v>115</v>
      </c>
      <c r="G28" s="22" t="n">
        <v>43282</v>
      </c>
      <c r="H28" s="21" t="s">
        <v>147</v>
      </c>
      <c r="I28" s="21" t="s">
        <v>165</v>
      </c>
      <c r="J28" s="21"/>
      <c r="K28" s="23" t="n">
        <v>155000</v>
      </c>
      <c r="L28" s="24"/>
      <c r="M28" s="21" t="s">
        <v>144</v>
      </c>
      <c r="N28" s="21" t="s">
        <v>107</v>
      </c>
      <c r="O28" s="25" t="n">
        <v>45462</v>
      </c>
      <c r="P28" s="26" t="n">
        <v>10145</v>
      </c>
      <c r="Q28" s="27" t="n">
        <f aca="false">IF(A28="","",SUMIF(Expenses!$B$2:$B$3000,A28,Expenses!$E$2:$E$3000))</f>
        <v>0</v>
      </c>
      <c r="R28" s="27" t="n">
        <f aca="false">IF(A28="","",N(P28)+N(Q28))</f>
        <v>10145</v>
      </c>
      <c r="S28" s="28"/>
      <c r="T28" s="25" t="n">
        <v>45514</v>
      </c>
      <c r="U28" s="26" t="n">
        <v>12700</v>
      </c>
      <c r="V28" s="26" t="n">
        <v>0</v>
      </c>
      <c r="W28" s="26"/>
      <c r="X28" s="27" t="n">
        <f aca="false">IF(B28&lt;&gt;"SOLD","",IF(C28="Consignment",N(W28)-R28,N(U28)-R28-N(V28)))</f>
        <v>2555</v>
      </c>
      <c r="Y28" s="29" t="n">
        <f aca="false">IF(OR(X28="",N(R28)=0),"",X28/R28)</f>
        <v>0.251848201084278</v>
      </c>
      <c r="Z28" s="30" t="n">
        <f aca="true">IF(O28="","",IF(T28="",TODAY(),T28)-O28)</f>
        <v>52</v>
      </c>
      <c r="AA28" s="31" t="str">
        <f aca="false">IF(T28="","",TEXT(T28,"YYYY-MM"))</f>
        <v>2024-08</v>
      </c>
      <c r="AB28" s="27" t="n">
        <f aca="false">IF(X28="","",X28/2)</f>
        <v>1277.5</v>
      </c>
      <c r="AC28" s="21"/>
    </row>
    <row r="29" customFormat="false" ht="15" hidden="false" customHeight="false" outlineLevel="0" collapsed="false">
      <c r="A29" s="20" t="n">
        <v>29</v>
      </c>
      <c r="B29" s="21" t="s">
        <v>100</v>
      </c>
      <c r="C29" s="21" t="s">
        <v>101</v>
      </c>
      <c r="D29" s="21" t="s">
        <v>54</v>
      </c>
      <c r="E29" s="21" t="s">
        <v>131</v>
      </c>
      <c r="F29" s="21" t="s">
        <v>132</v>
      </c>
      <c r="G29" s="22" t="n">
        <v>42401</v>
      </c>
      <c r="H29" s="21" t="s">
        <v>116</v>
      </c>
      <c r="I29" s="21" t="s">
        <v>129</v>
      </c>
      <c r="J29" s="21"/>
      <c r="K29" s="23" t="n">
        <v>163000</v>
      </c>
      <c r="L29" s="24"/>
      <c r="M29" s="21" t="s">
        <v>133</v>
      </c>
      <c r="N29" s="21" t="s">
        <v>107</v>
      </c>
      <c r="O29" s="25" t="n">
        <v>45467</v>
      </c>
      <c r="P29" s="26" t="n">
        <v>12482.5</v>
      </c>
      <c r="Q29" s="27" t="n">
        <f aca="false">IF(A29="","",SUMIF(Expenses!$B$2:$B$3000,A29,Expenses!$E$2:$E$3000))</f>
        <v>0</v>
      </c>
      <c r="R29" s="27" t="n">
        <f aca="false">IF(A29="","",N(P29)+N(Q29))</f>
        <v>12482.5</v>
      </c>
      <c r="S29" s="28"/>
      <c r="T29" s="25" t="n">
        <v>45523</v>
      </c>
      <c r="U29" s="26" t="n">
        <v>16000</v>
      </c>
      <c r="V29" s="26" t="n">
        <v>-0.5</v>
      </c>
      <c r="W29" s="26"/>
      <c r="X29" s="27" t="n">
        <f aca="false">IF(B29&lt;&gt;"SOLD","",IF(C29="Consignment",N(W29)-R29,N(U29)-R29-N(V29)))</f>
        <v>3518</v>
      </c>
      <c r="Y29" s="29" t="n">
        <f aca="false">IF(OR(X29="",N(R29)=0),"",X29/R29)</f>
        <v>0.281834568395754</v>
      </c>
      <c r="Z29" s="30" t="n">
        <f aca="true">IF(O29="","",IF(T29="",TODAY(),T29)-O29)</f>
        <v>56</v>
      </c>
      <c r="AA29" s="31" t="str">
        <f aca="false">IF(T29="","",TEXT(T29,"YYYY-MM"))</f>
        <v>2024-08</v>
      </c>
      <c r="AB29" s="27" t="n">
        <f aca="false">IF(X29="","",X29/2)</f>
        <v>1759</v>
      </c>
      <c r="AC29" s="21"/>
    </row>
    <row r="30" customFormat="false" ht="15" hidden="false" customHeight="false" outlineLevel="0" collapsed="false">
      <c r="A30" s="20" t="n">
        <v>30</v>
      </c>
      <c r="B30" s="21" t="s">
        <v>100</v>
      </c>
      <c r="C30" s="21" t="s">
        <v>101</v>
      </c>
      <c r="D30" s="21" t="s">
        <v>52</v>
      </c>
      <c r="E30" s="21" t="s">
        <v>134</v>
      </c>
      <c r="F30" s="21" t="s">
        <v>124</v>
      </c>
      <c r="G30" s="22" t="n">
        <v>43132</v>
      </c>
      <c r="H30" s="21" t="s">
        <v>135</v>
      </c>
      <c r="I30" s="21" t="s">
        <v>111</v>
      </c>
      <c r="J30" s="21"/>
      <c r="K30" s="23" t="n">
        <v>166700</v>
      </c>
      <c r="L30" s="24"/>
      <c r="M30" s="21" t="s">
        <v>112</v>
      </c>
      <c r="N30" s="21" t="s">
        <v>113</v>
      </c>
      <c r="O30" s="25" t="n">
        <v>45476</v>
      </c>
      <c r="P30" s="26" t="n">
        <v>8750.67</v>
      </c>
      <c r="Q30" s="27" t="n">
        <f aca="false">IF(A30="","",SUMIF(Expenses!$B$2:$B$3000,A30,Expenses!$E$2:$E$3000))</f>
        <v>0</v>
      </c>
      <c r="R30" s="27" t="n">
        <f aca="false">IF(A30="","",N(P30)+N(Q30))</f>
        <v>8750.67</v>
      </c>
      <c r="S30" s="28"/>
      <c r="T30" s="25" t="n">
        <v>45605</v>
      </c>
      <c r="U30" s="26" t="n">
        <v>9700</v>
      </c>
      <c r="V30" s="26" t="n">
        <v>199.33</v>
      </c>
      <c r="W30" s="26"/>
      <c r="X30" s="27" t="n">
        <f aca="false">IF(B30&lt;&gt;"SOLD","",IF(C30="Consignment",N(W30)-R30,N(U30)-R30-N(V30)))</f>
        <v>750</v>
      </c>
      <c r="Y30" s="29" t="n">
        <f aca="false">IF(OR(X30="",N(R30)=0),"",X30/R30)</f>
        <v>0.0857077229514997</v>
      </c>
      <c r="Z30" s="30" t="n">
        <f aca="true">IF(O30="","",IF(T30="",TODAY(),T30)-O30)</f>
        <v>129</v>
      </c>
      <c r="AA30" s="31" t="str">
        <f aca="false">IF(T30="","",TEXT(T30,"YYYY-MM"))</f>
        <v>2024-11</v>
      </c>
      <c r="AB30" s="27" t="n">
        <f aca="false">IF(X30="","",X30/2)</f>
        <v>375</v>
      </c>
      <c r="AC30" s="21"/>
    </row>
    <row r="31" customFormat="false" ht="15" hidden="false" customHeight="false" outlineLevel="0" collapsed="false">
      <c r="A31" s="20" t="n">
        <v>31</v>
      </c>
      <c r="B31" s="21" t="s">
        <v>100</v>
      </c>
      <c r="C31" s="21" t="s">
        <v>101</v>
      </c>
      <c r="D31" s="21" t="s">
        <v>57</v>
      </c>
      <c r="E31" s="21" t="s">
        <v>166</v>
      </c>
      <c r="F31" s="21" t="s">
        <v>167</v>
      </c>
      <c r="G31" s="22" t="n">
        <v>43040</v>
      </c>
      <c r="H31" s="21" t="s">
        <v>168</v>
      </c>
      <c r="I31" s="21" t="s">
        <v>152</v>
      </c>
      <c r="J31" s="21" t="s">
        <v>161</v>
      </c>
      <c r="K31" s="23" t="n">
        <v>157200</v>
      </c>
      <c r="L31" s="24"/>
      <c r="M31" s="21" t="s">
        <v>133</v>
      </c>
      <c r="N31" s="21" t="s">
        <v>113</v>
      </c>
      <c r="O31" s="25" t="n">
        <v>45484</v>
      </c>
      <c r="P31" s="26" t="n">
        <v>14740</v>
      </c>
      <c r="Q31" s="27" t="n">
        <f aca="false">IF(A31="","",SUMIF(Expenses!$B$2:$B$3000,A31,Expenses!$E$2:$E$3000))</f>
        <v>0</v>
      </c>
      <c r="R31" s="27" t="n">
        <f aca="false">IF(A31="","",N(P31)+N(Q31))</f>
        <v>14740</v>
      </c>
      <c r="S31" s="28"/>
      <c r="T31" s="25" t="n">
        <v>45706</v>
      </c>
      <c r="U31" s="26" t="n">
        <v>20750</v>
      </c>
      <c r="V31" s="26" t="n">
        <v>3880</v>
      </c>
      <c r="W31" s="26"/>
      <c r="X31" s="27" t="n">
        <f aca="false">IF(B31&lt;&gt;"SOLD","",IF(C31="Consignment",N(W31)-R31,N(U31)-R31-N(V31)))</f>
        <v>2130</v>
      </c>
      <c r="Y31" s="29" t="n">
        <f aca="false">IF(OR(X31="",N(R31)=0),"",X31/R31)</f>
        <v>0.144504748982361</v>
      </c>
      <c r="Z31" s="30" t="n">
        <f aca="true">IF(O31="","",IF(T31="",TODAY(),T31)-O31)</f>
        <v>222</v>
      </c>
      <c r="AA31" s="31" t="str">
        <f aca="false">IF(T31="","",TEXT(T31,"YYYY-MM"))</f>
        <v>2025-02</v>
      </c>
      <c r="AB31" s="27" t="n">
        <f aca="false">IF(X31="","",X31/2)</f>
        <v>1065</v>
      </c>
      <c r="AC31" s="21"/>
    </row>
    <row r="32" customFormat="false" ht="15" hidden="false" customHeight="false" outlineLevel="0" collapsed="false">
      <c r="A32" s="20" t="n">
        <v>32</v>
      </c>
      <c r="B32" s="21" t="s">
        <v>100</v>
      </c>
      <c r="C32" s="21" t="s">
        <v>101</v>
      </c>
      <c r="D32" s="21" t="s">
        <v>54</v>
      </c>
      <c r="E32" s="21" t="s">
        <v>131</v>
      </c>
      <c r="F32" s="21" t="s">
        <v>132</v>
      </c>
      <c r="G32" s="22" t="n">
        <v>42522</v>
      </c>
      <c r="H32" s="21" t="s">
        <v>116</v>
      </c>
      <c r="I32" s="21" t="s">
        <v>129</v>
      </c>
      <c r="J32" s="21"/>
      <c r="K32" s="23" t="n">
        <v>174500</v>
      </c>
      <c r="L32" s="24"/>
      <c r="M32" s="21" t="s">
        <v>122</v>
      </c>
      <c r="N32" s="21" t="s">
        <v>107</v>
      </c>
      <c r="O32" s="25" t="n">
        <v>45483</v>
      </c>
      <c r="P32" s="26" t="n">
        <v>13121.67</v>
      </c>
      <c r="Q32" s="27" t="n">
        <f aca="false">IF(A32="","",SUMIF(Expenses!$B$2:$B$3000,A32,Expenses!$E$2:$E$3000))</f>
        <v>0</v>
      </c>
      <c r="R32" s="27" t="n">
        <f aca="false">IF(A32="","",N(P32)+N(Q32))</f>
        <v>13121.67</v>
      </c>
      <c r="S32" s="28"/>
      <c r="T32" s="25" t="n">
        <v>45527</v>
      </c>
      <c r="U32" s="26" t="n">
        <v>15700</v>
      </c>
      <c r="V32" s="26" t="n">
        <v>0.33</v>
      </c>
      <c r="W32" s="26"/>
      <c r="X32" s="27" t="n">
        <f aca="false">IF(B32&lt;&gt;"SOLD","",IF(C32="Consignment",N(W32)-R32,N(U32)-R32-N(V32)))</f>
        <v>2578</v>
      </c>
      <c r="Y32" s="29" t="n">
        <f aca="false">IF(OR(X32="",N(R32)=0),"",X32/R32)</f>
        <v>0.196468894584302</v>
      </c>
      <c r="Z32" s="30" t="n">
        <f aca="true">IF(O32="","",IF(T32="",TODAY(),T32)-O32)</f>
        <v>44</v>
      </c>
      <c r="AA32" s="31" t="str">
        <f aca="false">IF(T32="","",TEXT(T32,"YYYY-MM"))</f>
        <v>2024-08</v>
      </c>
      <c r="AB32" s="27" t="n">
        <f aca="false">IF(X32="","",X32/2)</f>
        <v>1289</v>
      </c>
      <c r="AC32" s="21"/>
    </row>
    <row r="33" customFormat="false" ht="15" hidden="false" customHeight="false" outlineLevel="0" collapsed="false">
      <c r="A33" s="20" t="n">
        <v>33</v>
      </c>
      <c r="B33" s="21" t="s">
        <v>100</v>
      </c>
      <c r="C33" s="21" t="s">
        <v>101</v>
      </c>
      <c r="D33" s="21" t="s">
        <v>51</v>
      </c>
      <c r="E33" s="21" t="s">
        <v>169</v>
      </c>
      <c r="F33" s="21" t="s">
        <v>170</v>
      </c>
      <c r="G33" s="22" t="n">
        <v>39630</v>
      </c>
      <c r="H33" s="21" t="s">
        <v>171</v>
      </c>
      <c r="I33" s="21" t="s">
        <v>121</v>
      </c>
      <c r="J33" s="21" t="s">
        <v>161</v>
      </c>
      <c r="K33" s="23" t="n">
        <v>208900</v>
      </c>
      <c r="L33" s="24"/>
      <c r="M33" s="21" t="s">
        <v>133</v>
      </c>
      <c r="N33" s="21" t="s">
        <v>107</v>
      </c>
      <c r="O33" s="25" t="n">
        <v>45514</v>
      </c>
      <c r="P33" s="26" t="n">
        <v>7780.83</v>
      </c>
      <c r="Q33" s="27" t="n">
        <f aca="false">IF(A33="","",SUMIF(Expenses!$B$2:$B$3000,A33,Expenses!$E$2:$E$3000))</f>
        <v>0</v>
      </c>
      <c r="R33" s="27" t="n">
        <f aca="false">IF(A33="","",N(P33)+N(Q33))</f>
        <v>7780.83</v>
      </c>
      <c r="S33" s="28"/>
      <c r="T33" s="25" t="n">
        <v>45580</v>
      </c>
      <c r="U33" s="26" t="n">
        <v>9300</v>
      </c>
      <c r="V33" s="26" t="n">
        <v>0.17</v>
      </c>
      <c r="W33" s="26"/>
      <c r="X33" s="27" t="n">
        <f aca="false">IF(B33&lt;&gt;"SOLD","",IF(C33="Consignment",N(W33)-R33,N(U33)-R33-N(V33)))</f>
        <v>1519</v>
      </c>
      <c r="Y33" s="29" t="n">
        <f aca="false">IF(OR(X33="",N(R33)=0),"",X33/R33)</f>
        <v>0.195223388764438</v>
      </c>
      <c r="Z33" s="30" t="n">
        <f aca="true">IF(O33="","",IF(T33="",TODAY(),T33)-O33)</f>
        <v>66</v>
      </c>
      <c r="AA33" s="31" t="str">
        <f aca="false">IF(T33="","",TEXT(T33,"YYYY-MM"))</f>
        <v>2024-10</v>
      </c>
      <c r="AB33" s="27" t="n">
        <f aca="false">IF(X33="","",X33/2)</f>
        <v>759.5</v>
      </c>
      <c r="AC33" s="21"/>
    </row>
    <row r="34" customFormat="false" ht="15" hidden="false" customHeight="false" outlineLevel="0" collapsed="false">
      <c r="A34" s="20" t="n">
        <v>34</v>
      </c>
      <c r="B34" s="21" t="s">
        <v>100</v>
      </c>
      <c r="C34" s="21" t="s">
        <v>101</v>
      </c>
      <c r="D34" s="21" t="s">
        <v>51</v>
      </c>
      <c r="E34" s="21" t="s">
        <v>172</v>
      </c>
      <c r="F34" s="21" t="s">
        <v>137</v>
      </c>
      <c r="G34" s="22" t="n">
        <v>42948</v>
      </c>
      <c r="H34" s="21" t="s">
        <v>116</v>
      </c>
      <c r="I34" s="21" t="s">
        <v>111</v>
      </c>
      <c r="J34" s="21"/>
      <c r="K34" s="23" t="n">
        <v>139300</v>
      </c>
      <c r="L34" s="24"/>
      <c r="M34" s="21" t="s">
        <v>112</v>
      </c>
      <c r="N34" s="21" t="s">
        <v>113</v>
      </c>
      <c r="O34" s="25" t="n">
        <v>45517</v>
      </c>
      <c r="P34" s="26" t="n">
        <v>9470</v>
      </c>
      <c r="Q34" s="27" t="n">
        <f aca="false">IF(A34="","",SUMIF(Expenses!$B$2:$B$3000,A34,Expenses!$E$2:$E$3000))</f>
        <v>0</v>
      </c>
      <c r="R34" s="27" t="n">
        <f aca="false">IF(A34="","",N(P34)+N(Q34))</f>
        <v>9470</v>
      </c>
      <c r="S34" s="28"/>
      <c r="T34" s="25" t="n">
        <v>45596</v>
      </c>
      <c r="U34" s="26" t="n">
        <v>14100</v>
      </c>
      <c r="V34" s="26" t="n">
        <v>2350</v>
      </c>
      <c r="W34" s="26"/>
      <c r="X34" s="27" t="n">
        <f aca="false">IF(B34&lt;&gt;"SOLD","",IF(C34="Consignment",N(W34)-R34,N(U34)-R34-N(V34)))</f>
        <v>2280</v>
      </c>
      <c r="Y34" s="29" t="n">
        <f aca="false">IF(OR(X34="",N(R34)=0),"",X34/R34)</f>
        <v>0.240760295670539</v>
      </c>
      <c r="Z34" s="30" t="n">
        <f aca="true">IF(O34="","",IF(T34="",TODAY(),T34)-O34)</f>
        <v>79</v>
      </c>
      <c r="AA34" s="31" t="str">
        <f aca="false">IF(T34="","",TEXT(T34,"YYYY-MM"))</f>
        <v>2024-10</v>
      </c>
      <c r="AB34" s="27" t="n">
        <f aca="false">IF(X34="","",X34/2)</f>
        <v>1140</v>
      </c>
      <c r="AC34" s="21"/>
    </row>
    <row r="35" customFormat="false" ht="15" hidden="false" customHeight="false" outlineLevel="0" collapsed="false">
      <c r="A35" s="20" t="n">
        <v>35</v>
      </c>
      <c r="B35" s="21" t="s">
        <v>100</v>
      </c>
      <c r="C35" s="21" t="s">
        <v>101</v>
      </c>
      <c r="D35" s="21" t="s">
        <v>52</v>
      </c>
      <c r="E35" s="21" t="s">
        <v>114</v>
      </c>
      <c r="F35" s="21" t="s">
        <v>115</v>
      </c>
      <c r="G35" s="22" t="n">
        <v>42736</v>
      </c>
      <c r="H35" s="21" t="s">
        <v>143</v>
      </c>
      <c r="I35" s="21" t="s">
        <v>111</v>
      </c>
      <c r="J35" s="21"/>
      <c r="K35" s="23" t="n">
        <v>148700</v>
      </c>
      <c r="L35" s="24"/>
      <c r="M35" s="21" t="s">
        <v>173</v>
      </c>
      <c r="N35" s="21" t="s">
        <v>107</v>
      </c>
      <c r="O35" s="25" t="n">
        <v>45518</v>
      </c>
      <c r="P35" s="26" t="n">
        <v>13751</v>
      </c>
      <c r="Q35" s="27" t="n">
        <f aca="false">IF(A35="","",SUMIF(Expenses!$B$2:$B$3000,A35,Expenses!$E$2:$E$3000))</f>
        <v>0</v>
      </c>
      <c r="R35" s="27" t="n">
        <f aca="false">IF(A35="","",N(P35)+N(Q35))</f>
        <v>13751</v>
      </c>
      <c r="S35" s="28"/>
      <c r="T35" s="25" t="n">
        <v>45532</v>
      </c>
      <c r="U35" s="26" t="n">
        <v>15300</v>
      </c>
      <c r="V35" s="26" t="n">
        <v>0</v>
      </c>
      <c r="W35" s="26"/>
      <c r="X35" s="27" t="n">
        <f aca="false">IF(B35&lt;&gt;"SOLD","",IF(C35="Consignment",N(W35)-R35,N(U35)-R35-N(V35)))</f>
        <v>1549</v>
      </c>
      <c r="Y35" s="29" t="n">
        <f aca="false">IF(OR(X35="",N(R35)=0),"",X35/R35)</f>
        <v>0.11264635299251</v>
      </c>
      <c r="Z35" s="30" t="n">
        <f aca="true">IF(O35="","",IF(T35="",TODAY(),T35)-O35)</f>
        <v>14</v>
      </c>
      <c r="AA35" s="31" t="str">
        <f aca="false">IF(T35="","",TEXT(T35,"YYYY-MM"))</f>
        <v>2024-08</v>
      </c>
      <c r="AB35" s="27" t="n">
        <f aca="false">IF(X35="","",X35/2)</f>
        <v>774.5</v>
      </c>
      <c r="AC35" s="21"/>
    </row>
    <row r="36" customFormat="false" ht="15" hidden="false" customHeight="false" outlineLevel="0" collapsed="false">
      <c r="A36" s="20" t="n">
        <v>36</v>
      </c>
      <c r="B36" s="21" t="s">
        <v>100</v>
      </c>
      <c r="C36" s="21" t="s">
        <v>101</v>
      </c>
      <c r="D36" s="21" t="s">
        <v>51</v>
      </c>
      <c r="E36" s="21" t="s">
        <v>163</v>
      </c>
      <c r="F36" s="21" t="s">
        <v>137</v>
      </c>
      <c r="G36" s="22" t="n">
        <v>42248</v>
      </c>
      <c r="H36" s="21" t="s">
        <v>116</v>
      </c>
      <c r="I36" s="21" t="s">
        <v>129</v>
      </c>
      <c r="J36" s="21"/>
      <c r="K36" s="23" t="n">
        <v>195700</v>
      </c>
      <c r="L36" s="24"/>
      <c r="M36" s="21" t="s">
        <v>122</v>
      </c>
      <c r="N36" s="21" t="s">
        <v>107</v>
      </c>
      <c r="O36" s="25" t="n">
        <v>45530</v>
      </c>
      <c r="P36" s="26" t="n">
        <v>11606.67</v>
      </c>
      <c r="Q36" s="27" t="n">
        <f aca="false">IF(A36="","",SUMIF(Expenses!$B$2:$B$3000,A36,Expenses!$E$2:$E$3000))</f>
        <v>0</v>
      </c>
      <c r="R36" s="27" t="n">
        <f aca="false">IF(A36="","",N(P36)+N(Q36))</f>
        <v>11606.67</v>
      </c>
      <c r="S36" s="28"/>
      <c r="T36" s="25" t="n">
        <v>45593</v>
      </c>
      <c r="U36" s="26" t="n">
        <v>13850</v>
      </c>
      <c r="V36" s="26" t="n">
        <v>0.33</v>
      </c>
      <c r="W36" s="26"/>
      <c r="X36" s="27" t="n">
        <f aca="false">IF(B36&lt;&gt;"SOLD","",IF(C36="Consignment",N(W36)-R36,N(U36)-R36-N(V36)))</f>
        <v>2243</v>
      </c>
      <c r="Y36" s="29" t="n">
        <f aca="false">IF(OR(X36="",N(R36)=0),"",X36/R36)</f>
        <v>0.193250949669457</v>
      </c>
      <c r="Z36" s="30" t="n">
        <f aca="true">IF(O36="","",IF(T36="",TODAY(),T36)-O36)</f>
        <v>63</v>
      </c>
      <c r="AA36" s="31" t="str">
        <f aca="false">IF(T36="","",TEXT(T36,"YYYY-MM"))</f>
        <v>2024-10</v>
      </c>
      <c r="AB36" s="27" t="n">
        <f aca="false">IF(X36="","",X36/2)</f>
        <v>1121.5</v>
      </c>
      <c r="AC36" s="21"/>
    </row>
    <row r="37" customFormat="false" ht="15" hidden="false" customHeight="false" outlineLevel="0" collapsed="false">
      <c r="A37" s="20" t="n">
        <v>37</v>
      </c>
      <c r="B37" s="21" t="s">
        <v>100</v>
      </c>
      <c r="C37" s="21" t="s">
        <v>101</v>
      </c>
      <c r="D37" s="21" t="s">
        <v>52</v>
      </c>
      <c r="E37" s="21" t="s">
        <v>134</v>
      </c>
      <c r="F37" s="21" t="s">
        <v>124</v>
      </c>
      <c r="G37" s="22" t="n">
        <v>43221</v>
      </c>
      <c r="H37" s="21" t="s">
        <v>174</v>
      </c>
      <c r="I37" s="21" t="s">
        <v>165</v>
      </c>
      <c r="J37" s="21"/>
      <c r="K37" s="23" t="n">
        <v>176100</v>
      </c>
      <c r="L37" s="24"/>
      <c r="M37" s="21" t="s">
        <v>122</v>
      </c>
      <c r="N37" s="21" t="s">
        <v>113</v>
      </c>
      <c r="O37" s="25" t="n">
        <v>45532</v>
      </c>
      <c r="P37" s="26" t="n">
        <v>7566</v>
      </c>
      <c r="Q37" s="27" t="n">
        <f aca="false">IF(A37="","",SUMIF(Expenses!$B$2:$B$3000,A37,Expenses!$E$2:$E$3000))</f>
        <v>0</v>
      </c>
      <c r="R37" s="27" t="n">
        <f aca="false">IF(A37="","",N(P37)+N(Q37))</f>
        <v>7566</v>
      </c>
      <c r="S37" s="28"/>
      <c r="T37" s="25" t="n">
        <v>45639</v>
      </c>
      <c r="U37" s="26" t="n">
        <v>9980</v>
      </c>
      <c r="V37" s="26" t="n">
        <v>1450</v>
      </c>
      <c r="W37" s="26"/>
      <c r="X37" s="27" t="n">
        <f aca="false">IF(B37&lt;&gt;"SOLD","",IF(C37="Consignment",N(W37)-R37,N(U37)-R37-N(V37)))</f>
        <v>964</v>
      </c>
      <c r="Y37" s="29" t="n">
        <f aca="false">IF(OR(X37="",N(R37)=0),"",X37/R37)</f>
        <v>0.12741210679355</v>
      </c>
      <c r="Z37" s="30" t="n">
        <f aca="true">IF(O37="","",IF(T37="",TODAY(),T37)-O37)</f>
        <v>107</v>
      </c>
      <c r="AA37" s="31" t="str">
        <f aca="false">IF(T37="","",TEXT(T37,"YYYY-MM"))</f>
        <v>2024-12</v>
      </c>
      <c r="AB37" s="27" t="n">
        <f aca="false">IF(X37="","",X37/2)</f>
        <v>482</v>
      </c>
      <c r="AC37" s="21"/>
    </row>
    <row r="38" customFormat="false" ht="15" hidden="false" customHeight="false" outlineLevel="0" collapsed="false">
      <c r="A38" s="20" t="n">
        <v>38</v>
      </c>
      <c r="B38" s="21" t="s">
        <v>100</v>
      </c>
      <c r="C38" s="21" t="s">
        <v>101</v>
      </c>
      <c r="D38" s="21" t="s">
        <v>52</v>
      </c>
      <c r="E38" s="21" t="s">
        <v>134</v>
      </c>
      <c r="F38" s="21" t="s">
        <v>124</v>
      </c>
      <c r="G38" s="22" t="n">
        <v>43040</v>
      </c>
      <c r="H38" s="21" t="s">
        <v>174</v>
      </c>
      <c r="I38" s="21" t="s">
        <v>111</v>
      </c>
      <c r="J38" s="21"/>
      <c r="K38" s="23" t="n">
        <v>113100</v>
      </c>
      <c r="L38" s="24"/>
      <c r="M38" s="21" t="s">
        <v>133</v>
      </c>
      <c r="N38" s="21" t="s">
        <v>107</v>
      </c>
      <c r="O38" s="25" t="n">
        <v>45534</v>
      </c>
      <c r="P38" s="26" t="n">
        <v>9985</v>
      </c>
      <c r="Q38" s="27" t="n">
        <f aca="false">IF(A38="","",SUMIF(Expenses!$B$2:$B$3000,A38,Expenses!$E$2:$E$3000))</f>
        <v>0</v>
      </c>
      <c r="R38" s="27" t="n">
        <f aca="false">IF(A38="","",N(P38)+N(Q38))</f>
        <v>9985</v>
      </c>
      <c r="S38" s="28"/>
      <c r="T38" s="25" t="n">
        <v>45615</v>
      </c>
      <c r="U38" s="26" t="n">
        <v>12000</v>
      </c>
      <c r="V38" s="26" t="n">
        <v>0</v>
      </c>
      <c r="W38" s="26"/>
      <c r="X38" s="27" t="n">
        <f aca="false">IF(B38&lt;&gt;"SOLD","",IF(C38="Consignment",N(W38)-R38,N(U38)-R38-N(V38)))</f>
        <v>2015</v>
      </c>
      <c r="Y38" s="29" t="n">
        <f aca="false">IF(OR(X38="",N(R38)=0),"",X38/R38)</f>
        <v>0.201802704056084</v>
      </c>
      <c r="Z38" s="30" t="n">
        <f aca="true">IF(O38="","",IF(T38="",TODAY(),T38)-O38)</f>
        <v>81</v>
      </c>
      <c r="AA38" s="31" t="str">
        <f aca="false">IF(T38="","",TEXT(T38,"YYYY-MM"))</f>
        <v>2024-11</v>
      </c>
      <c r="AB38" s="27" t="n">
        <f aca="false">IF(X38="","",X38/2)</f>
        <v>1007.5</v>
      </c>
      <c r="AC38" s="21"/>
    </row>
    <row r="39" customFormat="false" ht="15" hidden="false" customHeight="false" outlineLevel="0" collapsed="false">
      <c r="A39" s="20" t="n">
        <v>39</v>
      </c>
      <c r="B39" s="21" t="s">
        <v>100</v>
      </c>
      <c r="C39" s="21" t="s">
        <v>101</v>
      </c>
      <c r="D39" s="21" t="s">
        <v>53</v>
      </c>
      <c r="E39" s="21" t="s">
        <v>175</v>
      </c>
      <c r="F39" s="21" t="s">
        <v>176</v>
      </c>
      <c r="G39" s="22" t="n">
        <v>43709</v>
      </c>
      <c r="H39" s="21" t="s">
        <v>116</v>
      </c>
      <c r="I39" s="21" t="s">
        <v>111</v>
      </c>
      <c r="J39" s="21"/>
      <c r="K39" s="23" t="n">
        <v>197800</v>
      </c>
      <c r="L39" s="24"/>
      <c r="M39" s="21" t="s">
        <v>177</v>
      </c>
      <c r="N39" s="21" t="s">
        <v>113</v>
      </c>
      <c r="O39" s="25" t="n">
        <v>45537</v>
      </c>
      <c r="P39" s="26" t="n">
        <v>7180</v>
      </c>
      <c r="Q39" s="27" t="n">
        <f aca="false">IF(A39="","",SUMIF(Expenses!$B$2:$B$3000,A39,Expenses!$E$2:$E$3000))</f>
        <v>0</v>
      </c>
      <c r="R39" s="27" t="n">
        <f aca="false">IF(A39="","",N(P39)+N(Q39))</f>
        <v>7180</v>
      </c>
      <c r="S39" s="28"/>
      <c r="T39" s="25" t="n">
        <v>45640</v>
      </c>
      <c r="U39" s="26" t="n">
        <v>10500</v>
      </c>
      <c r="V39" s="26" t="n">
        <v>1750</v>
      </c>
      <c r="W39" s="26"/>
      <c r="X39" s="27" t="n">
        <f aca="false">IF(B39&lt;&gt;"SOLD","",IF(C39="Consignment",N(W39)-R39,N(U39)-R39-N(V39)))</f>
        <v>1570</v>
      </c>
      <c r="Y39" s="29" t="n">
        <f aca="false">IF(OR(X39="",N(R39)=0),"",X39/R39)</f>
        <v>0.21866295264624</v>
      </c>
      <c r="Z39" s="30" t="n">
        <f aca="true">IF(O39="","",IF(T39="",TODAY(),T39)-O39)</f>
        <v>103</v>
      </c>
      <c r="AA39" s="31" t="str">
        <f aca="false">IF(T39="","",TEXT(T39,"YYYY-MM"))</f>
        <v>2024-12</v>
      </c>
      <c r="AB39" s="27" t="n">
        <f aca="false">IF(X39="","",X39/2)</f>
        <v>785</v>
      </c>
      <c r="AC39" s="21"/>
    </row>
    <row r="40" customFormat="false" ht="15" hidden="false" customHeight="false" outlineLevel="0" collapsed="false">
      <c r="A40" s="20" t="n">
        <v>40</v>
      </c>
      <c r="B40" s="21" t="s">
        <v>100</v>
      </c>
      <c r="C40" s="21" t="s">
        <v>101</v>
      </c>
      <c r="D40" s="21" t="s">
        <v>54</v>
      </c>
      <c r="E40" s="21" t="s">
        <v>131</v>
      </c>
      <c r="F40" s="21" t="s">
        <v>132</v>
      </c>
      <c r="G40" s="22" t="n">
        <v>42401</v>
      </c>
      <c r="H40" s="21" t="s">
        <v>116</v>
      </c>
      <c r="I40" s="21" t="s">
        <v>129</v>
      </c>
      <c r="J40" s="21"/>
      <c r="K40" s="23" t="n">
        <v>175900</v>
      </c>
      <c r="L40" s="24"/>
      <c r="M40" s="21" t="s">
        <v>133</v>
      </c>
      <c r="N40" s="21" t="s">
        <v>107</v>
      </c>
      <c r="O40" s="25" t="n">
        <v>45537</v>
      </c>
      <c r="P40" s="26" t="n">
        <v>12454.17</v>
      </c>
      <c r="Q40" s="27" t="n">
        <f aca="false">IF(A40="","",SUMIF(Expenses!$B$2:$B$3000,A40,Expenses!$E$2:$E$3000))</f>
        <v>0</v>
      </c>
      <c r="R40" s="27" t="n">
        <f aca="false">IF(A40="","",N(P40)+N(Q40))</f>
        <v>12454.17</v>
      </c>
      <c r="S40" s="28"/>
      <c r="T40" s="25" t="n">
        <v>45640</v>
      </c>
      <c r="U40" s="26" t="n">
        <v>14000</v>
      </c>
      <c r="V40" s="26" t="n">
        <v>-0.17</v>
      </c>
      <c r="W40" s="26"/>
      <c r="X40" s="27" t="n">
        <f aca="false">IF(B40&lt;&gt;"SOLD","",IF(C40="Consignment",N(W40)-R40,N(U40)-R40-N(V40)))</f>
        <v>1546</v>
      </c>
      <c r="Y40" s="29" t="n">
        <f aca="false">IF(OR(X40="",N(R40)=0),"",X40/R40)</f>
        <v>0.124135129037102</v>
      </c>
      <c r="Z40" s="30" t="n">
        <f aca="true">IF(O40="","",IF(T40="",TODAY(),T40)-O40)</f>
        <v>103</v>
      </c>
      <c r="AA40" s="31" t="str">
        <f aca="false">IF(T40="","",TEXT(T40,"YYYY-MM"))</f>
        <v>2024-12</v>
      </c>
      <c r="AB40" s="27" t="n">
        <f aca="false">IF(X40="","",X40/2)</f>
        <v>773</v>
      </c>
      <c r="AC40" s="21"/>
    </row>
    <row r="41" customFormat="false" ht="15" hidden="false" customHeight="false" outlineLevel="0" collapsed="false">
      <c r="A41" s="20" t="n">
        <v>41</v>
      </c>
      <c r="B41" s="21" t="s">
        <v>100</v>
      </c>
      <c r="C41" s="21" t="s">
        <v>101</v>
      </c>
      <c r="D41" s="21" t="s">
        <v>51</v>
      </c>
      <c r="E41" s="21" t="s">
        <v>163</v>
      </c>
      <c r="F41" s="21" t="s">
        <v>137</v>
      </c>
      <c r="G41" s="22" t="n">
        <v>42644</v>
      </c>
      <c r="H41" s="21" t="s">
        <v>116</v>
      </c>
      <c r="I41" s="21" t="s">
        <v>117</v>
      </c>
      <c r="J41" s="21"/>
      <c r="K41" s="23" t="n">
        <v>178900</v>
      </c>
      <c r="L41" s="24"/>
      <c r="M41" s="21" t="s">
        <v>148</v>
      </c>
      <c r="N41" s="21" t="s">
        <v>113</v>
      </c>
      <c r="O41" s="25" t="n">
        <v>45541</v>
      </c>
      <c r="P41" s="26" t="n">
        <v>9275</v>
      </c>
      <c r="Q41" s="27" t="n">
        <f aca="false">IF(A41="","",SUMIF(Expenses!$B$2:$B$3000,A41,Expenses!$E$2:$E$3000))</f>
        <v>0</v>
      </c>
      <c r="R41" s="27" t="n">
        <f aca="false">IF(A41="","",N(P41)+N(Q41))</f>
        <v>9275</v>
      </c>
      <c r="S41" s="28"/>
      <c r="T41" s="25" t="n">
        <v>45668</v>
      </c>
      <c r="U41" s="26" t="n">
        <v>12999</v>
      </c>
      <c r="V41" s="26" t="n">
        <v>2431</v>
      </c>
      <c r="W41" s="26"/>
      <c r="X41" s="27" t="n">
        <f aca="false">IF(B41&lt;&gt;"SOLD","",IF(C41="Consignment",N(W41)-R41,N(U41)-R41-N(V41)))</f>
        <v>1293</v>
      </c>
      <c r="Y41" s="29" t="n">
        <f aca="false">IF(OR(X41="",N(R41)=0),"",X41/R41)</f>
        <v>0.139407008086253</v>
      </c>
      <c r="Z41" s="30" t="n">
        <f aca="true">IF(O41="","",IF(T41="",TODAY(),T41)-O41)</f>
        <v>127</v>
      </c>
      <c r="AA41" s="31" t="str">
        <f aca="false">IF(T41="","",TEXT(T41,"YYYY-MM"))</f>
        <v>2025-01</v>
      </c>
      <c r="AB41" s="27" t="n">
        <f aca="false">IF(X41="","",X41/2)</f>
        <v>646.5</v>
      </c>
      <c r="AC41" s="21"/>
    </row>
    <row r="42" customFormat="false" ht="15" hidden="false" customHeight="false" outlineLevel="0" collapsed="false">
      <c r="A42" s="20" t="n">
        <v>42</v>
      </c>
      <c r="B42" s="21" t="s">
        <v>100</v>
      </c>
      <c r="C42" s="21" t="s">
        <v>101</v>
      </c>
      <c r="D42" s="21" t="s">
        <v>52</v>
      </c>
      <c r="E42" s="21" t="s">
        <v>114</v>
      </c>
      <c r="F42" s="21" t="s">
        <v>115</v>
      </c>
      <c r="G42" s="22" t="n">
        <v>42309</v>
      </c>
      <c r="H42" s="21" t="s">
        <v>116</v>
      </c>
      <c r="I42" s="21" t="s">
        <v>117</v>
      </c>
      <c r="J42" s="21"/>
      <c r="K42" s="23" t="n">
        <v>185200</v>
      </c>
      <c r="L42" s="24"/>
      <c r="M42" s="21" t="s">
        <v>133</v>
      </c>
      <c r="N42" s="21" t="s">
        <v>107</v>
      </c>
      <c r="O42" s="25" t="n">
        <v>45539</v>
      </c>
      <c r="P42" s="26" t="n">
        <v>12314.67</v>
      </c>
      <c r="Q42" s="27" t="n">
        <f aca="false">IF(A42="","",SUMIF(Expenses!$B$2:$B$3000,A42,Expenses!$E$2:$E$3000))</f>
        <v>0</v>
      </c>
      <c r="R42" s="27" t="n">
        <f aca="false">IF(A42="","",N(P42)+N(Q42))</f>
        <v>12314.67</v>
      </c>
      <c r="S42" s="28"/>
      <c r="T42" s="25" t="n">
        <v>45657</v>
      </c>
      <c r="U42" s="26" t="n">
        <v>14300</v>
      </c>
      <c r="V42" s="26" t="n">
        <v>0.33</v>
      </c>
      <c r="W42" s="26"/>
      <c r="X42" s="27" t="n">
        <f aca="false">IF(B42&lt;&gt;"SOLD","",IF(C42="Consignment",N(W42)-R42,N(U42)-R42-N(V42)))</f>
        <v>1985</v>
      </c>
      <c r="Y42" s="29" t="n">
        <f aca="false">IF(OR(X42="",N(R42)=0),"",X42/R42)</f>
        <v>0.161189865420673</v>
      </c>
      <c r="Z42" s="30" t="n">
        <f aca="true">IF(O42="","",IF(T42="",TODAY(),T42)-O42)</f>
        <v>118</v>
      </c>
      <c r="AA42" s="31" t="str">
        <f aca="false">IF(T42="","",TEXT(T42,"YYYY-MM"))</f>
        <v>2024-12</v>
      </c>
      <c r="AB42" s="27" t="n">
        <f aca="false">IF(X42="","",X42/2)</f>
        <v>992.5</v>
      </c>
      <c r="AC42" s="21"/>
    </row>
    <row r="43" customFormat="false" ht="15" hidden="false" customHeight="false" outlineLevel="0" collapsed="false">
      <c r="A43" s="20" t="n">
        <v>43</v>
      </c>
      <c r="B43" s="21" t="s">
        <v>100</v>
      </c>
      <c r="C43" s="21" t="s">
        <v>101</v>
      </c>
      <c r="D43" s="21" t="s">
        <v>55</v>
      </c>
      <c r="E43" s="21" t="s">
        <v>178</v>
      </c>
      <c r="F43" s="21" t="s">
        <v>179</v>
      </c>
      <c r="G43" s="22" t="n">
        <v>43160</v>
      </c>
      <c r="H43" s="21" t="s">
        <v>180</v>
      </c>
      <c r="I43" s="21" t="s">
        <v>105</v>
      </c>
      <c r="J43" s="21"/>
      <c r="K43" s="23" t="n">
        <v>169600</v>
      </c>
      <c r="L43" s="24"/>
      <c r="M43" s="21" t="s">
        <v>148</v>
      </c>
      <c r="N43" s="21" t="s">
        <v>113</v>
      </c>
      <c r="O43" s="25" t="n">
        <v>45548</v>
      </c>
      <c r="P43" s="26" t="n">
        <v>12980</v>
      </c>
      <c r="Q43" s="27" t="n">
        <f aca="false">IF(A43="","",SUMIF(Expenses!$B$2:$B$3000,A43,Expenses!$E$2:$E$3000))</f>
        <v>0</v>
      </c>
      <c r="R43" s="27" t="n">
        <f aca="false">IF(A43="","",N(P43)+N(Q43))</f>
        <v>12980</v>
      </c>
      <c r="S43" s="28"/>
      <c r="T43" s="25" t="n">
        <v>45639</v>
      </c>
      <c r="U43" s="26" t="n">
        <v>18800</v>
      </c>
      <c r="V43" s="26" t="n">
        <v>2833</v>
      </c>
      <c r="W43" s="26"/>
      <c r="X43" s="27" t="n">
        <f aca="false">IF(B43&lt;&gt;"SOLD","",IF(C43="Consignment",N(W43)-R43,N(U43)-R43-N(V43)))</f>
        <v>2987</v>
      </c>
      <c r="Y43" s="29" t="n">
        <f aca="false">IF(OR(X43="",N(R43)=0),"",X43/R43)</f>
        <v>0.230123266563945</v>
      </c>
      <c r="Z43" s="30" t="n">
        <f aca="true">IF(O43="","",IF(T43="",TODAY(),T43)-O43)</f>
        <v>91</v>
      </c>
      <c r="AA43" s="31" t="str">
        <f aca="false">IF(T43="","",TEXT(T43,"YYYY-MM"))</f>
        <v>2024-12</v>
      </c>
      <c r="AB43" s="27" t="n">
        <f aca="false">IF(X43="","",X43/2)</f>
        <v>1493.5</v>
      </c>
      <c r="AC43" s="21"/>
    </row>
    <row r="44" customFormat="false" ht="15" hidden="false" customHeight="false" outlineLevel="0" collapsed="false">
      <c r="A44" s="20" t="n">
        <v>44</v>
      </c>
      <c r="B44" s="21" t="s">
        <v>100</v>
      </c>
      <c r="C44" s="21" t="s">
        <v>101</v>
      </c>
      <c r="D44" s="21" t="s">
        <v>54</v>
      </c>
      <c r="E44" s="21" t="s">
        <v>159</v>
      </c>
      <c r="F44" s="21" t="s">
        <v>132</v>
      </c>
      <c r="G44" s="22" t="n">
        <v>40969</v>
      </c>
      <c r="H44" s="21" t="s">
        <v>171</v>
      </c>
      <c r="I44" s="21" t="s">
        <v>129</v>
      </c>
      <c r="J44" s="21" t="s">
        <v>161</v>
      </c>
      <c r="K44" s="23" t="n">
        <v>197800</v>
      </c>
      <c r="L44" s="24"/>
      <c r="M44" s="21" t="s">
        <v>122</v>
      </c>
      <c r="N44" s="21" t="s">
        <v>107</v>
      </c>
      <c r="O44" s="25" t="n">
        <v>45554</v>
      </c>
      <c r="P44" s="26" t="n">
        <v>10681.67</v>
      </c>
      <c r="Q44" s="27" t="n">
        <f aca="false">IF(A44="","",SUMIF(Expenses!$B$2:$B$3000,A44,Expenses!$E$2:$E$3000))</f>
        <v>0</v>
      </c>
      <c r="R44" s="27" t="n">
        <f aca="false">IF(A44="","",N(P44)+N(Q44))</f>
        <v>10681.67</v>
      </c>
      <c r="S44" s="28"/>
      <c r="T44" s="25" t="n">
        <v>45607</v>
      </c>
      <c r="U44" s="26" t="n">
        <v>13190</v>
      </c>
      <c r="V44" s="26" t="n">
        <v>0.33</v>
      </c>
      <c r="W44" s="26"/>
      <c r="X44" s="27" t="n">
        <f aca="false">IF(B44&lt;&gt;"SOLD","",IF(C44="Consignment",N(W44)-R44,N(U44)-R44-N(V44)))</f>
        <v>2508</v>
      </c>
      <c r="Y44" s="29" t="n">
        <f aca="false">IF(OR(X44="",N(R44)=0),"",X44/R44)</f>
        <v>0.234794746514356</v>
      </c>
      <c r="Z44" s="30" t="n">
        <f aca="true">IF(O44="","",IF(T44="",TODAY(),T44)-O44)</f>
        <v>53</v>
      </c>
      <c r="AA44" s="31" t="str">
        <f aca="false">IF(T44="","",TEXT(T44,"YYYY-MM"))</f>
        <v>2024-11</v>
      </c>
      <c r="AB44" s="27" t="n">
        <f aca="false">IF(X44="","",X44/2)</f>
        <v>1254</v>
      </c>
      <c r="AC44" s="21"/>
    </row>
    <row r="45" customFormat="false" ht="15" hidden="false" customHeight="false" outlineLevel="0" collapsed="false">
      <c r="A45" s="20" t="n">
        <v>45</v>
      </c>
      <c r="B45" s="21" t="s">
        <v>100</v>
      </c>
      <c r="C45" s="21" t="s">
        <v>101</v>
      </c>
      <c r="D45" s="21" t="s">
        <v>53</v>
      </c>
      <c r="E45" s="21" t="s">
        <v>145</v>
      </c>
      <c r="F45" s="21" t="s">
        <v>115</v>
      </c>
      <c r="G45" s="22" t="n">
        <v>42979</v>
      </c>
      <c r="H45" s="21" t="s">
        <v>116</v>
      </c>
      <c r="I45" s="21" t="s">
        <v>111</v>
      </c>
      <c r="J45" s="21" t="s">
        <v>161</v>
      </c>
      <c r="K45" s="23" t="n">
        <v>163600</v>
      </c>
      <c r="L45" s="24"/>
      <c r="M45" s="21" t="s">
        <v>122</v>
      </c>
      <c r="N45" s="21" t="s">
        <v>107</v>
      </c>
      <c r="O45" s="25" t="n">
        <v>45566</v>
      </c>
      <c r="P45" s="26" t="n">
        <v>14120.83</v>
      </c>
      <c r="Q45" s="27" t="n">
        <f aca="false">IF(A45="","",SUMIF(Expenses!$B$2:$B$3000,A45,Expenses!$E$2:$E$3000))</f>
        <v>0</v>
      </c>
      <c r="R45" s="27" t="n">
        <f aca="false">IF(A45="","",N(P45)+N(Q45))</f>
        <v>14120.83</v>
      </c>
      <c r="S45" s="28"/>
      <c r="T45" s="25" t="n">
        <v>45619</v>
      </c>
      <c r="U45" s="26" t="n">
        <v>17000</v>
      </c>
      <c r="V45" s="26" t="n">
        <v>0.17</v>
      </c>
      <c r="W45" s="26"/>
      <c r="X45" s="27" t="n">
        <f aca="false">IF(B45&lt;&gt;"SOLD","",IF(C45="Consignment",N(W45)-R45,N(U45)-R45-N(V45)))</f>
        <v>2879</v>
      </c>
      <c r="Y45" s="29" t="n">
        <f aca="false">IF(OR(X45="",N(R45)=0),"",X45/R45)</f>
        <v>0.203883199500313</v>
      </c>
      <c r="Z45" s="30" t="n">
        <f aca="true">IF(O45="","",IF(T45="",TODAY(),T45)-O45)</f>
        <v>53</v>
      </c>
      <c r="AA45" s="31" t="str">
        <f aca="false">IF(T45="","",TEXT(T45,"YYYY-MM"))</f>
        <v>2024-11</v>
      </c>
      <c r="AB45" s="27" t="n">
        <f aca="false">IF(X45="","",X45/2)</f>
        <v>1439.5</v>
      </c>
      <c r="AC45" s="21"/>
    </row>
    <row r="46" customFormat="false" ht="15" hidden="false" customHeight="false" outlineLevel="0" collapsed="false">
      <c r="A46" s="20" t="n">
        <v>46</v>
      </c>
      <c r="B46" s="21" t="s">
        <v>100</v>
      </c>
      <c r="C46" s="21" t="s">
        <v>101</v>
      </c>
      <c r="D46" s="21" t="s">
        <v>57</v>
      </c>
      <c r="E46" s="21" t="s">
        <v>181</v>
      </c>
      <c r="F46" s="21" t="s">
        <v>182</v>
      </c>
      <c r="G46" s="22" t="n">
        <v>40391</v>
      </c>
      <c r="H46" s="21" t="s">
        <v>183</v>
      </c>
      <c r="I46" s="21" t="s">
        <v>111</v>
      </c>
      <c r="J46" s="21"/>
      <c r="K46" s="23" t="n">
        <v>169700</v>
      </c>
      <c r="L46" s="24"/>
      <c r="M46" s="21" t="s">
        <v>173</v>
      </c>
      <c r="N46" s="21" t="s">
        <v>107</v>
      </c>
      <c r="O46" s="25" t="n">
        <v>45572</v>
      </c>
      <c r="P46" s="26" t="n">
        <v>4975</v>
      </c>
      <c r="Q46" s="27" t="n">
        <f aca="false">IF(A46="","",SUMIF(Expenses!$B$2:$B$3000,A46,Expenses!$E$2:$E$3000))</f>
        <v>0</v>
      </c>
      <c r="R46" s="27" t="n">
        <f aca="false">IF(A46="","",N(P46)+N(Q46))</f>
        <v>4975</v>
      </c>
      <c r="S46" s="28"/>
      <c r="T46" s="25" t="n">
        <v>45610</v>
      </c>
      <c r="U46" s="26" t="n">
        <v>6650</v>
      </c>
      <c r="V46" s="26" t="n">
        <v>0</v>
      </c>
      <c r="W46" s="26"/>
      <c r="X46" s="27" t="n">
        <f aca="false">IF(B46&lt;&gt;"SOLD","",IF(C46="Consignment",N(W46)-R46,N(U46)-R46-N(V46)))</f>
        <v>1675</v>
      </c>
      <c r="Y46" s="29" t="n">
        <f aca="false">IF(OR(X46="",N(R46)=0),"",X46/R46)</f>
        <v>0.336683417085427</v>
      </c>
      <c r="Z46" s="30" t="n">
        <f aca="true">IF(O46="","",IF(T46="",TODAY(),T46)-O46)</f>
        <v>38</v>
      </c>
      <c r="AA46" s="31" t="str">
        <f aca="false">IF(T46="","",TEXT(T46,"YYYY-MM"))</f>
        <v>2024-11</v>
      </c>
      <c r="AB46" s="27" t="n">
        <f aca="false">IF(X46="","",X46/2)</f>
        <v>837.5</v>
      </c>
      <c r="AC46" s="21"/>
    </row>
    <row r="47" customFormat="false" ht="15" hidden="false" customHeight="false" outlineLevel="0" collapsed="false">
      <c r="A47" s="20" t="n">
        <v>47</v>
      </c>
      <c r="B47" s="21" t="s">
        <v>100</v>
      </c>
      <c r="C47" s="21" t="s">
        <v>101</v>
      </c>
      <c r="D47" s="21" t="s">
        <v>52</v>
      </c>
      <c r="E47" s="21" t="s">
        <v>134</v>
      </c>
      <c r="F47" s="21" t="s">
        <v>115</v>
      </c>
      <c r="G47" s="22" t="n">
        <v>43070</v>
      </c>
      <c r="H47" s="21" t="s">
        <v>116</v>
      </c>
      <c r="I47" s="21" t="s">
        <v>111</v>
      </c>
      <c r="J47" s="21"/>
      <c r="K47" s="23" t="n">
        <v>188600</v>
      </c>
      <c r="L47" s="24"/>
      <c r="M47" s="21" t="s">
        <v>173</v>
      </c>
      <c r="N47" s="21" t="s">
        <v>107</v>
      </c>
      <c r="O47" s="25" t="n">
        <v>45582</v>
      </c>
      <c r="P47" s="26" t="n">
        <v>11332.67</v>
      </c>
      <c r="Q47" s="27" t="n">
        <f aca="false">IF(A47="","",SUMIF(Expenses!$B$2:$B$3000,A47,Expenses!$E$2:$E$3000))</f>
        <v>0</v>
      </c>
      <c r="R47" s="27" t="n">
        <f aca="false">IF(A47="","",N(P47)+N(Q47))</f>
        <v>11332.67</v>
      </c>
      <c r="S47" s="28"/>
      <c r="T47" s="25" t="n">
        <v>45620</v>
      </c>
      <c r="U47" s="26" t="n">
        <v>13100</v>
      </c>
      <c r="V47" s="26" t="n">
        <v>0.33</v>
      </c>
      <c r="W47" s="26"/>
      <c r="X47" s="27" t="n">
        <f aca="false">IF(B47&lt;&gt;"SOLD","",IF(C47="Consignment",N(W47)-R47,N(U47)-R47-N(V47)))</f>
        <v>1767</v>
      </c>
      <c r="Y47" s="29" t="n">
        <f aca="false">IF(OR(X47="",N(R47)=0),"",X47/R47)</f>
        <v>0.155920890663895</v>
      </c>
      <c r="Z47" s="30" t="n">
        <f aca="true">IF(O47="","",IF(T47="",TODAY(),T47)-O47)</f>
        <v>38</v>
      </c>
      <c r="AA47" s="31" t="str">
        <f aca="false">IF(T47="","",TEXT(T47,"YYYY-MM"))</f>
        <v>2024-11</v>
      </c>
      <c r="AB47" s="27" t="n">
        <f aca="false">IF(X47="","",X47/2)</f>
        <v>883.5</v>
      </c>
      <c r="AC47" s="21"/>
    </row>
    <row r="48" customFormat="false" ht="15" hidden="false" customHeight="false" outlineLevel="0" collapsed="false">
      <c r="A48" s="20" t="n">
        <v>48</v>
      </c>
      <c r="B48" s="21" t="s">
        <v>100</v>
      </c>
      <c r="C48" s="21" t="s">
        <v>101</v>
      </c>
      <c r="D48" s="21" t="s">
        <v>54</v>
      </c>
      <c r="E48" s="21" t="s">
        <v>131</v>
      </c>
      <c r="F48" s="21" t="s">
        <v>184</v>
      </c>
      <c r="G48" s="22" t="n">
        <v>42705</v>
      </c>
      <c r="H48" s="21" t="s">
        <v>185</v>
      </c>
      <c r="I48" s="21" t="s">
        <v>129</v>
      </c>
      <c r="J48" s="21"/>
      <c r="K48" s="23" t="n">
        <v>185800</v>
      </c>
      <c r="L48" s="24"/>
      <c r="M48" s="21" t="s">
        <v>112</v>
      </c>
      <c r="N48" s="21" t="s">
        <v>107</v>
      </c>
      <c r="O48" s="25" t="n">
        <v>45597</v>
      </c>
      <c r="P48" s="26" t="n">
        <v>12498.33</v>
      </c>
      <c r="Q48" s="27" t="n">
        <f aca="false">IF(A48="","",SUMIF(Expenses!$B$2:$B$3000,A48,Expenses!$E$2:$E$3000))</f>
        <v>0</v>
      </c>
      <c r="R48" s="27" t="n">
        <f aca="false">IF(A48="","",N(P48)+N(Q48))</f>
        <v>12498.33</v>
      </c>
      <c r="S48" s="28"/>
      <c r="T48" s="25" t="n">
        <v>45634</v>
      </c>
      <c r="U48" s="26" t="n">
        <v>14750</v>
      </c>
      <c r="V48" s="26" t="n">
        <v>-0.33</v>
      </c>
      <c r="W48" s="26"/>
      <c r="X48" s="27" t="n">
        <f aca="false">IF(B48&lt;&gt;"SOLD","",IF(C48="Consignment",N(W48)-R48,N(U48)-R48-N(V48)))</f>
        <v>2252</v>
      </c>
      <c r="Y48" s="29" t="n">
        <f aca="false">IF(OR(X48="",N(R48)=0),"",X48/R48)</f>
        <v>0.180184072592098</v>
      </c>
      <c r="Z48" s="30" t="n">
        <f aca="true">IF(O48="","",IF(T48="",TODAY(),T48)-O48)</f>
        <v>37</v>
      </c>
      <c r="AA48" s="31" t="str">
        <f aca="false">IF(T48="","",TEXT(T48,"YYYY-MM"))</f>
        <v>2024-12</v>
      </c>
      <c r="AB48" s="27" t="n">
        <f aca="false">IF(X48="","",X48/2)</f>
        <v>1126</v>
      </c>
      <c r="AC48" s="21"/>
    </row>
    <row r="49" customFormat="false" ht="15" hidden="false" customHeight="false" outlineLevel="0" collapsed="false">
      <c r="A49" s="20" t="n">
        <v>49</v>
      </c>
      <c r="B49" s="21" t="s">
        <v>100</v>
      </c>
      <c r="C49" s="21" t="s">
        <v>101</v>
      </c>
      <c r="D49" s="21" t="s">
        <v>52</v>
      </c>
      <c r="E49" s="21" t="s">
        <v>134</v>
      </c>
      <c r="F49" s="21" t="s">
        <v>124</v>
      </c>
      <c r="G49" s="22" t="n">
        <v>43101</v>
      </c>
      <c r="H49" s="21" t="s">
        <v>143</v>
      </c>
      <c r="I49" s="21" t="s">
        <v>111</v>
      </c>
      <c r="J49" s="21"/>
      <c r="K49" s="23" t="n">
        <v>185200</v>
      </c>
      <c r="L49" s="24"/>
      <c r="M49" s="21" t="s">
        <v>112</v>
      </c>
      <c r="N49" s="21" t="s">
        <v>107</v>
      </c>
      <c r="O49" s="25" t="n">
        <v>45600</v>
      </c>
      <c r="P49" s="26" t="n">
        <v>9410</v>
      </c>
      <c r="Q49" s="27" t="n">
        <f aca="false">IF(A49="","",SUMIF(Expenses!$B$2:$B$3000,A49,Expenses!$E$2:$E$3000))</f>
        <v>0</v>
      </c>
      <c r="R49" s="27" t="n">
        <f aca="false">IF(A49="","",N(P49)+N(Q49))</f>
        <v>9410</v>
      </c>
      <c r="S49" s="28"/>
      <c r="T49" s="25" t="n">
        <v>45649</v>
      </c>
      <c r="U49" s="26" t="n">
        <v>12000</v>
      </c>
      <c r="V49" s="26" t="n">
        <v>0</v>
      </c>
      <c r="W49" s="26"/>
      <c r="X49" s="27" t="n">
        <f aca="false">IF(B49&lt;&gt;"SOLD","",IF(C49="Consignment",N(W49)-R49,N(U49)-R49-N(V49)))</f>
        <v>2590</v>
      </c>
      <c r="Y49" s="29" t="n">
        <f aca="false">IF(OR(X49="",N(R49)=0),"",X49/R49)</f>
        <v>0.275239107332625</v>
      </c>
      <c r="Z49" s="30" t="n">
        <f aca="true">IF(O49="","",IF(T49="",TODAY(),T49)-O49)</f>
        <v>49</v>
      </c>
      <c r="AA49" s="31" t="str">
        <f aca="false">IF(T49="","",TEXT(T49,"YYYY-MM"))</f>
        <v>2024-12</v>
      </c>
      <c r="AB49" s="27" t="n">
        <f aca="false">IF(X49="","",X49/2)</f>
        <v>1295</v>
      </c>
      <c r="AC49" s="21"/>
    </row>
    <row r="50" customFormat="false" ht="15" hidden="false" customHeight="false" outlineLevel="0" collapsed="false">
      <c r="A50" s="20" t="n">
        <v>50</v>
      </c>
      <c r="B50" s="21" t="s">
        <v>100</v>
      </c>
      <c r="C50" s="21" t="s">
        <v>101</v>
      </c>
      <c r="D50" s="21" t="s">
        <v>59</v>
      </c>
      <c r="E50" s="21" t="s">
        <v>186</v>
      </c>
      <c r="F50" s="21" t="s">
        <v>187</v>
      </c>
      <c r="G50" s="22" t="n">
        <v>43040</v>
      </c>
      <c r="H50" s="21" t="s">
        <v>188</v>
      </c>
      <c r="I50" s="21" t="s">
        <v>121</v>
      </c>
      <c r="J50" s="21"/>
      <c r="K50" s="23" t="n">
        <v>166200</v>
      </c>
      <c r="L50" s="24"/>
      <c r="M50" s="21" t="s">
        <v>148</v>
      </c>
      <c r="N50" s="21" t="s">
        <v>113</v>
      </c>
      <c r="O50" s="25" t="n">
        <v>45611</v>
      </c>
      <c r="P50" s="26" t="n">
        <v>9640</v>
      </c>
      <c r="Q50" s="27" t="n">
        <f aca="false">IF(A50="","",SUMIF(Expenses!$B$2:$B$3000,A50,Expenses!$E$2:$E$3000))</f>
        <v>0</v>
      </c>
      <c r="R50" s="27" t="n">
        <f aca="false">IF(A50="","",N(P50)+N(Q50))</f>
        <v>9640</v>
      </c>
      <c r="S50" s="28"/>
      <c r="T50" s="25" t="n">
        <v>45701</v>
      </c>
      <c r="U50" s="26" t="n">
        <v>13990</v>
      </c>
      <c r="V50" s="26" t="n">
        <v>2498</v>
      </c>
      <c r="W50" s="26"/>
      <c r="X50" s="27" t="n">
        <f aca="false">IF(B50&lt;&gt;"SOLD","",IF(C50="Consignment",N(W50)-R50,N(U50)-R50-N(V50)))</f>
        <v>1852</v>
      </c>
      <c r="Y50" s="29" t="n">
        <f aca="false">IF(OR(X50="",N(R50)=0),"",X50/R50)</f>
        <v>0.192116182572614</v>
      </c>
      <c r="Z50" s="30" t="n">
        <f aca="true">IF(O50="","",IF(T50="",TODAY(),T50)-O50)</f>
        <v>90</v>
      </c>
      <c r="AA50" s="31" t="str">
        <f aca="false">IF(T50="","",TEXT(T50,"YYYY-MM"))</f>
        <v>2025-02</v>
      </c>
      <c r="AB50" s="27" t="n">
        <f aca="false">IF(X50="","",X50/2)</f>
        <v>926</v>
      </c>
      <c r="AC50" s="21"/>
    </row>
    <row r="51" customFormat="false" ht="15" hidden="false" customHeight="false" outlineLevel="0" collapsed="false">
      <c r="A51" s="20" t="n">
        <v>51</v>
      </c>
      <c r="B51" s="21" t="s">
        <v>100</v>
      </c>
      <c r="C51" s="21" t="s">
        <v>101</v>
      </c>
      <c r="D51" s="21" t="s">
        <v>51</v>
      </c>
      <c r="E51" s="21" t="s">
        <v>189</v>
      </c>
      <c r="F51" s="21" t="s">
        <v>190</v>
      </c>
      <c r="G51" s="22" t="n">
        <v>40848</v>
      </c>
      <c r="H51" s="21" t="s">
        <v>191</v>
      </c>
      <c r="I51" s="21" t="s">
        <v>111</v>
      </c>
      <c r="J51" s="21" t="s">
        <v>161</v>
      </c>
      <c r="K51" s="23" t="n">
        <v>186200</v>
      </c>
      <c r="L51" s="24"/>
      <c r="M51" s="21" t="s">
        <v>192</v>
      </c>
      <c r="N51" s="21" t="s">
        <v>107</v>
      </c>
      <c r="O51" s="25" t="n">
        <v>45616</v>
      </c>
      <c r="P51" s="26" t="n">
        <v>6907.5</v>
      </c>
      <c r="Q51" s="27" t="n">
        <f aca="false">IF(A51="","",SUMIF(Expenses!$B$2:$B$3000,A51,Expenses!$E$2:$E$3000))</f>
        <v>0</v>
      </c>
      <c r="R51" s="27" t="n">
        <f aca="false">IF(A51="","",N(P51)+N(Q51))</f>
        <v>6907.5</v>
      </c>
      <c r="S51" s="28"/>
      <c r="T51" s="25" t="n">
        <v>45756</v>
      </c>
      <c r="U51" s="26" t="n">
        <v>8850</v>
      </c>
      <c r="V51" s="26" t="n">
        <v>-0.5</v>
      </c>
      <c r="W51" s="26"/>
      <c r="X51" s="27" t="n">
        <f aca="false">IF(B51&lt;&gt;"SOLD","",IF(C51="Consignment",N(W51)-R51,N(U51)-R51-N(V51)))</f>
        <v>1943</v>
      </c>
      <c r="Y51" s="29" t="n">
        <f aca="false">IF(OR(X51="",N(R51)=0),"",X51/R51)</f>
        <v>0.281288454578357</v>
      </c>
      <c r="Z51" s="30" t="n">
        <f aca="true">IF(O51="","",IF(T51="",TODAY(),T51)-O51)</f>
        <v>140</v>
      </c>
      <c r="AA51" s="31" t="str">
        <f aca="false">IF(T51="","",TEXT(T51,"YYYY-MM"))</f>
        <v>2025-04</v>
      </c>
      <c r="AB51" s="27" t="n">
        <f aca="false">IF(X51="","",X51/2)</f>
        <v>971.5</v>
      </c>
      <c r="AC51" s="21"/>
    </row>
    <row r="52" customFormat="false" ht="15" hidden="false" customHeight="false" outlineLevel="0" collapsed="false">
      <c r="A52" s="20" t="n">
        <v>52</v>
      </c>
      <c r="B52" s="21" t="s">
        <v>100</v>
      </c>
      <c r="C52" s="21" t="s">
        <v>101</v>
      </c>
      <c r="D52" s="21" t="s">
        <v>51</v>
      </c>
      <c r="E52" s="21" t="s">
        <v>127</v>
      </c>
      <c r="F52" s="21" t="s">
        <v>137</v>
      </c>
      <c r="G52" s="22" t="n">
        <v>40483</v>
      </c>
      <c r="H52" s="21" t="s">
        <v>193</v>
      </c>
      <c r="I52" s="21" t="s">
        <v>111</v>
      </c>
      <c r="J52" s="21"/>
      <c r="K52" s="23" t="n">
        <v>139800</v>
      </c>
      <c r="L52" s="24"/>
      <c r="M52" s="21" t="s">
        <v>122</v>
      </c>
      <c r="N52" s="21" t="s">
        <v>107</v>
      </c>
      <c r="O52" s="25" t="n">
        <v>45616</v>
      </c>
      <c r="P52" s="26" t="n">
        <v>9084.59</v>
      </c>
      <c r="Q52" s="27" t="n">
        <f aca="false">IF(A52="","",SUMIF(Expenses!$B$2:$B$3000,A52,Expenses!$E$2:$E$3000))</f>
        <v>0</v>
      </c>
      <c r="R52" s="27" t="n">
        <f aca="false">IF(A52="","",N(P52)+N(Q52))</f>
        <v>9084.59</v>
      </c>
      <c r="S52" s="28"/>
      <c r="T52" s="25" t="n">
        <v>45638</v>
      </c>
      <c r="U52" s="26" t="n">
        <v>9800</v>
      </c>
      <c r="V52" s="26" t="n">
        <v>0.41</v>
      </c>
      <c r="W52" s="26"/>
      <c r="X52" s="27" t="n">
        <f aca="false">IF(B52&lt;&gt;"SOLD","",IF(C52="Consignment",N(W52)-R52,N(U52)-R52-N(V52)))</f>
        <v>715</v>
      </c>
      <c r="Y52" s="29" t="n">
        <f aca="false">IF(OR(X52="",N(R52)=0),"",X52/R52)</f>
        <v>0.0787047076422821</v>
      </c>
      <c r="Z52" s="30" t="n">
        <f aca="true">IF(O52="","",IF(T52="",TODAY(),T52)-O52)</f>
        <v>22</v>
      </c>
      <c r="AA52" s="31" t="str">
        <f aca="false">IF(T52="","",TEXT(T52,"YYYY-MM"))</f>
        <v>2024-12</v>
      </c>
      <c r="AB52" s="27" t="n">
        <f aca="false">IF(X52="","",X52/2)</f>
        <v>357.5</v>
      </c>
      <c r="AC52" s="21"/>
    </row>
    <row r="53" customFormat="false" ht="15" hidden="false" customHeight="false" outlineLevel="0" collapsed="false">
      <c r="A53" s="20" t="n">
        <v>53</v>
      </c>
      <c r="B53" s="21" t="s">
        <v>100</v>
      </c>
      <c r="C53" s="21" t="s">
        <v>101</v>
      </c>
      <c r="D53" s="21" t="s">
        <v>51</v>
      </c>
      <c r="E53" s="21" t="s">
        <v>172</v>
      </c>
      <c r="F53" s="21" t="s">
        <v>137</v>
      </c>
      <c r="G53" s="22" t="n">
        <v>43405</v>
      </c>
      <c r="H53" s="21" t="s">
        <v>194</v>
      </c>
      <c r="I53" s="21" t="s">
        <v>111</v>
      </c>
      <c r="J53" s="21"/>
      <c r="K53" s="23" t="n">
        <v>181500</v>
      </c>
      <c r="L53" s="24"/>
      <c r="M53" s="21" t="s">
        <v>126</v>
      </c>
      <c r="N53" s="21" t="s">
        <v>113</v>
      </c>
      <c r="O53" s="25" t="n">
        <v>45624</v>
      </c>
      <c r="P53" s="26" t="n">
        <v>7515.33</v>
      </c>
      <c r="Q53" s="27" t="n">
        <f aca="false">IF(A53="","",SUMIF(Expenses!$B$2:$B$3000,A53,Expenses!$E$2:$E$3000))</f>
        <v>0</v>
      </c>
      <c r="R53" s="27" t="n">
        <f aca="false">IF(A53="","",N(P53)+N(Q53))</f>
        <v>7515.33</v>
      </c>
      <c r="S53" s="28"/>
      <c r="T53" s="25" t="n">
        <v>45674</v>
      </c>
      <c r="U53" s="26" t="n">
        <v>9500</v>
      </c>
      <c r="V53" s="26" t="n">
        <v>-0.33</v>
      </c>
      <c r="W53" s="26"/>
      <c r="X53" s="27" t="n">
        <f aca="false">IF(B53&lt;&gt;"SOLD","",IF(C53="Consignment",N(W53)-R53,N(U53)-R53-N(V53)))</f>
        <v>1985</v>
      </c>
      <c r="Y53" s="29" t="n">
        <f aca="false">IF(OR(X53="",N(R53)=0),"",X53/R53)</f>
        <v>0.264126791504831</v>
      </c>
      <c r="Z53" s="30" t="n">
        <f aca="true">IF(O53="","",IF(T53="",TODAY(),T53)-O53)</f>
        <v>50</v>
      </c>
      <c r="AA53" s="31" t="str">
        <f aca="false">IF(T53="","",TEXT(T53,"YYYY-MM"))</f>
        <v>2025-01</v>
      </c>
      <c r="AB53" s="27" t="n">
        <f aca="false">IF(X53="","",X53/2)</f>
        <v>992.5</v>
      </c>
      <c r="AC53" s="21"/>
    </row>
    <row r="54" customFormat="false" ht="15" hidden="false" customHeight="false" outlineLevel="0" collapsed="false">
      <c r="A54" s="20" t="n">
        <v>54</v>
      </c>
      <c r="B54" s="21" t="s">
        <v>100</v>
      </c>
      <c r="C54" s="21" t="s">
        <v>101</v>
      </c>
      <c r="D54" s="21" t="s">
        <v>65</v>
      </c>
      <c r="E54" s="21" t="s">
        <v>195</v>
      </c>
      <c r="F54" s="21" t="s">
        <v>196</v>
      </c>
      <c r="G54" s="22" t="n">
        <v>44197</v>
      </c>
      <c r="H54" s="21" t="s">
        <v>197</v>
      </c>
      <c r="I54" s="21" t="s">
        <v>198</v>
      </c>
      <c r="J54" s="21"/>
      <c r="K54" s="23" t="n">
        <v>191300</v>
      </c>
      <c r="L54" s="24"/>
      <c r="M54" s="21" t="s">
        <v>144</v>
      </c>
      <c r="N54" s="21" t="s">
        <v>113</v>
      </c>
      <c r="O54" s="25" t="n">
        <v>45628</v>
      </c>
      <c r="P54" s="26" t="n">
        <v>11099</v>
      </c>
      <c r="Q54" s="27" t="n">
        <f aca="false">IF(A54="","",SUMIF(Expenses!$B$2:$B$3000,A54,Expenses!$E$2:$E$3000))</f>
        <v>0</v>
      </c>
      <c r="R54" s="27" t="n">
        <f aca="false">IF(A54="","",N(P54)+N(Q54))</f>
        <v>11099</v>
      </c>
      <c r="S54" s="28"/>
      <c r="T54" s="25" t="n">
        <v>45657</v>
      </c>
      <c r="U54" s="26" t="n">
        <v>17300</v>
      </c>
      <c r="V54" s="26" t="n">
        <v>2883</v>
      </c>
      <c r="W54" s="26"/>
      <c r="X54" s="27" t="n">
        <f aca="false">IF(B54&lt;&gt;"SOLD","",IF(C54="Consignment",N(W54)-R54,N(U54)-R54-N(V54)))</f>
        <v>3318</v>
      </c>
      <c r="Y54" s="29" t="n">
        <f aca="false">IF(OR(X54="",N(R54)=0),"",X54/R54)</f>
        <v>0.298945850977566</v>
      </c>
      <c r="Z54" s="30" t="n">
        <f aca="true">IF(O54="","",IF(T54="",TODAY(),T54)-O54)</f>
        <v>29</v>
      </c>
      <c r="AA54" s="31" t="str">
        <f aca="false">IF(T54="","",TEXT(T54,"YYYY-MM"))</f>
        <v>2024-12</v>
      </c>
      <c r="AB54" s="27" t="n">
        <f aca="false">IF(X54="","",X54/2)</f>
        <v>1659</v>
      </c>
      <c r="AC54" s="21"/>
    </row>
    <row r="55" customFormat="false" ht="15" hidden="false" customHeight="false" outlineLevel="0" collapsed="false">
      <c r="A55" s="20" t="n">
        <v>55</v>
      </c>
      <c r="B55" s="21" t="s">
        <v>100</v>
      </c>
      <c r="C55" s="21" t="s">
        <v>101</v>
      </c>
      <c r="D55" s="21" t="s">
        <v>52</v>
      </c>
      <c r="E55" s="21" t="s">
        <v>114</v>
      </c>
      <c r="F55" s="21" t="s">
        <v>115</v>
      </c>
      <c r="G55" s="22" t="n">
        <v>42614</v>
      </c>
      <c r="H55" s="21" t="s">
        <v>199</v>
      </c>
      <c r="I55" s="21" t="s">
        <v>111</v>
      </c>
      <c r="J55" s="21"/>
      <c r="K55" s="23" t="n">
        <v>157400</v>
      </c>
      <c r="L55" s="24"/>
      <c r="M55" s="21" t="s">
        <v>112</v>
      </c>
      <c r="N55" s="21" t="s">
        <v>107</v>
      </c>
      <c r="O55" s="25" t="n">
        <v>45629</v>
      </c>
      <c r="P55" s="26" t="n">
        <v>11585.54</v>
      </c>
      <c r="Q55" s="27" t="n">
        <f aca="false">IF(A55="","",SUMIF(Expenses!$B$2:$B$3000,A55,Expenses!$E$2:$E$3000))</f>
        <v>0</v>
      </c>
      <c r="R55" s="27" t="n">
        <f aca="false">IF(A55="","",N(P55)+N(Q55))</f>
        <v>11585.54</v>
      </c>
      <c r="S55" s="28"/>
      <c r="T55" s="25" t="n">
        <v>45849</v>
      </c>
      <c r="U55" s="26" t="n">
        <v>12690</v>
      </c>
      <c r="V55" s="26" t="n">
        <v>0.46</v>
      </c>
      <c r="W55" s="26"/>
      <c r="X55" s="27" t="n">
        <f aca="false">IF(B55&lt;&gt;"SOLD","",IF(C55="Consignment",N(W55)-R55,N(U55)-R55-N(V55)))</f>
        <v>1104</v>
      </c>
      <c r="Y55" s="29" t="n">
        <f aca="false">IF(OR(X55="",N(R55)=0),"",X55/R55)</f>
        <v>0.0952911992017635</v>
      </c>
      <c r="Z55" s="30" t="n">
        <f aca="true">IF(O55="","",IF(T55="",TODAY(),T55)-O55)</f>
        <v>220</v>
      </c>
      <c r="AA55" s="31" t="str">
        <f aca="false">IF(T55="","",TEXT(T55,"YYYY-MM"))</f>
        <v>2025-07</v>
      </c>
      <c r="AB55" s="27" t="n">
        <f aca="false">IF(X55="","",X55/2)</f>
        <v>552</v>
      </c>
      <c r="AC55" s="21"/>
    </row>
    <row r="56" customFormat="false" ht="15" hidden="false" customHeight="false" outlineLevel="0" collapsed="false">
      <c r="A56" s="20" t="n">
        <v>56</v>
      </c>
      <c r="B56" s="21" t="s">
        <v>100</v>
      </c>
      <c r="C56" s="21" t="s">
        <v>101</v>
      </c>
      <c r="D56" s="21" t="s">
        <v>51</v>
      </c>
      <c r="E56" s="21" t="s">
        <v>172</v>
      </c>
      <c r="F56" s="21" t="s">
        <v>137</v>
      </c>
      <c r="G56" s="22" t="n">
        <v>43221</v>
      </c>
      <c r="H56" s="21" t="s">
        <v>185</v>
      </c>
      <c r="I56" s="21" t="s">
        <v>111</v>
      </c>
      <c r="J56" s="21"/>
      <c r="K56" s="23" t="n">
        <v>168000</v>
      </c>
      <c r="L56" s="24"/>
      <c r="M56" s="21" t="s">
        <v>122</v>
      </c>
      <c r="N56" s="21" t="s">
        <v>107</v>
      </c>
      <c r="O56" s="25" t="n">
        <v>45636</v>
      </c>
      <c r="P56" s="26" t="n">
        <v>9849.59</v>
      </c>
      <c r="Q56" s="27" t="n">
        <f aca="false">IF(A56="","",SUMIF(Expenses!$B$2:$B$3000,A56,Expenses!$E$2:$E$3000))</f>
        <v>0</v>
      </c>
      <c r="R56" s="27" t="n">
        <f aca="false">IF(A56="","",N(P56)+N(Q56))</f>
        <v>9849.59</v>
      </c>
      <c r="S56" s="28"/>
      <c r="T56" s="25" t="n">
        <v>45716</v>
      </c>
      <c r="U56" s="26" t="n">
        <v>12800</v>
      </c>
      <c r="V56" s="26" t="n">
        <v>0.41</v>
      </c>
      <c r="W56" s="26"/>
      <c r="X56" s="27" t="n">
        <f aca="false">IF(B56&lt;&gt;"SOLD","",IF(C56="Consignment",N(W56)-R56,N(U56)-R56-N(V56)))</f>
        <v>2950</v>
      </c>
      <c r="Y56" s="29" t="n">
        <f aca="false">IF(OR(X56="",N(R56)=0),"",X56/R56)</f>
        <v>0.299504852486246</v>
      </c>
      <c r="Z56" s="30" t="n">
        <f aca="true">IF(O56="","",IF(T56="",TODAY(),T56)-O56)</f>
        <v>80</v>
      </c>
      <c r="AA56" s="31" t="str">
        <f aca="false">IF(T56="","",TEXT(T56,"YYYY-MM"))</f>
        <v>2025-02</v>
      </c>
      <c r="AB56" s="27" t="n">
        <f aca="false">IF(X56="","",X56/2)</f>
        <v>1475</v>
      </c>
      <c r="AC56" s="21"/>
    </row>
    <row r="57" customFormat="false" ht="15" hidden="false" customHeight="false" outlineLevel="0" collapsed="false">
      <c r="A57" s="20" t="n">
        <v>57</v>
      </c>
      <c r="B57" s="21" t="s">
        <v>100</v>
      </c>
      <c r="C57" s="21" t="s">
        <v>101</v>
      </c>
      <c r="D57" s="21" t="s">
        <v>53</v>
      </c>
      <c r="E57" s="21" t="s">
        <v>145</v>
      </c>
      <c r="F57" s="21" t="s">
        <v>115</v>
      </c>
      <c r="G57" s="22" t="n">
        <v>42644</v>
      </c>
      <c r="H57" s="21" t="s">
        <v>174</v>
      </c>
      <c r="I57" s="21" t="s">
        <v>111</v>
      </c>
      <c r="J57" s="21"/>
      <c r="K57" s="23" t="n">
        <v>182200</v>
      </c>
      <c r="L57" s="24"/>
      <c r="M57" s="21" t="s">
        <v>144</v>
      </c>
      <c r="N57" s="21" t="s">
        <v>107</v>
      </c>
      <c r="O57" s="25" t="n">
        <v>45638</v>
      </c>
      <c r="P57" s="26" t="n">
        <v>11360.24</v>
      </c>
      <c r="Q57" s="27" t="n">
        <f aca="false">IF(A57="","",SUMIF(Expenses!$B$2:$B$3000,A57,Expenses!$E$2:$E$3000))</f>
        <v>0</v>
      </c>
      <c r="R57" s="27" t="n">
        <f aca="false">IF(A57="","",N(P57)+N(Q57))</f>
        <v>11360.24</v>
      </c>
      <c r="S57" s="28"/>
      <c r="T57" s="25" t="n">
        <v>45806</v>
      </c>
      <c r="U57" s="26" t="n">
        <v>12150</v>
      </c>
      <c r="V57" s="26" t="n">
        <v>-0.24</v>
      </c>
      <c r="W57" s="26"/>
      <c r="X57" s="27" t="n">
        <f aca="false">IF(B57&lt;&gt;"SOLD","",IF(C57="Consignment",N(W57)-R57,N(U57)-R57-N(V57)))</f>
        <v>790</v>
      </c>
      <c r="Y57" s="29" t="n">
        <f aca="false">IF(OR(X57="",N(R57)=0),"",X57/R57)</f>
        <v>0.0695407843496264</v>
      </c>
      <c r="Z57" s="30" t="n">
        <f aca="true">IF(O57="","",IF(T57="",TODAY(),T57)-O57)</f>
        <v>168</v>
      </c>
      <c r="AA57" s="31" t="str">
        <f aca="false">IF(T57="","",TEXT(T57,"YYYY-MM"))</f>
        <v>2025-05</v>
      </c>
      <c r="AB57" s="27" t="n">
        <f aca="false">IF(X57="","",X57/2)</f>
        <v>395</v>
      </c>
      <c r="AC57" s="21"/>
    </row>
    <row r="58" customFormat="false" ht="15" hidden="false" customHeight="false" outlineLevel="0" collapsed="false">
      <c r="A58" s="20" t="n">
        <v>58</v>
      </c>
      <c r="B58" s="21" t="s">
        <v>100</v>
      </c>
      <c r="C58" s="21" t="s">
        <v>101</v>
      </c>
      <c r="D58" s="21" t="s">
        <v>54</v>
      </c>
      <c r="E58" s="21" t="s">
        <v>131</v>
      </c>
      <c r="F58" s="21" t="s">
        <v>200</v>
      </c>
      <c r="G58" s="22" t="n">
        <v>42917</v>
      </c>
      <c r="H58" s="21" t="s">
        <v>158</v>
      </c>
      <c r="I58" s="21" t="s">
        <v>129</v>
      </c>
      <c r="J58" s="21"/>
      <c r="K58" s="23" t="n">
        <v>196170</v>
      </c>
      <c r="L58" s="24"/>
      <c r="M58" s="21" t="s">
        <v>122</v>
      </c>
      <c r="N58" s="21" t="s">
        <v>107</v>
      </c>
      <c r="O58" s="25" t="n">
        <v>45641</v>
      </c>
      <c r="P58" s="26" t="n">
        <v>12846.5</v>
      </c>
      <c r="Q58" s="27" t="n">
        <f aca="false">IF(A58="","",SUMIF(Expenses!$B$2:$B$3000,A58,Expenses!$E$2:$E$3000))</f>
        <v>0</v>
      </c>
      <c r="R58" s="27" t="n">
        <f aca="false">IF(A58="","",N(P58)+N(Q58))</f>
        <v>12846.5</v>
      </c>
      <c r="S58" s="28"/>
      <c r="T58" s="25" t="n">
        <v>45690</v>
      </c>
      <c r="U58" s="26" t="n">
        <v>15990</v>
      </c>
      <c r="V58" s="26" t="n">
        <v>0.5</v>
      </c>
      <c r="W58" s="26"/>
      <c r="X58" s="27" t="n">
        <f aca="false">IF(B58&lt;&gt;"SOLD","",IF(C58="Consignment",N(W58)-R58,N(U58)-R58-N(V58)))</f>
        <v>3143</v>
      </c>
      <c r="Y58" s="29" t="n">
        <f aca="false">IF(OR(X58="",N(R58)=0),"",X58/R58)</f>
        <v>0.24465807807574</v>
      </c>
      <c r="Z58" s="30" t="n">
        <f aca="true">IF(O58="","",IF(T58="",TODAY(),T58)-O58)</f>
        <v>49</v>
      </c>
      <c r="AA58" s="31" t="str">
        <f aca="false">IF(T58="","",TEXT(T58,"YYYY-MM"))</f>
        <v>2025-02</v>
      </c>
      <c r="AB58" s="27" t="n">
        <f aca="false">IF(X58="","",X58/2)</f>
        <v>1571.5</v>
      </c>
      <c r="AC58" s="21"/>
    </row>
    <row r="59" customFormat="false" ht="15" hidden="false" customHeight="false" outlineLevel="0" collapsed="false">
      <c r="A59" s="20" t="n">
        <v>59</v>
      </c>
      <c r="B59" s="21" t="s">
        <v>100</v>
      </c>
      <c r="C59" s="21" t="s">
        <v>201</v>
      </c>
      <c r="D59" s="21" t="s">
        <v>52</v>
      </c>
      <c r="E59" s="21" t="s">
        <v>123</v>
      </c>
      <c r="F59" s="21" t="s">
        <v>115</v>
      </c>
      <c r="G59" s="22" t="n">
        <v>42705</v>
      </c>
      <c r="H59" s="21" t="s">
        <v>158</v>
      </c>
      <c r="I59" s="21" t="s">
        <v>129</v>
      </c>
      <c r="J59" s="21" t="s">
        <v>161</v>
      </c>
      <c r="K59" s="23" t="n">
        <v>221950</v>
      </c>
      <c r="L59" s="24"/>
      <c r="M59" s="21" t="s">
        <v>106</v>
      </c>
      <c r="N59" s="21" t="s">
        <v>107</v>
      </c>
      <c r="O59" s="25" t="n">
        <v>45643</v>
      </c>
      <c r="P59" s="26" t="n">
        <v>90</v>
      </c>
      <c r="Q59" s="27" t="n">
        <f aca="false">IF(A59="","",SUMIF(Expenses!$B$2:$B$3000,A59,Expenses!$E$2:$E$3000))</f>
        <v>0</v>
      </c>
      <c r="R59" s="27" t="n">
        <f aca="false">IF(A59="","",N(P59)+N(Q59))</f>
        <v>90</v>
      </c>
      <c r="S59" s="28"/>
      <c r="T59" s="25" t="n">
        <v>45688</v>
      </c>
      <c r="U59" s="26" t="n">
        <v>18800</v>
      </c>
      <c r="V59" s="26"/>
      <c r="W59" s="26" t="n">
        <v>790</v>
      </c>
      <c r="X59" s="27" t="n">
        <f aca="false">IF(B59&lt;&gt;"SOLD","",IF(C59="Consignment",N(W59)-R59,N(U59)-R59-N(V59)))</f>
        <v>700</v>
      </c>
      <c r="Y59" s="29" t="n">
        <f aca="false">IF(OR(X59="",N(R59)=0),"",X59/R59)</f>
        <v>7.77777777777778</v>
      </c>
      <c r="Z59" s="30" t="n">
        <f aca="true">IF(O59="","",IF(T59="",TODAY(),T59)-O59)</f>
        <v>45</v>
      </c>
      <c r="AA59" s="31" t="str">
        <f aca="false">IF(T59="","",TEXT(T59,"YYYY-MM"))</f>
        <v>2025-01</v>
      </c>
      <c r="AB59" s="27" t="n">
        <f aca="false">IF(X59="","",X59/2)</f>
        <v>350</v>
      </c>
      <c r="AC59" s="21"/>
    </row>
    <row r="60" customFormat="false" ht="15" hidden="false" customHeight="false" outlineLevel="0" collapsed="false">
      <c r="A60" s="20" t="n">
        <v>60</v>
      </c>
      <c r="B60" s="21" t="s">
        <v>100</v>
      </c>
      <c r="C60" s="21" t="s">
        <v>101</v>
      </c>
      <c r="D60" s="21" t="s">
        <v>54</v>
      </c>
      <c r="E60" s="21" t="s">
        <v>131</v>
      </c>
      <c r="F60" s="21" t="s">
        <v>132</v>
      </c>
      <c r="G60" s="22" t="n">
        <v>42491</v>
      </c>
      <c r="H60" s="21" t="s">
        <v>158</v>
      </c>
      <c r="I60" s="21" t="s">
        <v>129</v>
      </c>
      <c r="J60" s="21"/>
      <c r="K60" s="23" t="n">
        <v>196700</v>
      </c>
      <c r="L60" s="24"/>
      <c r="M60" s="21" t="s">
        <v>112</v>
      </c>
      <c r="N60" s="21" t="s">
        <v>107</v>
      </c>
      <c r="O60" s="25" t="n">
        <v>45653</v>
      </c>
      <c r="P60" s="26" t="n">
        <v>12236.75</v>
      </c>
      <c r="Q60" s="27" t="n">
        <f aca="false">IF(A60="","",SUMIF(Expenses!$B$2:$B$3000,A60,Expenses!$E$2:$E$3000))</f>
        <v>0</v>
      </c>
      <c r="R60" s="27" t="n">
        <f aca="false">IF(A60="","",N(P60)+N(Q60))</f>
        <v>12236.75</v>
      </c>
      <c r="S60" s="28"/>
      <c r="T60" s="25" t="n">
        <v>45773</v>
      </c>
      <c r="U60" s="26" t="n">
        <v>14000</v>
      </c>
      <c r="V60" s="26" t="n">
        <v>0.25</v>
      </c>
      <c r="W60" s="26"/>
      <c r="X60" s="27" t="n">
        <f aca="false">IF(B60&lt;&gt;"SOLD","",IF(C60="Consignment",N(W60)-R60,N(U60)-R60-N(V60)))</f>
        <v>1763</v>
      </c>
      <c r="Y60" s="29" t="n">
        <f aca="false">IF(OR(X60="",N(R60)=0),"",X60/R60)</f>
        <v>0.144074202709053</v>
      </c>
      <c r="Z60" s="30" t="n">
        <f aca="true">IF(O60="","",IF(T60="",TODAY(),T60)-O60)</f>
        <v>120</v>
      </c>
      <c r="AA60" s="31" t="str">
        <f aca="false">IF(T60="","",TEXT(T60,"YYYY-MM"))</f>
        <v>2025-04</v>
      </c>
      <c r="AB60" s="27" t="n">
        <f aca="false">IF(X60="","",X60/2)</f>
        <v>881.5</v>
      </c>
      <c r="AC60" s="21"/>
    </row>
    <row r="61" customFormat="false" ht="15" hidden="false" customHeight="false" outlineLevel="0" collapsed="false">
      <c r="A61" s="20" t="n">
        <v>61</v>
      </c>
      <c r="B61" s="21" t="s">
        <v>100</v>
      </c>
      <c r="C61" s="21" t="s">
        <v>101</v>
      </c>
      <c r="D61" s="21" t="s">
        <v>53</v>
      </c>
      <c r="E61" s="21" t="s">
        <v>145</v>
      </c>
      <c r="F61" s="21" t="s">
        <v>115</v>
      </c>
      <c r="G61" s="22" t="n">
        <v>42795</v>
      </c>
      <c r="H61" s="21" t="s">
        <v>143</v>
      </c>
      <c r="I61" s="21" t="s">
        <v>111</v>
      </c>
      <c r="J61" s="21"/>
      <c r="K61" s="23" t="n">
        <v>191400</v>
      </c>
      <c r="L61" s="24"/>
      <c r="M61" s="21" t="s">
        <v>122</v>
      </c>
      <c r="N61" s="21" t="s">
        <v>107</v>
      </c>
      <c r="O61" s="25" t="n">
        <v>45653</v>
      </c>
      <c r="P61" s="26" t="n">
        <v>11746.65</v>
      </c>
      <c r="Q61" s="27" t="n">
        <f aca="false">IF(A61="","",SUMIF(Expenses!$B$2:$B$3000,A61,Expenses!$E$2:$E$3000))</f>
        <v>0</v>
      </c>
      <c r="R61" s="27" t="n">
        <f aca="false">IF(A61="","",N(P61)+N(Q61))</f>
        <v>11746.65</v>
      </c>
      <c r="S61" s="28"/>
      <c r="T61" s="25" t="n">
        <v>45751</v>
      </c>
      <c r="U61" s="26" t="n">
        <v>14350</v>
      </c>
      <c r="V61" s="26" t="n">
        <v>0.35</v>
      </c>
      <c r="W61" s="26"/>
      <c r="X61" s="27" t="n">
        <f aca="false">IF(B61&lt;&gt;"SOLD","",IF(C61="Consignment",N(W61)-R61,N(U61)-R61-N(V61)))</f>
        <v>2603</v>
      </c>
      <c r="Y61" s="29" t="n">
        <f aca="false">IF(OR(X61="",N(R61)=0),"",X61/R61)</f>
        <v>0.221595093069088</v>
      </c>
      <c r="Z61" s="30" t="n">
        <f aca="true">IF(O61="","",IF(T61="",TODAY(),T61)-O61)</f>
        <v>98</v>
      </c>
      <c r="AA61" s="31" t="str">
        <f aca="false">IF(T61="","",TEXT(T61,"YYYY-MM"))</f>
        <v>2025-04</v>
      </c>
      <c r="AB61" s="27" t="n">
        <f aca="false">IF(X61="","",X61/2)</f>
        <v>1301.5</v>
      </c>
      <c r="AC61" s="21"/>
    </row>
    <row r="62" customFormat="false" ht="15" hidden="false" customHeight="false" outlineLevel="0" collapsed="false">
      <c r="A62" s="20" t="n">
        <v>62</v>
      </c>
      <c r="B62" s="21" t="s">
        <v>100</v>
      </c>
      <c r="C62" s="21" t="s">
        <v>101</v>
      </c>
      <c r="D62" s="21" t="s">
        <v>52</v>
      </c>
      <c r="E62" s="21" t="s">
        <v>134</v>
      </c>
      <c r="F62" s="21" t="s">
        <v>124</v>
      </c>
      <c r="G62" s="22" t="n">
        <v>43160</v>
      </c>
      <c r="H62" s="21" t="s">
        <v>135</v>
      </c>
      <c r="I62" s="21" t="s">
        <v>111</v>
      </c>
      <c r="J62" s="21"/>
      <c r="K62" s="23" t="n">
        <v>201400</v>
      </c>
      <c r="L62" s="24"/>
      <c r="M62" s="21" t="s">
        <v>122</v>
      </c>
      <c r="N62" s="21" t="s">
        <v>107</v>
      </c>
      <c r="O62" s="25" t="n">
        <v>45653</v>
      </c>
      <c r="P62" s="26" t="n">
        <v>7322.09</v>
      </c>
      <c r="Q62" s="27" t="n">
        <f aca="false">IF(A62="","",SUMIF(Expenses!$B$2:$B$3000,A62,Expenses!$E$2:$E$3000))</f>
        <v>0</v>
      </c>
      <c r="R62" s="27" t="n">
        <f aca="false">IF(A62="","",N(P62)+N(Q62))</f>
        <v>7322.09</v>
      </c>
      <c r="S62" s="28"/>
      <c r="T62" s="25" t="n">
        <v>45777</v>
      </c>
      <c r="U62" s="26" t="n">
        <v>8500</v>
      </c>
      <c r="V62" s="26" t="n">
        <v>-0.09</v>
      </c>
      <c r="W62" s="26"/>
      <c r="X62" s="27" t="n">
        <f aca="false">IF(B62&lt;&gt;"SOLD","",IF(C62="Consignment",N(W62)-R62,N(U62)-R62-N(V62)))</f>
        <v>1178</v>
      </c>
      <c r="Y62" s="29" t="n">
        <f aca="false">IF(OR(X62="",N(R62)=0),"",X62/R62)</f>
        <v>0.160883026567551</v>
      </c>
      <c r="Z62" s="30" t="n">
        <f aca="true">IF(O62="","",IF(T62="",TODAY(),T62)-O62)</f>
        <v>124</v>
      </c>
      <c r="AA62" s="31" t="str">
        <f aca="false">IF(T62="","",TEXT(T62,"YYYY-MM"))</f>
        <v>2025-04</v>
      </c>
      <c r="AB62" s="27" t="n">
        <f aca="false">IF(X62="","",X62/2)</f>
        <v>589</v>
      </c>
      <c r="AC62" s="21"/>
    </row>
    <row r="63" customFormat="false" ht="15" hidden="false" customHeight="false" outlineLevel="0" collapsed="false">
      <c r="A63" s="20" t="n">
        <v>63</v>
      </c>
      <c r="B63" s="21" t="s">
        <v>100</v>
      </c>
      <c r="C63" s="21" t="s">
        <v>101</v>
      </c>
      <c r="D63" s="21" t="s">
        <v>53</v>
      </c>
      <c r="E63" s="21" t="s">
        <v>175</v>
      </c>
      <c r="F63" s="21" t="s">
        <v>115</v>
      </c>
      <c r="G63" s="22" t="n">
        <v>42217</v>
      </c>
      <c r="H63" s="21" t="s">
        <v>116</v>
      </c>
      <c r="I63" s="21" t="s">
        <v>111</v>
      </c>
      <c r="J63" s="21"/>
      <c r="K63" s="23" t="n">
        <v>198300</v>
      </c>
      <c r="L63" s="24"/>
      <c r="M63" s="21" t="s">
        <v>122</v>
      </c>
      <c r="N63" s="21" t="s">
        <v>107</v>
      </c>
      <c r="O63" s="25" t="n">
        <v>45653</v>
      </c>
      <c r="P63" s="26" t="n">
        <v>8776.34</v>
      </c>
      <c r="Q63" s="27" t="n">
        <f aca="false">IF(A63="","",SUMIF(Expenses!$B$2:$B$3000,A63,Expenses!$E$2:$E$3000))</f>
        <v>0</v>
      </c>
      <c r="R63" s="27" t="n">
        <f aca="false">IF(A63="","",N(P63)+N(Q63))</f>
        <v>8776.34</v>
      </c>
      <c r="S63" s="28"/>
      <c r="T63" s="25" t="n">
        <v>45746</v>
      </c>
      <c r="U63" s="26" t="n">
        <v>10350</v>
      </c>
      <c r="V63" s="26" t="n">
        <v>-0.34</v>
      </c>
      <c r="W63" s="26"/>
      <c r="X63" s="27" t="n">
        <f aca="false">IF(B63&lt;&gt;"SOLD","",IF(C63="Consignment",N(W63)-R63,N(U63)-R63-N(V63)))</f>
        <v>1574</v>
      </c>
      <c r="Y63" s="29" t="n">
        <f aca="false">IF(OR(X63="",N(R63)=0),"",X63/R63)</f>
        <v>0.179345832089459</v>
      </c>
      <c r="Z63" s="30" t="n">
        <f aca="true">IF(O63="","",IF(T63="",TODAY(),T63)-O63)</f>
        <v>93</v>
      </c>
      <c r="AA63" s="31" t="str">
        <f aca="false">IF(T63="","",TEXT(T63,"YYYY-MM"))</f>
        <v>2025-03</v>
      </c>
      <c r="AB63" s="27" t="n">
        <f aca="false">IF(X63="","",X63/2)</f>
        <v>787</v>
      </c>
      <c r="AC63" s="21"/>
    </row>
    <row r="64" customFormat="false" ht="15" hidden="false" customHeight="false" outlineLevel="0" collapsed="false">
      <c r="A64" s="20" t="n">
        <v>64</v>
      </c>
      <c r="B64" s="21" t="s">
        <v>100</v>
      </c>
      <c r="C64" s="21" t="s">
        <v>101</v>
      </c>
      <c r="D64" s="21" t="s">
        <v>57</v>
      </c>
      <c r="E64" s="21" t="s">
        <v>202</v>
      </c>
      <c r="F64" s="21" t="s">
        <v>182</v>
      </c>
      <c r="G64" s="22" t="n">
        <v>39965</v>
      </c>
      <c r="H64" s="21" t="s">
        <v>203</v>
      </c>
      <c r="I64" s="21" t="s">
        <v>111</v>
      </c>
      <c r="J64" s="21"/>
      <c r="K64" s="23" t="n">
        <v>213940</v>
      </c>
      <c r="L64" s="24"/>
      <c r="M64" s="21" t="s">
        <v>133</v>
      </c>
      <c r="N64" s="21" t="s">
        <v>107</v>
      </c>
      <c r="O64" s="25" t="n">
        <v>45655</v>
      </c>
      <c r="P64" s="26" t="n">
        <v>1798</v>
      </c>
      <c r="Q64" s="27" t="n">
        <f aca="false">IF(A64="","",SUMIF(Expenses!$B$2:$B$3000,A64,Expenses!$E$2:$E$3000))</f>
        <v>0</v>
      </c>
      <c r="R64" s="27" t="n">
        <f aca="false">IF(A64="","",N(P64)+N(Q64))</f>
        <v>1798</v>
      </c>
      <c r="S64" s="28"/>
      <c r="T64" s="25" t="n">
        <v>45655</v>
      </c>
      <c r="U64" s="26" t="n">
        <v>1800</v>
      </c>
      <c r="V64" s="26" t="n">
        <v>0</v>
      </c>
      <c r="W64" s="26"/>
      <c r="X64" s="27" t="n">
        <f aca="false">IF(B64&lt;&gt;"SOLD","",IF(C64="Consignment",N(W64)-R64,N(U64)-R64-N(V64)))</f>
        <v>2</v>
      </c>
      <c r="Y64" s="29" t="n">
        <f aca="false">IF(OR(X64="",N(R64)=0),"",X64/R64)</f>
        <v>0.00111234705228031</v>
      </c>
      <c r="Z64" s="30" t="n">
        <f aca="true">IF(O64="","",IF(T64="",TODAY(),T64)-O64)</f>
        <v>0</v>
      </c>
      <c r="AA64" s="31" t="str">
        <f aca="false">IF(T64="","",TEXT(T64,"YYYY-MM"))</f>
        <v>2024-12</v>
      </c>
      <c r="AB64" s="27" t="n">
        <f aca="false">IF(X64="","",X64/2)</f>
        <v>1</v>
      </c>
      <c r="AC64" s="21"/>
    </row>
    <row r="65" customFormat="false" ht="15" hidden="false" customHeight="false" outlineLevel="0" collapsed="false">
      <c r="A65" s="20" t="n">
        <v>65</v>
      </c>
      <c r="B65" s="21" t="s">
        <v>100</v>
      </c>
      <c r="C65" s="21" t="s">
        <v>101</v>
      </c>
      <c r="D65" s="21" t="s">
        <v>51</v>
      </c>
      <c r="E65" s="21" t="s">
        <v>204</v>
      </c>
      <c r="F65" s="21" t="s">
        <v>205</v>
      </c>
      <c r="G65" s="22" t="n">
        <v>41609</v>
      </c>
      <c r="H65" s="21" t="s">
        <v>206</v>
      </c>
      <c r="I65" s="21" t="s">
        <v>111</v>
      </c>
      <c r="J65" s="21"/>
      <c r="K65" s="23" t="n">
        <v>180200</v>
      </c>
      <c r="L65" s="24"/>
      <c r="M65" s="21" t="s">
        <v>122</v>
      </c>
      <c r="N65" s="21" t="s">
        <v>107</v>
      </c>
      <c r="O65" s="25" t="n">
        <v>45655</v>
      </c>
      <c r="P65" s="26" t="n">
        <v>7404.88</v>
      </c>
      <c r="Q65" s="27" t="n">
        <f aca="false">IF(A65="","",SUMIF(Expenses!$B$2:$B$3000,A65,Expenses!$E$2:$E$3000))</f>
        <v>0</v>
      </c>
      <c r="R65" s="27" t="n">
        <f aca="false">IF(A65="","",N(P65)+N(Q65))</f>
        <v>7404.88</v>
      </c>
      <c r="S65" s="28"/>
      <c r="T65" s="25" t="n">
        <v>45675</v>
      </c>
      <c r="U65" s="26" t="n">
        <v>9700</v>
      </c>
      <c r="V65" s="26" t="n">
        <v>395.12</v>
      </c>
      <c r="W65" s="26"/>
      <c r="X65" s="27" t="n">
        <f aca="false">IF(B65&lt;&gt;"SOLD","",IF(C65="Consignment",N(W65)-R65,N(U65)-R65-N(V65)))</f>
        <v>1900</v>
      </c>
      <c r="Y65" s="29" t="n">
        <f aca="false">IF(OR(X65="",N(R65)=0),"",X65/R65)</f>
        <v>0.256587547671265</v>
      </c>
      <c r="Z65" s="30" t="n">
        <f aca="true">IF(O65="","",IF(T65="",TODAY(),T65)-O65)</f>
        <v>20</v>
      </c>
      <c r="AA65" s="31" t="str">
        <f aca="false">IF(T65="","",TEXT(T65,"YYYY-MM"))</f>
        <v>2025-01</v>
      </c>
      <c r="AB65" s="27" t="n">
        <f aca="false">IF(X65="","",X65/2)</f>
        <v>950</v>
      </c>
      <c r="AC65" s="21"/>
    </row>
    <row r="66" customFormat="false" ht="15" hidden="false" customHeight="false" outlineLevel="0" collapsed="false">
      <c r="A66" s="20" t="n">
        <v>66</v>
      </c>
      <c r="B66" s="21" t="s">
        <v>100</v>
      </c>
      <c r="C66" s="21" t="s">
        <v>101</v>
      </c>
      <c r="D66" s="21" t="s">
        <v>54</v>
      </c>
      <c r="E66" s="21" t="s">
        <v>159</v>
      </c>
      <c r="F66" s="21" t="s">
        <v>132</v>
      </c>
      <c r="G66" s="22" t="n">
        <v>39995</v>
      </c>
      <c r="H66" s="21" t="s">
        <v>171</v>
      </c>
      <c r="I66" s="21" t="s">
        <v>129</v>
      </c>
      <c r="J66" s="21" t="s">
        <v>161</v>
      </c>
      <c r="K66" s="23" t="n">
        <v>183500</v>
      </c>
      <c r="L66" s="24"/>
      <c r="M66" s="21" t="s">
        <v>122</v>
      </c>
      <c r="N66" s="21" t="s">
        <v>107</v>
      </c>
      <c r="O66" s="25" t="n">
        <v>45657</v>
      </c>
      <c r="P66" s="26" t="n">
        <v>9560</v>
      </c>
      <c r="Q66" s="27" t="n">
        <f aca="false">IF(A66="","",SUMIF(Expenses!$B$2:$B$3000,A66,Expenses!$E$2:$E$3000))</f>
        <v>0</v>
      </c>
      <c r="R66" s="27" t="n">
        <f aca="false">IF(A66="","",N(P66)+N(Q66))</f>
        <v>9560</v>
      </c>
      <c r="S66" s="28"/>
      <c r="T66" s="25" t="n">
        <v>45793</v>
      </c>
      <c r="U66" s="26" t="n">
        <v>11000</v>
      </c>
      <c r="V66" s="26" t="n">
        <v>0</v>
      </c>
      <c r="W66" s="26"/>
      <c r="X66" s="27" t="n">
        <f aca="false">IF(B66&lt;&gt;"SOLD","",IF(C66="Consignment",N(W66)-R66,N(U66)-R66-N(V66)))</f>
        <v>1440</v>
      </c>
      <c r="Y66" s="29" t="n">
        <f aca="false">IF(OR(X66="",N(R66)=0),"",X66/R66)</f>
        <v>0.150627615062762</v>
      </c>
      <c r="Z66" s="30" t="n">
        <f aca="true">IF(O66="","",IF(T66="",TODAY(),T66)-O66)</f>
        <v>136</v>
      </c>
      <c r="AA66" s="31" t="str">
        <f aca="false">IF(T66="","",TEXT(T66,"YYYY-MM"))</f>
        <v>2025-05</v>
      </c>
      <c r="AB66" s="27" t="n">
        <f aca="false">IF(X66="","",X66/2)</f>
        <v>720</v>
      </c>
      <c r="AC66" s="21"/>
    </row>
    <row r="67" customFormat="false" ht="15" hidden="false" customHeight="false" outlineLevel="0" collapsed="false">
      <c r="A67" s="20" t="n">
        <v>67</v>
      </c>
      <c r="B67" s="21" t="s">
        <v>100</v>
      </c>
      <c r="C67" s="21" t="s">
        <v>101</v>
      </c>
      <c r="D67" s="21" t="s">
        <v>56</v>
      </c>
      <c r="E67" s="21" t="s">
        <v>207</v>
      </c>
      <c r="F67" s="21" t="s">
        <v>119</v>
      </c>
      <c r="G67" s="22" t="n">
        <v>42491</v>
      </c>
      <c r="H67" s="21" t="s">
        <v>208</v>
      </c>
      <c r="I67" s="21" t="s">
        <v>111</v>
      </c>
      <c r="J67" s="21"/>
      <c r="K67" s="23" t="n">
        <v>185700</v>
      </c>
      <c r="L67" s="24"/>
      <c r="M67" s="21" t="s">
        <v>122</v>
      </c>
      <c r="N67" s="21" t="s">
        <v>113</v>
      </c>
      <c r="O67" s="25" t="n">
        <v>45664</v>
      </c>
      <c r="P67" s="26" t="n">
        <v>11145.56</v>
      </c>
      <c r="Q67" s="27" t="n">
        <f aca="false">IF(A67="","",SUMIF(Expenses!$B$2:$B$3000,A67,Expenses!$E$2:$E$3000))</f>
        <v>0</v>
      </c>
      <c r="R67" s="27" t="n">
        <f aca="false">IF(A67="","",N(P67)+N(Q67))</f>
        <v>11145.56</v>
      </c>
      <c r="S67" s="28"/>
      <c r="T67" s="25" t="n">
        <v>46177</v>
      </c>
      <c r="U67" s="26" t="n">
        <v>13200</v>
      </c>
      <c r="V67" s="26" t="n">
        <v>-831.56</v>
      </c>
      <c r="W67" s="26"/>
      <c r="X67" s="27" t="n">
        <f aca="false">IF(B67&lt;&gt;"SOLD","",IF(C67="Consignment",N(W67)-R67,N(U67)-R67-N(V67)))</f>
        <v>2886</v>
      </c>
      <c r="Y67" s="29" t="n">
        <f aca="false">IF(OR(X67="",N(R67)=0),"",X67/R67)</f>
        <v>0.258937191132613</v>
      </c>
      <c r="Z67" s="30" t="n">
        <f aca="true">IF(O67="","",IF(T67="",TODAY(),T67)-O67)</f>
        <v>513</v>
      </c>
      <c r="AA67" s="31" t="str">
        <f aca="false">IF(T67="","",TEXT(T67,"YYYY-MM"))</f>
        <v>2026-06</v>
      </c>
      <c r="AB67" s="27" t="n">
        <f aca="false">IF(X67="","",X67/2)</f>
        <v>1443</v>
      </c>
      <c r="AC67" s="21"/>
    </row>
    <row r="68" customFormat="false" ht="15" hidden="false" customHeight="false" outlineLevel="0" collapsed="false">
      <c r="A68" s="20" t="n">
        <v>68</v>
      </c>
      <c r="B68" s="21" t="s">
        <v>100</v>
      </c>
      <c r="C68" s="21" t="s">
        <v>201</v>
      </c>
      <c r="D68" s="21" t="s">
        <v>55</v>
      </c>
      <c r="E68" s="21" t="s">
        <v>209</v>
      </c>
      <c r="F68" s="21" t="s">
        <v>210</v>
      </c>
      <c r="G68" s="22" t="n">
        <v>44958</v>
      </c>
      <c r="H68" s="21" t="s">
        <v>211</v>
      </c>
      <c r="I68" s="21" t="s">
        <v>156</v>
      </c>
      <c r="J68" s="21" t="s">
        <v>161</v>
      </c>
      <c r="K68" s="23" t="n">
        <v>7860</v>
      </c>
      <c r="L68" s="24"/>
      <c r="M68" s="21" t="s">
        <v>122</v>
      </c>
      <c r="N68" s="21" t="s">
        <v>113</v>
      </c>
      <c r="O68" s="25" t="n">
        <v>45677</v>
      </c>
      <c r="P68" s="26" t="n">
        <v>1708.42</v>
      </c>
      <c r="Q68" s="27" t="n">
        <f aca="false">IF(A68="","",SUMIF(Expenses!$B$2:$B$3000,A68,Expenses!$E$2:$E$3000))</f>
        <v>0</v>
      </c>
      <c r="R68" s="27" t="n">
        <f aca="false">IF(A68="","",N(P68)+N(Q68))</f>
        <v>1708.42</v>
      </c>
      <c r="S68" s="28"/>
      <c r="T68" s="25" t="n">
        <v>45693</v>
      </c>
      <c r="U68" s="26" t="n">
        <v>72390</v>
      </c>
      <c r="V68" s="26"/>
      <c r="W68" s="26" t="n">
        <v>3764.42</v>
      </c>
      <c r="X68" s="27" t="n">
        <f aca="false">IF(B68&lt;&gt;"SOLD","",IF(C68="Consignment",N(W68)-R68,N(U68)-R68-N(V68)))</f>
        <v>2056</v>
      </c>
      <c r="Y68" s="29" t="n">
        <f aca="false">IF(OR(X68="",N(R68)=0),"",X68/R68)</f>
        <v>1.20345114199085</v>
      </c>
      <c r="Z68" s="30" t="n">
        <f aca="true">IF(O68="","",IF(T68="",TODAY(),T68)-O68)</f>
        <v>16</v>
      </c>
      <c r="AA68" s="31" t="str">
        <f aca="false">IF(T68="","",TEXT(T68,"YYYY-MM"))</f>
        <v>2025-02</v>
      </c>
      <c r="AB68" s="27" t="n">
        <f aca="false">IF(X68="","",X68/2)</f>
        <v>1028</v>
      </c>
      <c r="AC68" s="21"/>
    </row>
    <row r="69" customFormat="false" ht="15" hidden="false" customHeight="false" outlineLevel="0" collapsed="false">
      <c r="A69" s="20" t="n">
        <v>69</v>
      </c>
      <c r="B69" s="21" t="s">
        <v>100</v>
      </c>
      <c r="C69" s="21" t="s">
        <v>101</v>
      </c>
      <c r="D69" s="21" t="s">
        <v>51</v>
      </c>
      <c r="E69" s="21" t="s">
        <v>172</v>
      </c>
      <c r="F69" s="21" t="s">
        <v>137</v>
      </c>
      <c r="G69" s="22" t="n">
        <v>42614</v>
      </c>
      <c r="H69" s="21" t="s">
        <v>116</v>
      </c>
      <c r="I69" s="21" t="s">
        <v>111</v>
      </c>
      <c r="J69" s="21"/>
      <c r="K69" s="23" t="n">
        <v>197900</v>
      </c>
      <c r="L69" s="24"/>
      <c r="M69" s="21" t="s">
        <v>122</v>
      </c>
      <c r="N69" s="21" t="s">
        <v>107</v>
      </c>
      <c r="O69" s="25" t="n">
        <v>45681</v>
      </c>
      <c r="P69" s="26" t="n">
        <v>9156.5</v>
      </c>
      <c r="Q69" s="27" t="n">
        <f aca="false">IF(A69="","",SUMIF(Expenses!$B$2:$B$3000,A69,Expenses!$E$2:$E$3000))</f>
        <v>0</v>
      </c>
      <c r="R69" s="27" t="n">
        <f aca="false">IF(A69="","",N(P69)+N(Q69))</f>
        <v>9156.5</v>
      </c>
      <c r="S69" s="28"/>
      <c r="T69" s="25" t="n">
        <v>45748</v>
      </c>
      <c r="U69" s="26" t="n">
        <v>10850</v>
      </c>
      <c r="V69" s="26" t="n">
        <v>0.5</v>
      </c>
      <c r="W69" s="26"/>
      <c r="X69" s="27" t="n">
        <f aca="false">IF(B69&lt;&gt;"SOLD","",IF(C69="Consignment",N(W69)-R69,N(U69)-R69-N(V69)))</f>
        <v>1693</v>
      </c>
      <c r="Y69" s="29" t="n">
        <f aca="false">IF(OR(X69="",N(R69)=0),"",X69/R69)</f>
        <v>0.184895975536504</v>
      </c>
      <c r="Z69" s="30" t="n">
        <f aca="true">IF(O69="","",IF(T69="",TODAY(),T69)-O69)</f>
        <v>67</v>
      </c>
      <c r="AA69" s="31" t="str">
        <f aca="false">IF(T69="","",TEXT(T69,"YYYY-MM"))</f>
        <v>2025-04</v>
      </c>
      <c r="AB69" s="27" t="n">
        <f aca="false">IF(X69="","",X69/2)</f>
        <v>846.5</v>
      </c>
      <c r="AC69" s="21"/>
    </row>
    <row r="70" customFormat="false" ht="15" hidden="false" customHeight="false" outlineLevel="0" collapsed="false">
      <c r="A70" s="20" t="n">
        <v>70</v>
      </c>
      <c r="B70" s="21" t="s">
        <v>100</v>
      </c>
      <c r="C70" s="21" t="s">
        <v>101</v>
      </c>
      <c r="D70" s="21" t="s">
        <v>52</v>
      </c>
      <c r="E70" s="21" t="s">
        <v>134</v>
      </c>
      <c r="F70" s="21" t="s">
        <v>124</v>
      </c>
      <c r="G70" s="22" t="n">
        <v>43770</v>
      </c>
      <c r="H70" s="21" t="s">
        <v>164</v>
      </c>
      <c r="I70" s="21" t="s">
        <v>111</v>
      </c>
      <c r="J70" s="21"/>
      <c r="K70" s="23" t="n">
        <v>187900</v>
      </c>
      <c r="L70" s="24"/>
      <c r="M70" s="21" t="s">
        <v>126</v>
      </c>
      <c r="N70" s="21" t="s">
        <v>113</v>
      </c>
      <c r="O70" s="25" t="n">
        <v>45681</v>
      </c>
      <c r="P70" s="26" t="n">
        <v>7835</v>
      </c>
      <c r="Q70" s="27" t="n">
        <f aca="false">IF(A70="","",SUMIF(Expenses!$B$2:$B$3000,A70,Expenses!$E$2:$E$3000))</f>
        <v>0</v>
      </c>
      <c r="R70" s="27" t="n">
        <f aca="false">IF(A70="","",N(P70)+N(Q70))</f>
        <v>7835</v>
      </c>
      <c r="S70" s="28"/>
      <c r="T70" s="25" t="n">
        <v>45746</v>
      </c>
      <c r="U70" s="26" t="n">
        <v>12250</v>
      </c>
      <c r="V70" s="26" t="n">
        <v>2291</v>
      </c>
      <c r="W70" s="26"/>
      <c r="X70" s="27" t="n">
        <f aca="false">IF(B70&lt;&gt;"SOLD","",IF(C70="Consignment",N(W70)-R70,N(U70)-R70-N(V70)))</f>
        <v>2124</v>
      </c>
      <c r="Y70" s="29" t="n">
        <f aca="false">IF(OR(X70="",N(R70)=0),"",X70/R70)</f>
        <v>0.271091257179324</v>
      </c>
      <c r="Z70" s="30" t="n">
        <f aca="true">IF(O70="","",IF(T70="",TODAY(),T70)-O70)</f>
        <v>65</v>
      </c>
      <c r="AA70" s="31" t="str">
        <f aca="false">IF(T70="","",TEXT(T70,"YYYY-MM"))</f>
        <v>2025-03</v>
      </c>
      <c r="AB70" s="27" t="n">
        <f aca="false">IF(X70="","",X70/2)</f>
        <v>1062</v>
      </c>
      <c r="AC70" s="21"/>
    </row>
    <row r="71" customFormat="false" ht="15" hidden="false" customHeight="false" outlineLevel="0" collapsed="false">
      <c r="A71" s="20" t="n">
        <v>71</v>
      </c>
      <c r="B71" s="21" t="s">
        <v>100</v>
      </c>
      <c r="C71" s="21" t="s">
        <v>101</v>
      </c>
      <c r="D71" s="21" t="s">
        <v>52</v>
      </c>
      <c r="E71" s="21" t="s">
        <v>212</v>
      </c>
      <c r="F71" s="21" t="s">
        <v>115</v>
      </c>
      <c r="G71" s="22" t="n">
        <v>44075</v>
      </c>
      <c r="H71" s="21" t="s">
        <v>164</v>
      </c>
      <c r="I71" s="21" t="s">
        <v>111</v>
      </c>
      <c r="J71" s="21"/>
      <c r="K71" s="23" t="n">
        <v>171000</v>
      </c>
      <c r="L71" s="24"/>
      <c r="M71" s="21" t="s">
        <v>148</v>
      </c>
      <c r="N71" s="21" t="s">
        <v>113</v>
      </c>
      <c r="O71" s="25" t="n">
        <v>45684</v>
      </c>
      <c r="P71" s="26" t="n">
        <v>11747</v>
      </c>
      <c r="Q71" s="27" t="n">
        <f aca="false">IF(A71="","",SUMIF(Expenses!$B$2:$B$3000,A71,Expenses!$E$2:$E$3000))</f>
        <v>0</v>
      </c>
      <c r="R71" s="27" t="n">
        <f aca="false">IF(A71="","",N(P71)+N(Q71))</f>
        <v>11747</v>
      </c>
      <c r="S71" s="28"/>
      <c r="T71" s="25" t="n">
        <v>45709</v>
      </c>
      <c r="U71" s="26" t="n">
        <v>17300</v>
      </c>
      <c r="V71" s="26" t="n">
        <v>2805</v>
      </c>
      <c r="W71" s="26"/>
      <c r="X71" s="27" t="n">
        <f aca="false">IF(B71&lt;&gt;"SOLD","",IF(C71="Consignment",N(W71)-R71,N(U71)-R71-N(V71)))</f>
        <v>2748</v>
      </c>
      <c r="Y71" s="29" t="n">
        <f aca="false">IF(OR(X71="",N(R71)=0),"",X71/R71)</f>
        <v>0.233932067761982</v>
      </c>
      <c r="Z71" s="30" t="n">
        <f aca="true">IF(O71="","",IF(T71="",TODAY(),T71)-O71)</f>
        <v>25</v>
      </c>
      <c r="AA71" s="31" t="str">
        <f aca="false">IF(T71="","",TEXT(T71,"YYYY-MM"))</f>
        <v>2025-02</v>
      </c>
      <c r="AB71" s="27" t="n">
        <f aca="false">IF(X71="","",X71/2)</f>
        <v>1374</v>
      </c>
      <c r="AC71" s="21"/>
    </row>
    <row r="72" customFormat="false" ht="15" hidden="false" customHeight="false" outlineLevel="0" collapsed="false">
      <c r="A72" s="20" t="n">
        <v>72</v>
      </c>
      <c r="B72" s="21" t="s">
        <v>130</v>
      </c>
      <c r="C72" s="21" t="s">
        <v>101</v>
      </c>
      <c r="D72" s="21" t="s">
        <v>64</v>
      </c>
      <c r="E72" s="21" t="s">
        <v>213</v>
      </c>
      <c r="F72" s="21" t="s">
        <v>187</v>
      </c>
      <c r="G72" s="22" t="n">
        <v>44044</v>
      </c>
      <c r="H72" s="21" t="s">
        <v>214</v>
      </c>
      <c r="I72" s="21" t="s">
        <v>111</v>
      </c>
      <c r="J72" s="21"/>
      <c r="K72" s="23" t="n">
        <v>136400</v>
      </c>
      <c r="L72" s="24"/>
      <c r="M72" s="21" t="s">
        <v>133</v>
      </c>
      <c r="N72" s="21" t="s">
        <v>113</v>
      </c>
      <c r="O72" s="25" t="n">
        <v>45698</v>
      </c>
      <c r="P72" s="26" t="n">
        <v>8739</v>
      </c>
      <c r="Q72" s="27" t="n">
        <f aca="false">IF(A72="","",SUMIF(Expenses!$B$2:$B$3000,A72,Expenses!$E$2:$E$3000))</f>
        <v>0</v>
      </c>
      <c r="R72" s="27" t="n">
        <f aca="false">IF(A72="","",N(P72)+N(Q72))</f>
        <v>8739</v>
      </c>
      <c r="S72" s="28"/>
      <c r="T72" s="25"/>
      <c r="U72" s="26"/>
      <c r="V72" s="26"/>
      <c r="W72" s="26"/>
      <c r="X72" s="27" t="str">
        <f aca="false">IF(B72&lt;&gt;"SOLD","",IF(C72="Consignment",N(W72)-R72,N(U72)-R72-N(V72)))</f>
        <v/>
      </c>
      <c r="Y72" s="29" t="str">
        <f aca="false">IF(OR(X72="",N(R72)=0),"",X72/R72)</f>
        <v/>
      </c>
      <c r="Z72" s="30" t="n">
        <f aca="true">IF(O72="","",IF(T72="",TODAY(),T72)-O72)</f>
        <v>604</v>
      </c>
      <c r="AA72" s="31" t="str">
        <f aca="false">IF(T72="","",TEXT(T72,"YYYY-MM"))</f>
        <v/>
      </c>
      <c r="AB72" s="27" t="str">
        <f aca="false">IF(X72="","",X72/2)</f>
        <v/>
      </c>
      <c r="AC72" s="21"/>
    </row>
    <row r="73" customFormat="false" ht="15" hidden="false" customHeight="false" outlineLevel="0" collapsed="false">
      <c r="A73" s="20" t="n">
        <v>73</v>
      </c>
      <c r="B73" s="21" t="s">
        <v>100</v>
      </c>
      <c r="C73" s="21" t="s">
        <v>101</v>
      </c>
      <c r="D73" s="21" t="s">
        <v>66</v>
      </c>
      <c r="E73" s="21" t="s">
        <v>215</v>
      </c>
      <c r="F73" s="21" t="s">
        <v>216</v>
      </c>
      <c r="G73" s="22" t="n">
        <v>43070</v>
      </c>
      <c r="H73" s="21" t="s">
        <v>217</v>
      </c>
      <c r="I73" s="21" t="s">
        <v>152</v>
      </c>
      <c r="J73" s="21"/>
      <c r="K73" s="23" t="n">
        <v>166500</v>
      </c>
      <c r="L73" s="24"/>
      <c r="M73" s="21" t="s">
        <v>144</v>
      </c>
      <c r="N73" s="21" t="s">
        <v>107</v>
      </c>
      <c r="O73" s="25" t="n">
        <v>45705</v>
      </c>
      <c r="P73" s="26" t="n">
        <v>20190.81</v>
      </c>
      <c r="Q73" s="27" t="n">
        <f aca="false">IF(A73="","",SUMIF(Expenses!$B$2:$B$3000,A73,Expenses!$E$2:$E$3000))</f>
        <v>0</v>
      </c>
      <c r="R73" s="27" t="n">
        <f aca="false">IF(A73="","",N(P73)+N(Q73))</f>
        <v>20190.81</v>
      </c>
      <c r="S73" s="28"/>
      <c r="T73" s="25" t="n">
        <v>45919</v>
      </c>
      <c r="U73" s="26" t="n">
        <v>21550</v>
      </c>
      <c r="V73" s="26" t="n">
        <v>0.19</v>
      </c>
      <c r="W73" s="26"/>
      <c r="X73" s="27" t="n">
        <f aca="false">IF(B73&lt;&gt;"SOLD","",IF(C73="Consignment",N(W73)-R73,N(U73)-R73-N(V73)))</f>
        <v>1359</v>
      </c>
      <c r="Y73" s="29" t="n">
        <f aca="false">IF(OR(X73="",N(R73)=0),"",X73/R73)</f>
        <v>0.0673078494622058</v>
      </c>
      <c r="Z73" s="30" t="n">
        <f aca="true">IF(O73="","",IF(T73="",TODAY(),T73)-O73)</f>
        <v>214</v>
      </c>
      <c r="AA73" s="31" t="str">
        <f aca="false">IF(T73="","",TEXT(T73,"YYYY-MM"))</f>
        <v>2025-09</v>
      </c>
      <c r="AB73" s="27" t="n">
        <f aca="false">IF(X73="","",X73/2)</f>
        <v>679.499999999999</v>
      </c>
      <c r="AC73" s="21"/>
    </row>
    <row r="74" customFormat="false" ht="15" hidden="false" customHeight="false" outlineLevel="0" collapsed="false">
      <c r="A74" s="20" t="n">
        <v>74</v>
      </c>
      <c r="B74" s="21" t="s">
        <v>100</v>
      </c>
      <c r="C74" s="21" t="s">
        <v>101</v>
      </c>
      <c r="D74" s="21" t="s">
        <v>58</v>
      </c>
      <c r="E74" s="21" t="s">
        <v>218</v>
      </c>
      <c r="F74" s="21" t="s">
        <v>219</v>
      </c>
      <c r="G74" s="22" t="n">
        <v>43709</v>
      </c>
      <c r="H74" s="21" t="s">
        <v>220</v>
      </c>
      <c r="I74" s="21" t="s">
        <v>152</v>
      </c>
      <c r="J74" s="21" t="s">
        <v>161</v>
      </c>
      <c r="K74" s="23" t="n">
        <v>182000</v>
      </c>
      <c r="L74" s="24"/>
      <c r="M74" s="21" t="s">
        <v>122</v>
      </c>
      <c r="N74" s="21" t="s">
        <v>107</v>
      </c>
      <c r="O74" s="25" t="n">
        <v>45706</v>
      </c>
      <c r="P74" s="26" t="n">
        <v>24341.45</v>
      </c>
      <c r="Q74" s="27" t="n">
        <f aca="false">IF(A74="","",SUMIF(Expenses!$B$2:$B$3000,A74,Expenses!$E$2:$E$3000))</f>
        <v>0</v>
      </c>
      <c r="R74" s="27" t="n">
        <f aca="false">IF(A74="","",N(P74)+N(Q74))</f>
        <v>24341.45</v>
      </c>
      <c r="S74" s="28"/>
      <c r="T74" s="25" t="n">
        <v>45707</v>
      </c>
      <c r="U74" s="26" t="n">
        <v>25500</v>
      </c>
      <c r="V74" s="26" t="n">
        <v>158.55</v>
      </c>
      <c r="W74" s="26"/>
      <c r="X74" s="27" t="n">
        <f aca="false">IF(B74&lt;&gt;"SOLD","",IF(C74="Consignment",N(W74)-R74,N(U74)-R74-N(V74)))</f>
        <v>999.999999999999</v>
      </c>
      <c r="Y74" s="29" t="n">
        <f aca="false">IF(OR(X74="",N(R74)=0),"",X74/R74)</f>
        <v>0.0410821869691411</v>
      </c>
      <c r="Z74" s="30" t="n">
        <f aca="true">IF(O74="","",IF(T74="",TODAY(),T74)-O74)</f>
        <v>1</v>
      </c>
      <c r="AA74" s="31" t="str">
        <f aca="false">IF(T74="","",TEXT(T74,"YYYY-MM"))</f>
        <v>2025-02</v>
      </c>
      <c r="AB74" s="27" t="n">
        <f aca="false">IF(X74="","",X74/2)</f>
        <v>500</v>
      </c>
      <c r="AC74" s="21"/>
    </row>
    <row r="75" customFormat="false" ht="15" hidden="false" customHeight="false" outlineLevel="0" collapsed="false">
      <c r="A75" s="20" t="n">
        <v>75</v>
      </c>
      <c r="B75" s="21" t="s">
        <v>100</v>
      </c>
      <c r="C75" s="21" t="s">
        <v>101</v>
      </c>
      <c r="D75" s="21" t="s">
        <v>59</v>
      </c>
      <c r="E75" s="21" t="s">
        <v>186</v>
      </c>
      <c r="F75" s="21" t="s">
        <v>187</v>
      </c>
      <c r="G75" s="22" t="n">
        <v>44075</v>
      </c>
      <c r="H75" s="21" t="s">
        <v>214</v>
      </c>
      <c r="I75" s="21" t="s">
        <v>111</v>
      </c>
      <c r="J75" s="21"/>
      <c r="K75" s="23" t="n">
        <v>73300</v>
      </c>
      <c r="L75" s="24"/>
      <c r="M75" s="21" t="s">
        <v>148</v>
      </c>
      <c r="N75" s="21" t="s">
        <v>113</v>
      </c>
      <c r="O75" s="25" t="n">
        <v>45708</v>
      </c>
      <c r="P75" s="26" t="n">
        <v>16047.93</v>
      </c>
      <c r="Q75" s="27" t="n">
        <f aca="false">IF(A75="","",SUMIF(Expenses!$B$2:$B$3000,A75,Expenses!$E$2:$E$3000))</f>
        <v>0</v>
      </c>
      <c r="R75" s="27" t="n">
        <f aca="false">IF(A75="","",N(P75)+N(Q75))</f>
        <v>16047.93</v>
      </c>
      <c r="S75" s="28"/>
      <c r="T75" s="25" t="n">
        <v>45851</v>
      </c>
      <c r="U75" s="26" t="n">
        <v>17850</v>
      </c>
      <c r="V75" s="26" t="n">
        <v>0.07</v>
      </c>
      <c r="W75" s="26"/>
      <c r="X75" s="27" t="n">
        <f aca="false">IF(B75&lt;&gt;"SOLD","",IF(C75="Consignment",N(W75)-R75,N(U75)-R75-N(V75)))</f>
        <v>1802</v>
      </c>
      <c r="Y75" s="29" t="n">
        <f aca="false">IF(OR(X75="",N(R75)=0),"",X75/R75)</f>
        <v>0.112288625386576</v>
      </c>
      <c r="Z75" s="30" t="n">
        <f aca="true">IF(O75="","",IF(T75="",TODAY(),T75)-O75)</f>
        <v>143</v>
      </c>
      <c r="AA75" s="31" t="str">
        <f aca="false">IF(T75="","",TEXT(T75,"YYYY-MM"))</f>
        <v>2025-07</v>
      </c>
      <c r="AB75" s="27" t="n">
        <f aca="false">IF(X75="","",X75/2)</f>
        <v>901</v>
      </c>
      <c r="AC75" s="21"/>
    </row>
    <row r="76" customFormat="false" ht="15" hidden="false" customHeight="false" outlineLevel="0" collapsed="false">
      <c r="A76" s="20" t="n">
        <v>76</v>
      </c>
      <c r="B76" s="21" t="s">
        <v>100</v>
      </c>
      <c r="C76" s="21" t="s">
        <v>101</v>
      </c>
      <c r="D76" s="21" t="s">
        <v>53</v>
      </c>
      <c r="E76" s="21" t="s">
        <v>175</v>
      </c>
      <c r="F76" s="21" t="s">
        <v>115</v>
      </c>
      <c r="G76" s="22" t="n">
        <v>44682</v>
      </c>
      <c r="H76" s="21" t="s">
        <v>221</v>
      </c>
      <c r="I76" s="21" t="s">
        <v>111</v>
      </c>
      <c r="J76" s="21"/>
      <c r="K76" s="23" t="n">
        <v>68100</v>
      </c>
      <c r="L76" s="24"/>
      <c r="M76" s="21" t="s">
        <v>133</v>
      </c>
      <c r="N76" s="21" t="s">
        <v>113</v>
      </c>
      <c r="O76" s="25" t="n">
        <v>45715</v>
      </c>
      <c r="P76" s="26" t="n">
        <v>16011</v>
      </c>
      <c r="Q76" s="27" t="n">
        <f aca="false">IF(A76="","",SUMIF(Expenses!$B$2:$B$3000,A76,Expenses!$E$2:$E$3000))</f>
        <v>0</v>
      </c>
      <c r="R76" s="27" t="n">
        <f aca="false">IF(A76="","",N(P76)+N(Q76))</f>
        <v>16011</v>
      </c>
      <c r="S76" s="28"/>
      <c r="T76" s="25" t="n">
        <v>45903</v>
      </c>
      <c r="U76" s="26" t="n">
        <v>16728</v>
      </c>
      <c r="V76" s="26" t="n">
        <v>0</v>
      </c>
      <c r="W76" s="26"/>
      <c r="X76" s="27" t="n">
        <f aca="false">IF(B76&lt;&gt;"SOLD","",IF(C76="Consignment",N(W76)-R76,N(U76)-R76-N(V76)))</f>
        <v>717</v>
      </c>
      <c r="Y76" s="29" t="n">
        <f aca="false">IF(OR(X76="",N(R76)=0),"",X76/R76)</f>
        <v>0.0447817125726063</v>
      </c>
      <c r="Z76" s="30" t="n">
        <f aca="true">IF(O76="","",IF(T76="",TODAY(),T76)-O76)</f>
        <v>188</v>
      </c>
      <c r="AA76" s="31" t="str">
        <f aca="false">IF(T76="","",TEXT(T76,"YYYY-MM"))</f>
        <v>2025-09</v>
      </c>
      <c r="AB76" s="27" t="n">
        <f aca="false">IF(X76="","",X76/2)</f>
        <v>358.5</v>
      </c>
      <c r="AC76" s="21"/>
    </row>
    <row r="77" customFormat="false" ht="15" hidden="false" customHeight="false" outlineLevel="0" collapsed="false">
      <c r="A77" s="20" t="n">
        <v>77</v>
      </c>
      <c r="B77" s="21" t="s">
        <v>100</v>
      </c>
      <c r="C77" s="21" t="s">
        <v>101</v>
      </c>
      <c r="D77" s="21" t="s">
        <v>52</v>
      </c>
      <c r="E77" s="21" t="s">
        <v>212</v>
      </c>
      <c r="F77" s="21" t="s">
        <v>115</v>
      </c>
      <c r="G77" s="22" t="n">
        <v>44317</v>
      </c>
      <c r="H77" s="21" t="s">
        <v>221</v>
      </c>
      <c r="I77" s="21" t="s">
        <v>111</v>
      </c>
      <c r="J77" s="21"/>
      <c r="K77" s="23" t="n">
        <v>199700</v>
      </c>
      <c r="L77" s="24"/>
      <c r="M77" s="21" t="s">
        <v>133</v>
      </c>
      <c r="N77" s="21" t="s">
        <v>113</v>
      </c>
      <c r="O77" s="25" t="n">
        <v>45715</v>
      </c>
      <c r="P77" s="26" t="n">
        <v>11429</v>
      </c>
      <c r="Q77" s="27" t="n">
        <f aca="false">IF(A77="","",SUMIF(Expenses!$B$2:$B$3000,A77,Expenses!$E$2:$E$3000))</f>
        <v>0</v>
      </c>
      <c r="R77" s="27" t="n">
        <f aca="false">IF(A77="","",N(P77)+N(Q77))</f>
        <v>11429</v>
      </c>
      <c r="S77" s="28"/>
      <c r="T77" s="25" t="n">
        <v>45784</v>
      </c>
      <c r="U77" s="26" t="n">
        <v>16300</v>
      </c>
      <c r="V77" s="26" t="n">
        <v>3048</v>
      </c>
      <c r="W77" s="26"/>
      <c r="X77" s="27" t="n">
        <f aca="false">IF(B77&lt;&gt;"SOLD","",IF(C77="Consignment",N(W77)-R77,N(U77)-R77-N(V77)))</f>
        <v>1823</v>
      </c>
      <c r="Y77" s="29" t="n">
        <f aca="false">IF(OR(X77="",N(R77)=0),"",X77/R77)</f>
        <v>0.159506518505556</v>
      </c>
      <c r="Z77" s="30" t="n">
        <f aca="true">IF(O77="","",IF(T77="",TODAY(),T77)-O77)</f>
        <v>69</v>
      </c>
      <c r="AA77" s="31" t="str">
        <f aca="false">IF(T77="","",TEXT(T77,"YYYY-MM"))</f>
        <v>2025-05</v>
      </c>
      <c r="AB77" s="27" t="n">
        <f aca="false">IF(X77="","",X77/2)</f>
        <v>911.5</v>
      </c>
      <c r="AC77" s="21"/>
    </row>
    <row r="78" customFormat="false" ht="15" hidden="false" customHeight="false" outlineLevel="0" collapsed="false">
      <c r="A78" s="20" t="n">
        <v>78</v>
      </c>
      <c r="B78" s="21" t="s">
        <v>100</v>
      </c>
      <c r="C78" s="21" t="s">
        <v>101</v>
      </c>
      <c r="D78" s="21" t="s">
        <v>59</v>
      </c>
      <c r="E78" s="21" t="s">
        <v>186</v>
      </c>
      <c r="F78" s="21" t="s">
        <v>187</v>
      </c>
      <c r="G78" s="22" t="n">
        <v>43009</v>
      </c>
      <c r="H78" s="21" t="s">
        <v>214</v>
      </c>
      <c r="I78" s="21" t="s">
        <v>111</v>
      </c>
      <c r="J78" s="21"/>
      <c r="K78" s="23" t="n">
        <v>195600</v>
      </c>
      <c r="L78" s="24"/>
      <c r="M78" s="21" t="s">
        <v>122</v>
      </c>
      <c r="N78" s="21" t="s">
        <v>113</v>
      </c>
      <c r="O78" s="25" t="n">
        <v>45723</v>
      </c>
      <c r="P78" s="26" t="n">
        <v>6952</v>
      </c>
      <c r="Q78" s="27" t="n">
        <f aca="false">IF(A78="","",SUMIF(Expenses!$B$2:$B$3000,A78,Expenses!$E$2:$E$3000))</f>
        <v>0</v>
      </c>
      <c r="R78" s="27" t="n">
        <f aca="false">IF(A78="","",N(P78)+N(Q78))</f>
        <v>6952</v>
      </c>
      <c r="S78" s="28"/>
      <c r="T78" s="25" t="n">
        <v>45770</v>
      </c>
      <c r="U78" s="26" t="n">
        <v>11350</v>
      </c>
      <c r="V78" s="26" t="n">
        <v>2122</v>
      </c>
      <c r="W78" s="26"/>
      <c r="X78" s="27" t="n">
        <f aca="false">IF(B78&lt;&gt;"SOLD","",IF(C78="Consignment",N(W78)-R78,N(U78)-R78-N(V78)))</f>
        <v>2276</v>
      </c>
      <c r="Y78" s="29" t="n">
        <f aca="false">IF(OR(X78="",N(R78)=0),"",X78/R78)</f>
        <v>0.327387802071346</v>
      </c>
      <c r="Z78" s="30" t="n">
        <f aca="true">IF(O78="","",IF(T78="",TODAY(),T78)-O78)</f>
        <v>47</v>
      </c>
      <c r="AA78" s="31" t="str">
        <f aca="false">IF(T78="","",TEXT(T78,"YYYY-MM"))</f>
        <v>2025-04</v>
      </c>
      <c r="AB78" s="27" t="n">
        <f aca="false">IF(X78="","",X78/2)</f>
        <v>1138</v>
      </c>
      <c r="AC78" s="21"/>
    </row>
    <row r="79" customFormat="false" ht="15" hidden="false" customHeight="false" outlineLevel="0" collapsed="false">
      <c r="A79" s="20" t="n">
        <v>79</v>
      </c>
      <c r="B79" s="21" t="s">
        <v>100</v>
      </c>
      <c r="C79" s="21" t="s">
        <v>101</v>
      </c>
      <c r="D79" s="21" t="s">
        <v>52</v>
      </c>
      <c r="E79" s="21" t="s">
        <v>134</v>
      </c>
      <c r="F79" s="21" t="s">
        <v>124</v>
      </c>
      <c r="G79" s="22" t="n">
        <v>42856</v>
      </c>
      <c r="H79" s="21" t="s">
        <v>116</v>
      </c>
      <c r="I79" s="21" t="s">
        <v>111</v>
      </c>
      <c r="J79" s="21"/>
      <c r="K79" s="23" t="n">
        <v>150400</v>
      </c>
      <c r="L79" s="24"/>
      <c r="M79" s="21" t="s">
        <v>122</v>
      </c>
      <c r="N79" s="21" t="s">
        <v>107</v>
      </c>
      <c r="O79" s="25" t="n">
        <v>45735</v>
      </c>
      <c r="P79" s="26" t="n">
        <v>11856.99</v>
      </c>
      <c r="Q79" s="27" t="n">
        <f aca="false">IF(A79="","",SUMIF(Expenses!$B$2:$B$3000,A79,Expenses!$E$2:$E$3000))</f>
        <v>0</v>
      </c>
      <c r="R79" s="27" t="n">
        <f aca="false">IF(A79="","",N(P79)+N(Q79))</f>
        <v>11856.99</v>
      </c>
      <c r="S79" s="28"/>
      <c r="T79" s="25" t="n">
        <v>45773</v>
      </c>
      <c r="U79" s="26" t="n">
        <v>13850</v>
      </c>
      <c r="V79" s="26" t="n">
        <v>0.01</v>
      </c>
      <c r="W79" s="26"/>
      <c r="X79" s="27" t="n">
        <f aca="false">IF(B79&lt;&gt;"SOLD","",IF(C79="Consignment",N(W79)-R79,N(U79)-R79-N(V79)))</f>
        <v>1993</v>
      </c>
      <c r="Y79" s="29" t="n">
        <f aca="false">IF(OR(X79="",N(R79)=0),"",X79/R79)</f>
        <v>0.168086504247705</v>
      </c>
      <c r="Z79" s="30" t="n">
        <f aca="true">IF(O79="","",IF(T79="",TODAY(),T79)-O79)</f>
        <v>38</v>
      </c>
      <c r="AA79" s="31" t="str">
        <f aca="false">IF(T79="","",TEXT(T79,"YYYY-MM"))</f>
        <v>2025-04</v>
      </c>
      <c r="AB79" s="27" t="n">
        <f aca="false">IF(X79="","",X79/2)</f>
        <v>996.5</v>
      </c>
      <c r="AC79" s="21"/>
    </row>
    <row r="80" customFormat="false" ht="15" hidden="false" customHeight="false" outlineLevel="0" collapsed="false">
      <c r="A80" s="20" t="n">
        <v>80</v>
      </c>
      <c r="B80" s="21" t="s">
        <v>100</v>
      </c>
      <c r="C80" s="21" t="s">
        <v>101</v>
      </c>
      <c r="D80" s="21" t="s">
        <v>51</v>
      </c>
      <c r="E80" s="21" t="s">
        <v>172</v>
      </c>
      <c r="F80" s="21" t="s">
        <v>137</v>
      </c>
      <c r="G80" s="22" t="n">
        <v>41974</v>
      </c>
      <c r="H80" s="21" t="s">
        <v>222</v>
      </c>
      <c r="I80" s="21" t="s">
        <v>129</v>
      </c>
      <c r="J80" s="21"/>
      <c r="K80" s="23" t="n">
        <v>161500</v>
      </c>
      <c r="L80" s="24"/>
      <c r="M80" s="21" t="s">
        <v>122</v>
      </c>
      <c r="N80" s="21" t="s">
        <v>107</v>
      </c>
      <c r="O80" s="25" t="n">
        <v>45756</v>
      </c>
      <c r="P80" s="26" t="n">
        <v>9242</v>
      </c>
      <c r="Q80" s="27" t="n">
        <f aca="false">IF(A80="","",SUMIF(Expenses!$B$2:$B$3000,A80,Expenses!$E$2:$E$3000))</f>
        <v>0</v>
      </c>
      <c r="R80" s="27" t="n">
        <f aca="false">IF(A80="","",N(P80)+N(Q80))</f>
        <v>9242</v>
      </c>
      <c r="S80" s="28"/>
      <c r="T80" s="25" t="n">
        <v>46005</v>
      </c>
      <c r="U80" s="26" t="n">
        <v>9500</v>
      </c>
      <c r="V80" s="26" t="n">
        <v>0</v>
      </c>
      <c r="W80" s="26"/>
      <c r="X80" s="27" t="n">
        <f aca="false">IF(B80&lt;&gt;"SOLD","",IF(C80="Consignment",N(W80)-R80,N(U80)-R80-N(V80)))</f>
        <v>258</v>
      </c>
      <c r="Y80" s="29" t="n">
        <f aca="false">IF(OR(X80="",N(R80)=0),"",X80/R80)</f>
        <v>0.0279160354901536</v>
      </c>
      <c r="Z80" s="30" t="n">
        <f aca="true">IF(O80="","",IF(T80="",TODAY(),T80)-O80)</f>
        <v>249</v>
      </c>
      <c r="AA80" s="31" t="str">
        <f aca="false">IF(T80="","",TEXT(T80,"YYYY-MM"))</f>
        <v>2025-12</v>
      </c>
      <c r="AB80" s="27" t="n">
        <f aca="false">IF(X80="","",X80/2)</f>
        <v>129</v>
      </c>
      <c r="AC80" s="21"/>
    </row>
    <row r="81" customFormat="false" ht="15" hidden="false" customHeight="false" outlineLevel="0" collapsed="false">
      <c r="A81" s="20" t="n">
        <v>81</v>
      </c>
      <c r="B81" s="21" t="s">
        <v>100</v>
      </c>
      <c r="C81" s="21" t="s">
        <v>101</v>
      </c>
      <c r="D81" s="21" t="s">
        <v>51</v>
      </c>
      <c r="E81" s="21" t="s">
        <v>127</v>
      </c>
      <c r="F81" s="21" t="s">
        <v>137</v>
      </c>
      <c r="G81" s="22" t="n">
        <v>43009</v>
      </c>
      <c r="H81" s="21" t="s">
        <v>223</v>
      </c>
      <c r="I81" s="21" t="s">
        <v>111</v>
      </c>
      <c r="J81" s="21"/>
      <c r="K81" s="23" t="n">
        <v>190800</v>
      </c>
      <c r="L81" s="24"/>
      <c r="M81" s="21" t="s">
        <v>144</v>
      </c>
      <c r="N81" s="21" t="s">
        <v>107</v>
      </c>
      <c r="O81" s="25" t="n">
        <v>45756</v>
      </c>
      <c r="P81" s="26" t="n">
        <v>12351.11</v>
      </c>
      <c r="Q81" s="27" t="n">
        <f aca="false">IF(A81="","",SUMIF(Expenses!$B$2:$B$3000,A81,Expenses!$E$2:$E$3000))</f>
        <v>0</v>
      </c>
      <c r="R81" s="27" t="n">
        <f aca="false">IF(A81="","",N(P81)+N(Q81))</f>
        <v>12351.11</v>
      </c>
      <c r="S81" s="28"/>
      <c r="T81" s="25" t="n">
        <v>45834</v>
      </c>
      <c r="U81" s="26" t="n">
        <v>13950</v>
      </c>
      <c r="V81" s="26" t="n">
        <v>-0.11</v>
      </c>
      <c r="W81" s="26"/>
      <c r="X81" s="27" t="n">
        <f aca="false">IF(B81&lt;&gt;"SOLD","",IF(C81="Consignment",N(W81)-R81,N(U81)-R81-N(V81)))</f>
        <v>1599</v>
      </c>
      <c r="Y81" s="29" t="n">
        <f aca="false">IF(OR(X81="",N(R81)=0),"",X81/R81)</f>
        <v>0.12946204835031</v>
      </c>
      <c r="Z81" s="30" t="n">
        <f aca="true">IF(O81="","",IF(T81="",TODAY(),T81)-O81)</f>
        <v>78</v>
      </c>
      <c r="AA81" s="31" t="str">
        <f aca="false">IF(T81="","",TEXT(T81,"YYYY-MM"))</f>
        <v>2025-06</v>
      </c>
      <c r="AB81" s="27" t="n">
        <f aca="false">IF(X81="","",X81/2)</f>
        <v>799.5</v>
      </c>
      <c r="AC81" s="21"/>
    </row>
    <row r="82" customFormat="false" ht="15" hidden="false" customHeight="false" outlineLevel="0" collapsed="false">
      <c r="A82" s="20" t="n">
        <v>82</v>
      </c>
      <c r="B82" s="21" t="s">
        <v>100</v>
      </c>
      <c r="C82" s="21" t="s">
        <v>101</v>
      </c>
      <c r="D82" s="21" t="s">
        <v>52</v>
      </c>
      <c r="E82" s="21" t="s">
        <v>134</v>
      </c>
      <c r="F82" s="21" t="s">
        <v>224</v>
      </c>
      <c r="G82" s="22" t="n">
        <v>41609</v>
      </c>
      <c r="H82" s="21" t="s">
        <v>225</v>
      </c>
      <c r="I82" s="21" t="s">
        <v>111</v>
      </c>
      <c r="J82" s="21"/>
      <c r="K82" s="23" t="n">
        <v>194400</v>
      </c>
      <c r="L82" s="24"/>
      <c r="M82" s="21" t="s">
        <v>126</v>
      </c>
      <c r="N82" s="21" t="s">
        <v>107</v>
      </c>
      <c r="O82" s="25" t="n">
        <v>45765</v>
      </c>
      <c r="P82" s="26" t="n">
        <v>7971.17</v>
      </c>
      <c r="Q82" s="27" t="n">
        <f aca="false">IF(A82="","",SUMIF(Expenses!$B$2:$B$3000,A82,Expenses!$E$2:$E$3000))</f>
        <v>0</v>
      </c>
      <c r="R82" s="27" t="n">
        <f aca="false">IF(A82="","",N(P82)+N(Q82))</f>
        <v>7971.17</v>
      </c>
      <c r="S82" s="28"/>
      <c r="T82" s="25" t="n">
        <v>45879</v>
      </c>
      <c r="U82" s="26" t="n">
        <v>9350</v>
      </c>
      <c r="V82" s="26" t="n">
        <v>-0.17</v>
      </c>
      <c r="W82" s="26"/>
      <c r="X82" s="27" t="n">
        <f aca="false">IF(B82&lt;&gt;"SOLD","",IF(C82="Consignment",N(W82)-R82,N(U82)-R82-N(V82)))</f>
        <v>1379</v>
      </c>
      <c r="Y82" s="29" t="n">
        <f aca="false">IF(OR(X82="",N(R82)=0),"",X82/R82)</f>
        <v>0.172998443139464</v>
      </c>
      <c r="Z82" s="30" t="n">
        <f aca="true">IF(O82="","",IF(T82="",TODAY(),T82)-O82)</f>
        <v>114</v>
      </c>
      <c r="AA82" s="31" t="str">
        <f aca="false">IF(T82="","",TEXT(T82,"YYYY-MM"))</f>
        <v>2025-08</v>
      </c>
      <c r="AB82" s="27" t="n">
        <f aca="false">IF(X82="","",X82/2)</f>
        <v>689.5</v>
      </c>
      <c r="AC82" s="21"/>
    </row>
    <row r="83" customFormat="false" ht="15" hidden="false" customHeight="false" outlineLevel="0" collapsed="false">
      <c r="A83" s="20" t="n">
        <v>83</v>
      </c>
      <c r="B83" s="21" t="s">
        <v>100</v>
      </c>
      <c r="C83" s="21" t="s">
        <v>101</v>
      </c>
      <c r="D83" s="21" t="s">
        <v>53</v>
      </c>
      <c r="E83" s="21" t="s">
        <v>145</v>
      </c>
      <c r="F83" s="21" t="s">
        <v>115</v>
      </c>
      <c r="G83" s="22" t="n">
        <v>42644</v>
      </c>
      <c r="H83" s="21" t="s">
        <v>143</v>
      </c>
      <c r="I83" s="21" t="s">
        <v>111</v>
      </c>
      <c r="J83" s="21"/>
      <c r="K83" s="23" t="n">
        <v>147600</v>
      </c>
      <c r="L83" s="24"/>
      <c r="M83" s="21" t="s">
        <v>112</v>
      </c>
      <c r="N83" s="21" t="s">
        <v>107</v>
      </c>
      <c r="O83" s="25" t="n">
        <v>45769</v>
      </c>
      <c r="P83" s="26" t="n">
        <v>13198.16</v>
      </c>
      <c r="Q83" s="27" t="n">
        <f aca="false">IF(A83="","",SUMIF(Expenses!$B$2:$B$3000,A83,Expenses!$E$2:$E$3000))</f>
        <v>0</v>
      </c>
      <c r="R83" s="27" t="n">
        <f aca="false">IF(A83="","",N(P83)+N(Q83))</f>
        <v>13198.16</v>
      </c>
      <c r="S83" s="28"/>
      <c r="T83" s="25" t="n">
        <v>45840</v>
      </c>
      <c r="U83" s="26" t="n">
        <v>14900</v>
      </c>
      <c r="V83" s="26" t="n">
        <v>-0.16</v>
      </c>
      <c r="W83" s="26"/>
      <c r="X83" s="27" t="n">
        <f aca="false">IF(B83&lt;&gt;"SOLD","",IF(C83="Consignment",N(W83)-R83,N(U83)-R83-N(V83)))</f>
        <v>1702</v>
      </c>
      <c r="Y83" s="29" t="n">
        <f aca="false">IF(OR(X83="",N(R83)=0),"",X83/R83)</f>
        <v>0.128957369815186</v>
      </c>
      <c r="Z83" s="30" t="n">
        <f aca="true">IF(O83="","",IF(T83="",TODAY(),T83)-O83)</f>
        <v>71</v>
      </c>
      <c r="AA83" s="31" t="str">
        <f aca="false">IF(T83="","",TEXT(T83,"YYYY-MM"))</f>
        <v>2025-07</v>
      </c>
      <c r="AB83" s="27" t="n">
        <f aca="false">IF(X83="","",X83/2)</f>
        <v>851</v>
      </c>
      <c r="AC83" s="21"/>
    </row>
    <row r="84" customFormat="false" ht="15" hidden="false" customHeight="false" outlineLevel="0" collapsed="false">
      <c r="A84" s="20" t="n">
        <v>84</v>
      </c>
      <c r="B84" s="21" t="s">
        <v>100</v>
      </c>
      <c r="C84" s="21" t="s">
        <v>101</v>
      </c>
      <c r="D84" s="21" t="s">
        <v>51</v>
      </c>
      <c r="E84" s="21" t="s">
        <v>204</v>
      </c>
      <c r="F84" s="21" t="s">
        <v>205</v>
      </c>
      <c r="G84" s="22" t="n">
        <v>41609</v>
      </c>
      <c r="H84" s="21" t="s">
        <v>226</v>
      </c>
      <c r="I84" s="21" t="s">
        <v>111</v>
      </c>
      <c r="J84" s="21"/>
      <c r="K84" s="23" t="n">
        <v>161600</v>
      </c>
      <c r="L84" s="24"/>
      <c r="M84" s="21" t="s">
        <v>122</v>
      </c>
      <c r="N84" s="21" t="s">
        <v>107</v>
      </c>
      <c r="O84" s="25" t="n">
        <v>45770</v>
      </c>
      <c r="P84" s="26" t="n">
        <v>8134.43</v>
      </c>
      <c r="Q84" s="27" t="n">
        <f aca="false">IF(A84="","",SUMIF(Expenses!$B$2:$B$3000,A84,Expenses!$E$2:$E$3000))</f>
        <v>0</v>
      </c>
      <c r="R84" s="27" t="n">
        <f aca="false">IF(A84="","",N(P84)+N(Q84))</f>
        <v>8134.43</v>
      </c>
      <c r="S84" s="28"/>
      <c r="T84" s="25" t="n">
        <v>45871</v>
      </c>
      <c r="U84" s="26" t="n">
        <v>9655</v>
      </c>
      <c r="V84" s="26" t="n">
        <v>-0.43</v>
      </c>
      <c r="W84" s="26"/>
      <c r="X84" s="27" t="n">
        <f aca="false">IF(B84&lt;&gt;"SOLD","",IF(C84="Consignment",N(W84)-R84,N(U84)-R84-N(V84)))</f>
        <v>1521</v>
      </c>
      <c r="Y84" s="29" t="n">
        <f aca="false">IF(OR(X84="",N(R84)=0),"",X84/R84)</f>
        <v>0.186982984671329</v>
      </c>
      <c r="Z84" s="30" t="n">
        <f aca="true">IF(O84="","",IF(T84="",TODAY(),T84)-O84)</f>
        <v>101</v>
      </c>
      <c r="AA84" s="31" t="str">
        <f aca="false">IF(T84="","",TEXT(T84,"YYYY-MM"))</f>
        <v>2025-08</v>
      </c>
      <c r="AB84" s="27" t="n">
        <f aca="false">IF(X84="","",X84/2)</f>
        <v>760.5</v>
      </c>
      <c r="AC84" s="21"/>
    </row>
    <row r="85" customFormat="false" ht="15" hidden="false" customHeight="false" outlineLevel="0" collapsed="false">
      <c r="A85" s="20" t="n">
        <v>85</v>
      </c>
      <c r="B85" s="21" t="s">
        <v>100</v>
      </c>
      <c r="C85" s="21" t="s">
        <v>101</v>
      </c>
      <c r="D85" s="21" t="s">
        <v>52</v>
      </c>
      <c r="E85" s="21" t="s">
        <v>134</v>
      </c>
      <c r="F85" s="21" t="s">
        <v>124</v>
      </c>
      <c r="G85" s="22" t="n">
        <v>43070</v>
      </c>
      <c r="H85" s="21" t="s">
        <v>164</v>
      </c>
      <c r="I85" s="21" t="s">
        <v>111</v>
      </c>
      <c r="J85" s="21"/>
      <c r="K85" s="23" t="n">
        <v>133000</v>
      </c>
      <c r="L85" s="24"/>
      <c r="M85" s="21" t="s">
        <v>122</v>
      </c>
      <c r="N85" s="21" t="s">
        <v>107</v>
      </c>
      <c r="O85" s="25" t="n">
        <v>45777</v>
      </c>
      <c r="P85" s="26" t="n">
        <v>11745.6</v>
      </c>
      <c r="Q85" s="27" t="n">
        <f aca="false">IF(A85="","",SUMIF(Expenses!$B$2:$B$3000,A85,Expenses!$E$2:$E$3000))</f>
        <v>0</v>
      </c>
      <c r="R85" s="27" t="n">
        <f aca="false">IF(A85="","",N(P85)+N(Q85))</f>
        <v>11745.6</v>
      </c>
      <c r="S85" s="28"/>
      <c r="T85" s="25" t="n">
        <v>46070</v>
      </c>
      <c r="U85" s="26" t="n">
        <v>12300</v>
      </c>
      <c r="V85" s="26" t="n">
        <v>0.4</v>
      </c>
      <c r="W85" s="26"/>
      <c r="X85" s="27" t="n">
        <f aca="false">IF(B85&lt;&gt;"SOLD","",IF(C85="Consignment",N(W85)-R85,N(U85)-R85-N(V85)))</f>
        <v>554</v>
      </c>
      <c r="Y85" s="29" t="n">
        <f aca="false">IF(OR(X85="",N(R85)=0),"",X85/R85)</f>
        <v>0.047166598556055</v>
      </c>
      <c r="Z85" s="30" t="n">
        <f aca="true">IF(O85="","",IF(T85="",TODAY(),T85)-O85)</f>
        <v>293</v>
      </c>
      <c r="AA85" s="31" t="str">
        <f aca="false">IF(T85="","",TEXT(T85,"YYYY-MM"))</f>
        <v>2026-02</v>
      </c>
      <c r="AB85" s="27" t="n">
        <f aca="false">IF(X85="","",X85/2)</f>
        <v>277</v>
      </c>
      <c r="AC85" s="21"/>
    </row>
    <row r="86" customFormat="false" ht="15" hidden="false" customHeight="false" outlineLevel="0" collapsed="false">
      <c r="A86" s="20" t="n">
        <v>86</v>
      </c>
      <c r="B86" s="21" t="s">
        <v>100</v>
      </c>
      <c r="C86" s="21" t="s">
        <v>101</v>
      </c>
      <c r="D86" s="21" t="s">
        <v>51</v>
      </c>
      <c r="E86" s="21" t="s">
        <v>204</v>
      </c>
      <c r="F86" s="21" t="s">
        <v>137</v>
      </c>
      <c r="G86" s="22" t="n">
        <v>42614</v>
      </c>
      <c r="H86" s="21" t="s">
        <v>116</v>
      </c>
      <c r="I86" s="21" t="s">
        <v>111</v>
      </c>
      <c r="J86" s="21"/>
      <c r="K86" s="23" t="n">
        <v>173500</v>
      </c>
      <c r="L86" s="24"/>
      <c r="M86" s="21" t="s">
        <v>122</v>
      </c>
      <c r="N86" s="21" t="s">
        <v>107</v>
      </c>
      <c r="O86" s="25" t="n">
        <v>45777</v>
      </c>
      <c r="P86" s="26" t="n">
        <v>14160.7</v>
      </c>
      <c r="Q86" s="27" t="n">
        <f aca="false">IF(A86="","",SUMIF(Expenses!$B$2:$B$3000,A86,Expenses!$E$2:$E$3000))</f>
        <v>0</v>
      </c>
      <c r="R86" s="27" t="n">
        <f aca="false">IF(A86="","",N(P86)+N(Q86))</f>
        <v>14160.7</v>
      </c>
      <c r="S86" s="28"/>
      <c r="T86" s="25" t="n">
        <v>45881</v>
      </c>
      <c r="U86" s="26" t="n">
        <v>17350</v>
      </c>
      <c r="V86" s="26" t="n">
        <v>0.3</v>
      </c>
      <c r="W86" s="26"/>
      <c r="X86" s="27" t="n">
        <f aca="false">IF(B86&lt;&gt;"SOLD","",IF(C86="Consignment",N(W86)-R86,N(U86)-R86-N(V86)))</f>
        <v>3189</v>
      </c>
      <c r="Y86" s="29" t="n">
        <f aca="false">IF(OR(X86="",N(R86)=0),"",X86/R86)</f>
        <v>0.225200731602251</v>
      </c>
      <c r="Z86" s="30" t="n">
        <f aca="true">IF(O86="","",IF(T86="",TODAY(),T86)-O86)</f>
        <v>104</v>
      </c>
      <c r="AA86" s="31" t="str">
        <f aca="false">IF(T86="","",TEXT(T86,"YYYY-MM"))</f>
        <v>2025-08</v>
      </c>
      <c r="AB86" s="27" t="n">
        <f aca="false">IF(X86="","",X86/2)</f>
        <v>1594.5</v>
      </c>
      <c r="AC86" s="21"/>
    </row>
    <row r="87" customFormat="false" ht="15" hidden="false" customHeight="false" outlineLevel="0" collapsed="false">
      <c r="A87" s="20" t="n">
        <v>87</v>
      </c>
      <c r="B87" s="21" t="s">
        <v>100</v>
      </c>
      <c r="C87" s="21" t="s">
        <v>101</v>
      </c>
      <c r="D87" s="21" t="s">
        <v>51</v>
      </c>
      <c r="E87" s="21" t="s">
        <v>163</v>
      </c>
      <c r="F87" s="21" t="s">
        <v>137</v>
      </c>
      <c r="G87" s="22" t="n">
        <v>42644</v>
      </c>
      <c r="H87" s="21" t="s">
        <v>227</v>
      </c>
      <c r="I87" s="21" t="s">
        <v>117</v>
      </c>
      <c r="J87" s="21" t="s">
        <v>161</v>
      </c>
      <c r="K87" s="23" t="n">
        <v>181400</v>
      </c>
      <c r="L87" s="24"/>
      <c r="M87" s="21" t="s">
        <v>122</v>
      </c>
      <c r="N87" s="21" t="s">
        <v>107</v>
      </c>
      <c r="O87" s="25" t="n">
        <v>45782</v>
      </c>
      <c r="P87" s="26" t="n">
        <v>12668</v>
      </c>
      <c r="Q87" s="27" t="n">
        <f aca="false">IF(A87="","",SUMIF(Expenses!$B$2:$B$3000,A87,Expenses!$E$2:$E$3000))</f>
        <v>0</v>
      </c>
      <c r="R87" s="27" t="n">
        <f aca="false">IF(A87="","",N(P87)+N(Q87))</f>
        <v>12668</v>
      </c>
      <c r="S87" s="28"/>
      <c r="T87" s="25" t="n">
        <v>45793</v>
      </c>
      <c r="U87" s="26" t="n">
        <v>14900</v>
      </c>
      <c r="V87" s="26" t="n">
        <v>0</v>
      </c>
      <c r="W87" s="26"/>
      <c r="X87" s="27" t="n">
        <f aca="false">IF(B87&lt;&gt;"SOLD","",IF(C87="Consignment",N(W87)-R87,N(U87)-R87-N(V87)))</f>
        <v>2232</v>
      </c>
      <c r="Y87" s="29" t="n">
        <f aca="false">IF(OR(X87="",N(R87)=0),"",X87/R87)</f>
        <v>0.176191979791601</v>
      </c>
      <c r="Z87" s="30" t="n">
        <f aca="true">IF(O87="","",IF(T87="",TODAY(),T87)-O87)</f>
        <v>11</v>
      </c>
      <c r="AA87" s="31" t="str">
        <f aca="false">IF(T87="","",TEXT(T87,"YYYY-MM"))</f>
        <v>2025-05</v>
      </c>
      <c r="AB87" s="27" t="n">
        <f aca="false">IF(X87="","",X87/2)</f>
        <v>1116</v>
      </c>
      <c r="AC87" s="21"/>
    </row>
    <row r="88" customFormat="false" ht="15" hidden="false" customHeight="false" outlineLevel="0" collapsed="false">
      <c r="A88" s="20" t="n">
        <v>88</v>
      </c>
      <c r="B88" s="21" t="s">
        <v>100</v>
      </c>
      <c r="C88" s="21" t="s">
        <v>101</v>
      </c>
      <c r="D88" s="21" t="s">
        <v>60</v>
      </c>
      <c r="E88" s="21" t="s">
        <v>228</v>
      </c>
      <c r="F88" s="21" t="s">
        <v>115</v>
      </c>
      <c r="G88" s="22" t="n">
        <v>43160</v>
      </c>
      <c r="H88" s="21" t="s">
        <v>229</v>
      </c>
      <c r="I88" s="21" t="s">
        <v>105</v>
      </c>
      <c r="J88" s="21"/>
      <c r="K88" s="23" t="n">
        <v>187000</v>
      </c>
      <c r="L88" s="24"/>
      <c r="M88" s="21" t="s">
        <v>144</v>
      </c>
      <c r="N88" s="21" t="s">
        <v>107</v>
      </c>
      <c r="O88" s="25" t="n">
        <v>45784</v>
      </c>
      <c r="P88" s="26" t="n">
        <v>11500</v>
      </c>
      <c r="Q88" s="27" t="n">
        <f aca="false">IF(A88="","",SUMIF(Expenses!$B$2:$B$3000,A88,Expenses!$E$2:$E$3000))</f>
        <v>0</v>
      </c>
      <c r="R88" s="27" t="n">
        <f aca="false">IF(A88="","",N(P88)+N(Q88))</f>
        <v>11500</v>
      </c>
      <c r="S88" s="28"/>
      <c r="T88" s="25" t="n">
        <v>45803</v>
      </c>
      <c r="U88" s="26" t="n">
        <v>12300</v>
      </c>
      <c r="V88" s="26" t="n">
        <v>0</v>
      </c>
      <c r="W88" s="26"/>
      <c r="X88" s="27" t="n">
        <f aca="false">IF(B88&lt;&gt;"SOLD","",IF(C88="Consignment",N(W88)-R88,N(U88)-R88-N(V88)))</f>
        <v>800</v>
      </c>
      <c r="Y88" s="29" t="n">
        <f aca="false">IF(OR(X88="",N(R88)=0),"",X88/R88)</f>
        <v>0.0695652173913044</v>
      </c>
      <c r="Z88" s="30" t="n">
        <f aca="true">IF(O88="","",IF(T88="",TODAY(),T88)-O88)</f>
        <v>19</v>
      </c>
      <c r="AA88" s="31" t="str">
        <f aca="false">IF(T88="","",TEXT(T88,"YYYY-MM"))</f>
        <v>2025-05</v>
      </c>
      <c r="AB88" s="27" t="n">
        <f aca="false">IF(X88="","",X88/2)</f>
        <v>400</v>
      </c>
      <c r="AC88" s="21"/>
    </row>
    <row r="89" customFormat="false" ht="15" hidden="false" customHeight="false" outlineLevel="0" collapsed="false">
      <c r="A89" s="20" t="n">
        <v>89</v>
      </c>
      <c r="B89" s="21" t="s">
        <v>100</v>
      </c>
      <c r="C89" s="21" t="s">
        <v>101</v>
      </c>
      <c r="D89" s="21" t="s">
        <v>52</v>
      </c>
      <c r="E89" s="21" t="s">
        <v>114</v>
      </c>
      <c r="F89" s="21" t="s">
        <v>115</v>
      </c>
      <c r="G89" s="22" t="n">
        <v>42552</v>
      </c>
      <c r="H89" s="21" t="s">
        <v>158</v>
      </c>
      <c r="I89" s="21" t="s">
        <v>111</v>
      </c>
      <c r="J89" s="21"/>
      <c r="K89" s="23" t="n">
        <v>106100</v>
      </c>
      <c r="L89" s="24"/>
      <c r="M89" s="21" t="s">
        <v>173</v>
      </c>
      <c r="N89" s="21" t="s">
        <v>107</v>
      </c>
      <c r="O89" s="25" t="n">
        <v>45793</v>
      </c>
      <c r="P89" s="26" t="n">
        <v>15334.24</v>
      </c>
      <c r="Q89" s="27" t="n">
        <f aca="false">IF(A89="","",SUMIF(Expenses!$B$2:$B$3000,A89,Expenses!$E$2:$E$3000))</f>
        <v>0</v>
      </c>
      <c r="R89" s="27" t="n">
        <f aca="false">IF(A89="","",N(P89)+N(Q89))</f>
        <v>15334.24</v>
      </c>
      <c r="S89" s="28"/>
      <c r="T89" s="25" t="n">
        <v>45890</v>
      </c>
      <c r="U89" s="26" t="n">
        <v>17550</v>
      </c>
      <c r="V89" s="26" t="n">
        <v>-0.24</v>
      </c>
      <c r="W89" s="26"/>
      <c r="X89" s="27" t="n">
        <f aca="false">IF(B89&lt;&gt;"SOLD","",IF(C89="Consignment",N(W89)-R89,N(U89)-R89-N(V89)))</f>
        <v>2216</v>
      </c>
      <c r="Y89" s="29" t="n">
        <f aca="false">IF(OR(X89="",N(R89)=0),"",X89/R89)</f>
        <v>0.144513194002442</v>
      </c>
      <c r="Z89" s="30" t="n">
        <f aca="true">IF(O89="","",IF(T89="",TODAY(),T89)-O89)</f>
        <v>97</v>
      </c>
      <c r="AA89" s="31" t="str">
        <f aca="false">IF(T89="","",TEXT(T89,"YYYY-MM"))</f>
        <v>2025-08</v>
      </c>
      <c r="AB89" s="27" t="n">
        <f aca="false">IF(X89="","",X89/2)</f>
        <v>1108</v>
      </c>
      <c r="AC89" s="21"/>
    </row>
    <row r="90" customFormat="false" ht="15" hidden="false" customHeight="false" outlineLevel="0" collapsed="false">
      <c r="A90" s="20" t="n">
        <v>90</v>
      </c>
      <c r="B90" s="21" t="s">
        <v>100</v>
      </c>
      <c r="C90" s="21" t="s">
        <v>101</v>
      </c>
      <c r="D90" s="21" t="s">
        <v>53</v>
      </c>
      <c r="E90" s="21" t="s">
        <v>145</v>
      </c>
      <c r="F90" s="21" t="s">
        <v>230</v>
      </c>
      <c r="G90" s="22" t="n">
        <v>42675</v>
      </c>
      <c r="H90" s="21" t="s">
        <v>231</v>
      </c>
      <c r="I90" s="21" t="s">
        <v>111</v>
      </c>
      <c r="J90" s="21"/>
      <c r="K90" s="23" t="n">
        <v>150400</v>
      </c>
      <c r="L90" s="24"/>
      <c r="M90" s="21" t="s">
        <v>122</v>
      </c>
      <c r="N90" s="21" t="s">
        <v>107</v>
      </c>
      <c r="O90" s="25" t="n">
        <v>45794</v>
      </c>
      <c r="P90" s="26" t="n">
        <v>12492</v>
      </c>
      <c r="Q90" s="27" t="n">
        <f aca="false">IF(A90="","",SUMIF(Expenses!$B$2:$B$3000,A90,Expenses!$E$2:$E$3000))</f>
        <v>0</v>
      </c>
      <c r="R90" s="27" t="n">
        <f aca="false">IF(A90="","",N(P90)+N(Q90))</f>
        <v>12492</v>
      </c>
      <c r="S90" s="28"/>
      <c r="T90" s="25" t="n">
        <v>45852</v>
      </c>
      <c r="U90" s="26" t="n">
        <v>15000</v>
      </c>
      <c r="V90" s="26" t="n">
        <v>0</v>
      </c>
      <c r="W90" s="26"/>
      <c r="X90" s="27" t="n">
        <f aca="false">IF(B90&lt;&gt;"SOLD","",IF(C90="Consignment",N(W90)-R90,N(U90)-R90-N(V90)))</f>
        <v>2508</v>
      </c>
      <c r="Y90" s="29" t="n">
        <f aca="false">IF(OR(X90="",N(R90)=0),"",X90/R90)</f>
        <v>0.200768491834774</v>
      </c>
      <c r="Z90" s="30" t="n">
        <f aca="true">IF(O90="","",IF(T90="",TODAY(),T90)-O90)</f>
        <v>58</v>
      </c>
      <c r="AA90" s="31" t="str">
        <f aca="false">IF(T90="","",TEXT(T90,"YYYY-MM"))</f>
        <v>2025-07</v>
      </c>
      <c r="AB90" s="27" t="n">
        <f aca="false">IF(X90="","",X90/2)</f>
        <v>1254</v>
      </c>
      <c r="AC90" s="21"/>
    </row>
    <row r="91" customFormat="false" ht="15" hidden="false" customHeight="false" outlineLevel="0" collapsed="false">
      <c r="A91" s="20" t="n">
        <v>91</v>
      </c>
      <c r="B91" s="21" t="s">
        <v>100</v>
      </c>
      <c r="C91" s="21" t="s">
        <v>101</v>
      </c>
      <c r="D91" s="21" t="s">
        <v>52</v>
      </c>
      <c r="E91" s="21" t="s">
        <v>134</v>
      </c>
      <c r="F91" s="21" t="s">
        <v>115</v>
      </c>
      <c r="G91" s="22" t="n">
        <v>43678</v>
      </c>
      <c r="H91" s="21" t="s">
        <v>116</v>
      </c>
      <c r="I91" s="21" t="s">
        <v>111</v>
      </c>
      <c r="J91" s="21"/>
      <c r="K91" s="23" t="n">
        <v>195400</v>
      </c>
      <c r="L91" s="24"/>
      <c r="M91" s="21" t="s">
        <v>173</v>
      </c>
      <c r="N91" s="21" t="s">
        <v>107</v>
      </c>
      <c r="O91" s="25" t="n">
        <v>45813</v>
      </c>
      <c r="P91" s="26" t="n">
        <v>11716.54</v>
      </c>
      <c r="Q91" s="27" t="n">
        <f aca="false">IF(A91="","",SUMIF(Expenses!$B$2:$B$3000,A91,Expenses!$E$2:$E$3000))</f>
        <v>0</v>
      </c>
      <c r="R91" s="27" t="n">
        <f aca="false">IF(A91="","",N(P91)+N(Q91))</f>
        <v>11716.54</v>
      </c>
      <c r="S91" s="28"/>
      <c r="T91" s="25" t="n">
        <v>45848</v>
      </c>
      <c r="U91" s="26" t="n">
        <v>13400</v>
      </c>
      <c r="V91" s="26" t="n">
        <v>0.46</v>
      </c>
      <c r="W91" s="26"/>
      <c r="X91" s="27" t="n">
        <f aca="false">IF(B91&lt;&gt;"SOLD","",IF(C91="Consignment",N(W91)-R91,N(U91)-R91-N(V91)))</f>
        <v>1683</v>
      </c>
      <c r="Y91" s="29" t="n">
        <f aca="false">IF(OR(X91="",N(R91)=0),"",X91/R91)</f>
        <v>0.143643089171376</v>
      </c>
      <c r="Z91" s="30" t="n">
        <f aca="true">IF(O91="","",IF(T91="",TODAY(),T91)-O91)</f>
        <v>35</v>
      </c>
      <c r="AA91" s="31" t="str">
        <f aca="false">IF(T91="","",TEXT(T91,"YYYY-MM"))</f>
        <v>2025-07</v>
      </c>
      <c r="AB91" s="27" t="n">
        <f aca="false">IF(X91="","",X91/2)</f>
        <v>841.5</v>
      </c>
      <c r="AC91" s="21"/>
    </row>
    <row r="92" customFormat="false" ht="15" hidden="false" customHeight="false" outlineLevel="0" collapsed="false">
      <c r="A92" s="20" t="n">
        <v>92</v>
      </c>
      <c r="B92" s="21" t="s">
        <v>100</v>
      </c>
      <c r="C92" s="21" t="s">
        <v>101</v>
      </c>
      <c r="D92" s="21" t="s">
        <v>51</v>
      </c>
      <c r="E92" s="21" t="s">
        <v>204</v>
      </c>
      <c r="F92" s="21" t="s">
        <v>205</v>
      </c>
      <c r="G92" s="22" t="n">
        <v>41122</v>
      </c>
      <c r="H92" s="21" t="s">
        <v>232</v>
      </c>
      <c r="I92" s="21" t="s">
        <v>111</v>
      </c>
      <c r="J92" s="21"/>
      <c r="K92" s="23" t="n">
        <v>197500</v>
      </c>
      <c r="L92" s="24"/>
      <c r="M92" s="21" t="s">
        <v>122</v>
      </c>
      <c r="N92" s="21" t="s">
        <v>107</v>
      </c>
      <c r="O92" s="25" t="n">
        <v>45813</v>
      </c>
      <c r="P92" s="26" t="n">
        <v>8214.9</v>
      </c>
      <c r="Q92" s="27" t="n">
        <f aca="false">IF(A92="","",SUMIF(Expenses!$B$2:$B$3000,A92,Expenses!$E$2:$E$3000))</f>
        <v>0</v>
      </c>
      <c r="R92" s="27" t="n">
        <f aca="false">IF(A92="","",N(P92)+N(Q92))</f>
        <v>8214.9</v>
      </c>
      <c r="S92" s="28"/>
      <c r="T92" s="25" t="n">
        <v>45847</v>
      </c>
      <c r="U92" s="26" t="n">
        <v>10000</v>
      </c>
      <c r="V92" s="26" t="n">
        <v>0.1</v>
      </c>
      <c r="W92" s="26"/>
      <c r="X92" s="27" t="n">
        <f aca="false">IF(B92&lt;&gt;"SOLD","",IF(C92="Consignment",N(W92)-R92,N(U92)-R92-N(V92)))</f>
        <v>1785</v>
      </c>
      <c r="Y92" s="29" t="n">
        <f aca="false">IF(OR(X92="",N(R92)=0),"",X92/R92)</f>
        <v>0.217288098455246</v>
      </c>
      <c r="Z92" s="30" t="n">
        <f aca="true">IF(O92="","",IF(T92="",TODAY(),T92)-O92)</f>
        <v>34</v>
      </c>
      <c r="AA92" s="31" t="str">
        <f aca="false">IF(T92="","",TEXT(T92,"YYYY-MM"))</f>
        <v>2025-07</v>
      </c>
      <c r="AB92" s="27" t="n">
        <f aca="false">IF(X92="","",X92/2)</f>
        <v>892.5</v>
      </c>
      <c r="AC92" s="21"/>
    </row>
    <row r="93" customFormat="false" ht="15" hidden="false" customHeight="false" outlineLevel="0" collapsed="false">
      <c r="A93" s="20" t="n">
        <v>93</v>
      </c>
      <c r="B93" s="21" t="s">
        <v>100</v>
      </c>
      <c r="C93" s="21" t="s">
        <v>101</v>
      </c>
      <c r="D93" s="21" t="s">
        <v>52</v>
      </c>
      <c r="E93" s="21" t="s">
        <v>134</v>
      </c>
      <c r="F93" s="21" t="s">
        <v>124</v>
      </c>
      <c r="G93" s="22" t="n">
        <v>42917</v>
      </c>
      <c r="H93" s="21" t="s">
        <v>116</v>
      </c>
      <c r="I93" s="21" t="s">
        <v>117</v>
      </c>
      <c r="J93" s="21"/>
      <c r="K93" s="23" t="n">
        <v>180200</v>
      </c>
      <c r="L93" s="24"/>
      <c r="M93" s="21" t="s">
        <v>122</v>
      </c>
      <c r="N93" s="21" t="s">
        <v>107</v>
      </c>
      <c r="O93" s="25" t="n">
        <v>45828</v>
      </c>
      <c r="P93" s="26" t="n">
        <v>10565</v>
      </c>
      <c r="Q93" s="27" t="n">
        <f aca="false">IF(A93="","",SUMIF(Expenses!$B$2:$B$3000,A93,Expenses!$E$2:$E$3000))</f>
        <v>0</v>
      </c>
      <c r="R93" s="27" t="n">
        <f aca="false">IF(A93="","",N(P93)+N(Q93))</f>
        <v>10565</v>
      </c>
      <c r="S93" s="28"/>
      <c r="T93" s="25" t="n">
        <v>46056</v>
      </c>
      <c r="U93" s="26" t="n">
        <v>11600</v>
      </c>
      <c r="V93" s="26" t="n">
        <v>0</v>
      </c>
      <c r="W93" s="26"/>
      <c r="X93" s="27" t="n">
        <f aca="false">IF(B93&lt;&gt;"SOLD","",IF(C93="Consignment",N(W93)-R93,N(U93)-R93-N(V93)))</f>
        <v>1035</v>
      </c>
      <c r="Y93" s="29" t="n">
        <f aca="false">IF(OR(X93="",N(R93)=0),"",X93/R93)</f>
        <v>0.0979649787032655</v>
      </c>
      <c r="Z93" s="30" t="n">
        <f aca="true">IF(O93="","",IF(T93="",TODAY(),T93)-O93)</f>
        <v>228</v>
      </c>
      <c r="AA93" s="31" t="str">
        <f aca="false">IF(T93="","",TEXT(T93,"YYYY-MM"))</f>
        <v>2026-02</v>
      </c>
      <c r="AB93" s="27" t="n">
        <f aca="false">IF(X93="","",X93/2)</f>
        <v>517.5</v>
      </c>
      <c r="AC93" s="21"/>
    </row>
    <row r="94" customFormat="false" ht="15" hidden="false" customHeight="false" outlineLevel="0" collapsed="false">
      <c r="A94" s="20" t="n">
        <v>94</v>
      </c>
      <c r="B94" s="21" t="s">
        <v>100</v>
      </c>
      <c r="C94" s="21" t="s">
        <v>201</v>
      </c>
      <c r="D94" s="21" t="s">
        <v>51</v>
      </c>
      <c r="E94" s="21" t="s">
        <v>163</v>
      </c>
      <c r="F94" s="21" t="s">
        <v>233</v>
      </c>
      <c r="G94" s="22" t="n">
        <v>44501</v>
      </c>
      <c r="H94" s="21" t="s">
        <v>234</v>
      </c>
      <c r="I94" s="21" t="s">
        <v>129</v>
      </c>
      <c r="J94" s="21" t="s">
        <v>161</v>
      </c>
      <c r="K94" s="23" t="n">
        <v>48300</v>
      </c>
      <c r="L94" s="24"/>
      <c r="M94" s="21" t="s">
        <v>106</v>
      </c>
      <c r="N94" s="21" t="s">
        <v>107</v>
      </c>
      <c r="O94" s="25" t="n">
        <v>45841</v>
      </c>
      <c r="P94" s="26" t="n">
        <v>1966.74</v>
      </c>
      <c r="Q94" s="27" t="n">
        <f aca="false">IF(A94="","",SUMIF(Expenses!$B$2:$B$3000,A94,Expenses!$E$2:$E$3000))</f>
        <v>0</v>
      </c>
      <c r="R94" s="27" t="n">
        <f aca="false">IF(A94="","",N(P94)+N(Q94))</f>
        <v>1966.74</v>
      </c>
      <c r="S94" s="28"/>
      <c r="T94" s="25" t="n">
        <v>45847</v>
      </c>
      <c r="U94" s="26" t="n">
        <v>31617</v>
      </c>
      <c r="V94" s="26"/>
      <c r="W94" s="26" t="n">
        <v>3166.74</v>
      </c>
      <c r="X94" s="27" t="n">
        <f aca="false">IF(B94&lt;&gt;"SOLD","",IF(C94="Consignment",N(W94)-R94,N(U94)-R94-N(V94)))</f>
        <v>1200</v>
      </c>
      <c r="Y94" s="29" t="n">
        <f aca="false">IF(OR(X94="",N(R94)=0),"",X94/R94)</f>
        <v>0.61014674029104</v>
      </c>
      <c r="Z94" s="30" t="n">
        <f aca="true">IF(O94="","",IF(T94="",TODAY(),T94)-O94)</f>
        <v>6</v>
      </c>
      <c r="AA94" s="31" t="str">
        <f aca="false">IF(T94="","",TEXT(T94,"YYYY-MM"))</f>
        <v>2025-07</v>
      </c>
      <c r="AB94" s="27" t="n">
        <f aca="false">IF(X94="","",X94/2)</f>
        <v>600</v>
      </c>
      <c r="AC94" s="21"/>
    </row>
    <row r="95" customFormat="false" ht="15" hidden="false" customHeight="false" outlineLevel="0" collapsed="false">
      <c r="A95" s="20" t="n">
        <v>95</v>
      </c>
      <c r="B95" s="21" t="s">
        <v>100</v>
      </c>
      <c r="C95" s="21" t="s">
        <v>101</v>
      </c>
      <c r="D95" s="21" t="s">
        <v>52</v>
      </c>
      <c r="E95" s="21" t="s">
        <v>134</v>
      </c>
      <c r="F95" s="21" t="s">
        <v>124</v>
      </c>
      <c r="G95" s="22" t="n">
        <v>43282</v>
      </c>
      <c r="H95" s="21" t="s">
        <v>164</v>
      </c>
      <c r="I95" s="21" t="s">
        <v>129</v>
      </c>
      <c r="J95" s="21"/>
      <c r="K95" s="23" t="n">
        <v>126200</v>
      </c>
      <c r="L95" s="24"/>
      <c r="M95" s="21" t="s">
        <v>144</v>
      </c>
      <c r="N95" s="21" t="s">
        <v>107</v>
      </c>
      <c r="O95" s="25" t="n">
        <v>45853</v>
      </c>
      <c r="P95" s="26" t="n">
        <v>12050.48</v>
      </c>
      <c r="Q95" s="27" t="n">
        <f aca="false">IF(A95="","",SUMIF(Expenses!$B$2:$B$3000,A95,Expenses!$E$2:$E$3000))</f>
        <v>0</v>
      </c>
      <c r="R95" s="27" t="n">
        <f aca="false">IF(A95="","",N(P95)+N(Q95))</f>
        <v>12050.48</v>
      </c>
      <c r="S95" s="28"/>
      <c r="T95" s="25" t="n">
        <v>45876</v>
      </c>
      <c r="U95" s="26" t="n">
        <v>14740</v>
      </c>
      <c r="V95" s="26" t="n">
        <v>-0.48</v>
      </c>
      <c r="W95" s="26"/>
      <c r="X95" s="27" t="n">
        <f aca="false">IF(B95&lt;&gt;"SOLD","",IF(C95="Consignment",N(W95)-R95,N(U95)-R95-N(V95)))</f>
        <v>2690</v>
      </c>
      <c r="Y95" s="29" t="n">
        <f aca="false">IF(OR(X95="",N(R95)=0),"",X95/R95)</f>
        <v>0.223227622468151</v>
      </c>
      <c r="Z95" s="30" t="n">
        <f aca="true">IF(O95="","",IF(T95="",TODAY(),T95)-O95)</f>
        <v>23</v>
      </c>
      <c r="AA95" s="31" t="str">
        <f aca="false">IF(T95="","",TEXT(T95,"YYYY-MM"))</f>
        <v>2025-08</v>
      </c>
      <c r="AB95" s="27" t="n">
        <f aca="false">IF(X95="","",X95/2)</f>
        <v>1345</v>
      </c>
      <c r="AC95" s="21"/>
    </row>
    <row r="96" customFormat="false" ht="15" hidden="false" customHeight="false" outlineLevel="0" collapsed="false">
      <c r="A96" s="20" t="n">
        <v>96</v>
      </c>
      <c r="B96" s="21" t="s">
        <v>100</v>
      </c>
      <c r="C96" s="21" t="s">
        <v>201</v>
      </c>
      <c r="D96" s="21" t="s">
        <v>62</v>
      </c>
      <c r="E96" s="21" t="s">
        <v>235</v>
      </c>
      <c r="F96" s="21" t="s">
        <v>236</v>
      </c>
      <c r="G96" s="22" t="n">
        <v>43009</v>
      </c>
      <c r="H96" s="21" t="s">
        <v>237</v>
      </c>
      <c r="I96" s="21" t="s">
        <v>152</v>
      </c>
      <c r="J96" s="21" t="s">
        <v>161</v>
      </c>
      <c r="K96" s="23" t="n">
        <v>118800</v>
      </c>
      <c r="L96" s="24"/>
      <c r="M96" s="21" t="s">
        <v>106</v>
      </c>
      <c r="N96" s="21" t="s">
        <v>107</v>
      </c>
      <c r="O96" s="25" t="n">
        <v>45841</v>
      </c>
      <c r="P96" s="26" t="n">
        <v>1451</v>
      </c>
      <c r="Q96" s="27" t="n">
        <f aca="false">IF(A96="","",SUMIF(Expenses!$B$2:$B$3000,A96,Expenses!$E$2:$E$3000))</f>
        <v>0</v>
      </c>
      <c r="R96" s="27" t="n">
        <f aca="false">IF(A96="","",N(P96)+N(Q96))</f>
        <v>1451</v>
      </c>
      <c r="S96" s="28"/>
      <c r="T96" s="25" t="n">
        <v>45847</v>
      </c>
      <c r="U96" s="26" t="n">
        <v>38701</v>
      </c>
      <c r="V96" s="26"/>
      <c r="W96" s="26" t="n">
        <v>2701</v>
      </c>
      <c r="X96" s="27" t="n">
        <f aca="false">IF(B96&lt;&gt;"SOLD","",IF(C96="Consignment",N(W96)-R96,N(U96)-R96-N(V96)))</f>
        <v>1250</v>
      </c>
      <c r="Y96" s="29" t="n">
        <f aca="false">IF(OR(X96="",N(R96)=0),"",X96/R96)</f>
        <v>0.861474844934528</v>
      </c>
      <c r="Z96" s="30" t="n">
        <f aca="true">IF(O96="","",IF(T96="",TODAY(),T96)-O96)</f>
        <v>6</v>
      </c>
      <c r="AA96" s="31" t="str">
        <f aca="false">IF(T96="","",TEXT(T96,"YYYY-MM"))</f>
        <v>2025-07</v>
      </c>
      <c r="AB96" s="27" t="n">
        <f aca="false">IF(X96="","",X96/2)</f>
        <v>625</v>
      </c>
      <c r="AC96" s="21"/>
    </row>
    <row r="97" customFormat="false" ht="15" hidden="false" customHeight="false" outlineLevel="0" collapsed="false">
      <c r="A97" s="20" t="n">
        <v>97</v>
      </c>
      <c r="B97" s="21" t="s">
        <v>100</v>
      </c>
      <c r="C97" s="21" t="s">
        <v>101</v>
      </c>
      <c r="D97" s="21" t="s">
        <v>51</v>
      </c>
      <c r="E97" s="21" t="s">
        <v>163</v>
      </c>
      <c r="F97" s="21" t="s">
        <v>128</v>
      </c>
      <c r="G97" s="22" t="n">
        <v>42339</v>
      </c>
      <c r="H97" s="21" t="s">
        <v>227</v>
      </c>
      <c r="I97" s="21" t="s">
        <v>117</v>
      </c>
      <c r="J97" s="21" t="s">
        <v>161</v>
      </c>
      <c r="K97" s="23" t="n">
        <v>195000</v>
      </c>
      <c r="L97" s="24"/>
      <c r="M97" s="21" t="s">
        <v>122</v>
      </c>
      <c r="N97" s="21" t="s">
        <v>107</v>
      </c>
      <c r="O97" s="25" t="n">
        <v>45859</v>
      </c>
      <c r="P97" s="26" t="n">
        <v>12063.57</v>
      </c>
      <c r="Q97" s="27" t="n">
        <f aca="false">IF(A97="","",SUMIF(Expenses!$B$2:$B$3000,A97,Expenses!$E$2:$E$3000))</f>
        <v>0</v>
      </c>
      <c r="R97" s="27" t="n">
        <f aca="false">IF(A97="","",N(P97)+N(Q97))</f>
        <v>12063.57</v>
      </c>
      <c r="S97" s="28"/>
      <c r="T97" s="25" t="n">
        <v>46033</v>
      </c>
      <c r="U97" s="26" t="n">
        <v>12700</v>
      </c>
      <c r="V97" s="26" t="n">
        <v>0.43</v>
      </c>
      <c r="W97" s="26"/>
      <c r="X97" s="27" t="n">
        <f aca="false">IF(B97&lt;&gt;"SOLD","",IF(C97="Consignment",N(W97)-R97,N(U97)-R97-N(V97)))</f>
        <v>636</v>
      </c>
      <c r="Y97" s="29" t="n">
        <f aca="false">IF(OR(X97="",N(R97)=0),"",X97/R97)</f>
        <v>0.0527207120280315</v>
      </c>
      <c r="Z97" s="30" t="n">
        <f aca="true">IF(O97="","",IF(T97="",TODAY(),T97)-O97)</f>
        <v>174</v>
      </c>
      <c r="AA97" s="31" t="str">
        <f aca="false">IF(T97="","",TEXT(T97,"YYYY-MM"))</f>
        <v>2026-01</v>
      </c>
      <c r="AB97" s="27" t="n">
        <f aca="false">IF(X97="","",X97/2)</f>
        <v>318</v>
      </c>
      <c r="AC97" s="21"/>
    </row>
    <row r="98" customFormat="false" ht="15" hidden="false" customHeight="false" outlineLevel="0" collapsed="false">
      <c r="A98" s="20" t="n">
        <v>98</v>
      </c>
      <c r="B98" s="21" t="s">
        <v>100</v>
      </c>
      <c r="C98" s="21" t="s">
        <v>101</v>
      </c>
      <c r="D98" s="21" t="s">
        <v>52</v>
      </c>
      <c r="E98" s="21" t="s">
        <v>134</v>
      </c>
      <c r="F98" s="21" t="s">
        <v>124</v>
      </c>
      <c r="G98" s="22" t="n">
        <v>41609</v>
      </c>
      <c r="H98" s="21" t="s">
        <v>116</v>
      </c>
      <c r="I98" s="21" t="s">
        <v>117</v>
      </c>
      <c r="J98" s="21"/>
      <c r="K98" s="23" t="n">
        <v>191300</v>
      </c>
      <c r="L98" s="24"/>
      <c r="M98" s="21" t="s">
        <v>122</v>
      </c>
      <c r="N98" s="21" t="s">
        <v>107</v>
      </c>
      <c r="O98" s="25" t="n">
        <v>45870</v>
      </c>
      <c r="P98" s="26" t="n">
        <v>7310</v>
      </c>
      <c r="Q98" s="27" t="n">
        <f aca="false">IF(A98="","",SUMIF(Expenses!$B$2:$B$3000,A98,Expenses!$E$2:$E$3000))</f>
        <v>0</v>
      </c>
      <c r="R98" s="27" t="n">
        <f aca="false">IF(A98="","",N(P98)+N(Q98))</f>
        <v>7310</v>
      </c>
      <c r="S98" s="28"/>
      <c r="T98" s="25" t="n">
        <v>46040</v>
      </c>
      <c r="U98" s="26" t="n">
        <v>8100</v>
      </c>
      <c r="V98" s="26" t="n">
        <v>0</v>
      </c>
      <c r="W98" s="26"/>
      <c r="X98" s="27" t="n">
        <f aca="false">IF(B98&lt;&gt;"SOLD","",IF(C98="Consignment",N(W98)-R98,N(U98)-R98-N(V98)))</f>
        <v>790</v>
      </c>
      <c r="Y98" s="29" t="n">
        <f aca="false">IF(OR(X98="",N(R98)=0),"",X98/R98)</f>
        <v>0.108071135430917</v>
      </c>
      <c r="Z98" s="30" t="n">
        <f aca="true">IF(O98="","",IF(T98="",TODAY(),T98)-O98)</f>
        <v>170</v>
      </c>
      <c r="AA98" s="31" t="str">
        <f aca="false">IF(T98="","",TEXT(T98,"YYYY-MM"))</f>
        <v>2026-01</v>
      </c>
      <c r="AB98" s="27" t="n">
        <f aca="false">IF(X98="","",X98/2)</f>
        <v>395</v>
      </c>
      <c r="AC98" s="21"/>
    </row>
    <row r="99" customFormat="false" ht="15" hidden="false" customHeight="false" outlineLevel="0" collapsed="false">
      <c r="A99" s="20" t="n">
        <v>99</v>
      </c>
      <c r="B99" s="21" t="s">
        <v>100</v>
      </c>
      <c r="C99" s="21" t="s">
        <v>201</v>
      </c>
      <c r="D99" s="21" t="s">
        <v>61</v>
      </c>
      <c r="E99" s="21" t="s">
        <v>238</v>
      </c>
      <c r="F99" s="21" t="s">
        <v>109</v>
      </c>
      <c r="G99" s="22" t="n">
        <v>44986</v>
      </c>
      <c r="H99" s="21" t="s">
        <v>239</v>
      </c>
      <c r="I99" s="21" t="s">
        <v>105</v>
      </c>
      <c r="J99" s="21"/>
      <c r="K99" s="23" t="n">
        <v>63000</v>
      </c>
      <c r="L99" s="24"/>
      <c r="M99" s="21"/>
      <c r="N99" s="21" t="s">
        <v>107</v>
      </c>
      <c r="O99" s="25" t="n">
        <v>45884</v>
      </c>
      <c r="P99" s="26" t="n">
        <v>43</v>
      </c>
      <c r="Q99" s="27" t="n">
        <f aca="false">IF(A99="","",SUMIF(Expenses!$B$2:$B$3000,A99,Expenses!$E$2:$E$3000))</f>
        <v>0</v>
      </c>
      <c r="R99" s="27" t="n">
        <f aca="false">IF(A99="","",N(P99)+N(Q99))</f>
        <v>43</v>
      </c>
      <c r="S99" s="28"/>
      <c r="T99" s="25" t="n">
        <v>45919</v>
      </c>
      <c r="U99" s="26" t="n">
        <v>900</v>
      </c>
      <c r="V99" s="26"/>
      <c r="W99" s="26" t="n">
        <v>900</v>
      </c>
      <c r="X99" s="27" t="n">
        <f aca="false">IF(B99&lt;&gt;"SOLD","",IF(C99="Consignment",N(W99)-R99,N(U99)-R99-N(V99)))</f>
        <v>857</v>
      </c>
      <c r="Y99" s="29" t="n">
        <f aca="false">IF(OR(X99="",N(R99)=0),"",X99/R99)</f>
        <v>19.9302325581395</v>
      </c>
      <c r="Z99" s="30" t="n">
        <f aca="true">IF(O99="","",IF(T99="",TODAY(),T99)-O99)</f>
        <v>35</v>
      </c>
      <c r="AA99" s="31" t="str">
        <f aca="false">IF(T99="","",TEXT(T99,"YYYY-MM"))</f>
        <v>2025-09</v>
      </c>
      <c r="AB99" s="27" t="n">
        <f aca="false">IF(X99="","",X99/2)</f>
        <v>428.5</v>
      </c>
      <c r="AC99" s="21"/>
    </row>
    <row r="100" customFormat="false" ht="15" hidden="false" customHeight="false" outlineLevel="0" collapsed="false">
      <c r="A100" s="20" t="n">
        <v>100</v>
      </c>
      <c r="B100" s="21" t="s">
        <v>100</v>
      </c>
      <c r="C100" s="21" t="s">
        <v>101</v>
      </c>
      <c r="D100" s="21" t="s">
        <v>52</v>
      </c>
      <c r="E100" s="21" t="s">
        <v>212</v>
      </c>
      <c r="F100" s="21" t="s">
        <v>115</v>
      </c>
      <c r="G100" s="22" t="n">
        <v>43435</v>
      </c>
      <c r="H100" s="21" t="s">
        <v>164</v>
      </c>
      <c r="I100" s="21" t="s">
        <v>129</v>
      </c>
      <c r="J100" s="21"/>
      <c r="K100" s="23" t="n">
        <v>177600</v>
      </c>
      <c r="L100" s="24"/>
      <c r="M100" s="21" t="s">
        <v>112</v>
      </c>
      <c r="N100" s="21" t="s">
        <v>107</v>
      </c>
      <c r="O100" s="25" t="n">
        <v>45884</v>
      </c>
      <c r="P100" s="26" t="n">
        <v>14692.85</v>
      </c>
      <c r="Q100" s="27" t="n">
        <f aca="false">IF(A100="","",SUMIF(Expenses!$B$2:$B$3000,A100,Expenses!$E$2:$E$3000))</f>
        <v>0</v>
      </c>
      <c r="R100" s="27" t="n">
        <f aca="false">IF(A100="","",N(P100)+N(Q100))</f>
        <v>14692.85</v>
      </c>
      <c r="S100" s="28"/>
      <c r="T100" s="25" t="n">
        <v>46036</v>
      </c>
      <c r="U100" s="26" t="n">
        <v>15800</v>
      </c>
      <c r="V100" s="26" t="n">
        <v>0.15</v>
      </c>
      <c r="W100" s="26"/>
      <c r="X100" s="27" t="n">
        <f aca="false">IF(B100&lt;&gt;"SOLD","",IF(C100="Consignment",N(W100)-R100,N(U100)-R100-N(V100)))</f>
        <v>1107</v>
      </c>
      <c r="Y100" s="29" t="n">
        <f aca="false">IF(OR(X100="",N(R100)=0),"",X100/R100)</f>
        <v>0.0753427687616766</v>
      </c>
      <c r="Z100" s="30" t="n">
        <f aca="true">IF(O100="","",IF(T100="",TODAY(),T100)-O100)</f>
        <v>152</v>
      </c>
      <c r="AA100" s="31" t="str">
        <f aca="false">IF(T100="","",TEXT(T100,"YYYY-MM"))</f>
        <v>2026-01</v>
      </c>
      <c r="AB100" s="27" t="n">
        <f aca="false">IF(X100="","",X100/2)</f>
        <v>553.5</v>
      </c>
      <c r="AC100" s="21"/>
    </row>
    <row r="101" customFormat="false" ht="15" hidden="false" customHeight="false" outlineLevel="0" collapsed="false">
      <c r="A101" s="20" t="n">
        <v>101</v>
      </c>
      <c r="B101" s="21" t="s">
        <v>100</v>
      </c>
      <c r="C101" s="21" t="s">
        <v>101</v>
      </c>
      <c r="D101" s="21" t="s">
        <v>51</v>
      </c>
      <c r="E101" s="21" t="s">
        <v>163</v>
      </c>
      <c r="F101" s="21" t="s">
        <v>137</v>
      </c>
      <c r="G101" s="22" t="n">
        <v>42339</v>
      </c>
      <c r="H101" s="21" t="s">
        <v>185</v>
      </c>
      <c r="I101" s="21" t="s">
        <v>111</v>
      </c>
      <c r="J101" s="21"/>
      <c r="K101" s="23" t="n">
        <v>159000</v>
      </c>
      <c r="L101" s="24"/>
      <c r="M101" s="21" t="s">
        <v>122</v>
      </c>
      <c r="N101" s="21" t="s">
        <v>107</v>
      </c>
      <c r="O101" s="25" t="n">
        <v>45888</v>
      </c>
      <c r="P101" s="26" t="n">
        <v>10133</v>
      </c>
      <c r="Q101" s="27" t="n">
        <f aca="false">IF(A101="","",SUMIF(Expenses!$B$2:$B$3000,A101,Expenses!$E$2:$E$3000))</f>
        <v>0</v>
      </c>
      <c r="R101" s="27" t="n">
        <f aca="false">IF(A101="","",N(P101)+N(Q101))</f>
        <v>10133</v>
      </c>
      <c r="S101" s="28"/>
      <c r="T101" s="25" t="n">
        <v>46024</v>
      </c>
      <c r="U101" s="26" t="n">
        <v>12500</v>
      </c>
      <c r="V101" s="26" t="n">
        <v>0</v>
      </c>
      <c r="W101" s="26"/>
      <c r="X101" s="27" t="n">
        <f aca="false">IF(B101&lt;&gt;"SOLD","",IF(C101="Consignment",N(W101)-R101,N(U101)-R101-N(V101)))</f>
        <v>2367</v>
      </c>
      <c r="Y101" s="29" t="n">
        <f aca="false">IF(OR(X101="",N(R101)=0),"",X101/R101)</f>
        <v>0.233593210302971</v>
      </c>
      <c r="Z101" s="30" t="n">
        <f aca="true">IF(O101="","",IF(T101="",TODAY(),T101)-O101)</f>
        <v>136</v>
      </c>
      <c r="AA101" s="31" t="str">
        <f aca="false">IF(T101="","",TEXT(T101,"YYYY-MM"))</f>
        <v>2026-01</v>
      </c>
      <c r="AB101" s="27" t="n">
        <f aca="false">IF(X101="","",X101/2)</f>
        <v>1183.5</v>
      </c>
      <c r="AC101" s="21"/>
    </row>
    <row r="102" customFormat="false" ht="15" hidden="false" customHeight="false" outlineLevel="0" collapsed="false">
      <c r="A102" s="20" t="n">
        <v>102</v>
      </c>
      <c r="B102" s="21" t="s">
        <v>100</v>
      </c>
      <c r="C102" s="21" t="s">
        <v>101</v>
      </c>
      <c r="D102" s="21" t="s">
        <v>53</v>
      </c>
      <c r="E102" s="21" t="s">
        <v>240</v>
      </c>
      <c r="F102" s="21" t="s">
        <v>115</v>
      </c>
      <c r="G102" s="22" t="n">
        <v>41365</v>
      </c>
      <c r="H102" s="21" t="s">
        <v>206</v>
      </c>
      <c r="I102" s="21" t="s">
        <v>111</v>
      </c>
      <c r="J102" s="21"/>
      <c r="K102" s="23" t="n">
        <v>193600</v>
      </c>
      <c r="L102" s="24"/>
      <c r="M102" s="21" t="s">
        <v>122</v>
      </c>
      <c r="N102" s="21" t="s">
        <v>107</v>
      </c>
      <c r="O102" s="25" t="n">
        <v>45897</v>
      </c>
      <c r="P102" s="26" t="n">
        <v>10000</v>
      </c>
      <c r="Q102" s="27" t="n">
        <f aca="false">IF(A102="","",SUMIF(Expenses!$B$2:$B$3000,A102,Expenses!$E$2:$E$3000))</f>
        <v>0</v>
      </c>
      <c r="R102" s="27" t="n">
        <f aca="false">IF(A102="","",N(P102)+N(Q102))</f>
        <v>10000</v>
      </c>
      <c r="S102" s="28"/>
      <c r="T102" s="25" t="n">
        <v>45950</v>
      </c>
      <c r="U102" s="26" t="n">
        <v>11350</v>
      </c>
      <c r="V102" s="26" t="n">
        <v>0</v>
      </c>
      <c r="W102" s="26"/>
      <c r="X102" s="27" t="n">
        <f aca="false">IF(B102&lt;&gt;"SOLD","",IF(C102="Consignment",N(W102)-R102,N(U102)-R102-N(V102)))</f>
        <v>1350</v>
      </c>
      <c r="Y102" s="29" t="n">
        <f aca="false">IF(OR(X102="",N(R102)=0),"",X102/R102)</f>
        <v>0.135</v>
      </c>
      <c r="Z102" s="30" t="n">
        <f aca="true">IF(O102="","",IF(T102="",TODAY(),T102)-O102)</f>
        <v>53</v>
      </c>
      <c r="AA102" s="31" t="str">
        <f aca="false">IF(T102="","",TEXT(T102,"YYYY-MM"))</f>
        <v>2025-10</v>
      </c>
      <c r="AB102" s="27" t="n">
        <f aca="false">IF(X102="","",X102/2)</f>
        <v>675</v>
      </c>
      <c r="AC102" s="21"/>
    </row>
    <row r="103" customFormat="false" ht="15" hidden="false" customHeight="false" outlineLevel="0" collapsed="false">
      <c r="A103" s="20" t="n">
        <v>103</v>
      </c>
      <c r="B103" s="21" t="s">
        <v>100</v>
      </c>
      <c r="C103" s="21" t="s">
        <v>101</v>
      </c>
      <c r="D103" s="21" t="s">
        <v>53</v>
      </c>
      <c r="E103" s="21" t="s">
        <v>146</v>
      </c>
      <c r="F103" s="21" t="s">
        <v>144</v>
      </c>
      <c r="G103" s="22" t="n">
        <v>43313</v>
      </c>
      <c r="H103" s="21" t="s">
        <v>164</v>
      </c>
      <c r="I103" s="21" t="s">
        <v>111</v>
      </c>
      <c r="J103" s="21"/>
      <c r="K103" s="23" t="n">
        <v>151500</v>
      </c>
      <c r="L103" s="24"/>
      <c r="M103" s="21" t="s">
        <v>144</v>
      </c>
      <c r="N103" s="21" t="s">
        <v>107</v>
      </c>
      <c r="O103" s="25" t="n">
        <v>45899</v>
      </c>
      <c r="P103" s="26" t="n">
        <v>12131.59</v>
      </c>
      <c r="Q103" s="27" t="n">
        <f aca="false">IF(A103="","",SUMIF(Expenses!$B$2:$B$3000,A103,Expenses!$E$2:$E$3000))</f>
        <v>0</v>
      </c>
      <c r="R103" s="27" t="n">
        <f aca="false">IF(A103="","",N(P103)+N(Q103))</f>
        <v>12131.59</v>
      </c>
      <c r="S103" s="28"/>
      <c r="T103" s="25" t="n">
        <v>45984</v>
      </c>
      <c r="U103" s="26" t="n">
        <v>14000</v>
      </c>
      <c r="V103" s="26" t="n">
        <v>0.41</v>
      </c>
      <c r="W103" s="26"/>
      <c r="X103" s="27" t="n">
        <f aca="false">IF(B103&lt;&gt;"SOLD","",IF(C103="Consignment",N(W103)-R103,N(U103)-R103-N(V103)))</f>
        <v>1868</v>
      </c>
      <c r="Y103" s="29" t="n">
        <f aca="false">IF(OR(X103="",N(R103)=0),"",X103/R103)</f>
        <v>0.153978167742233</v>
      </c>
      <c r="Z103" s="30" t="n">
        <f aca="true">IF(O103="","",IF(T103="",TODAY(),T103)-O103)</f>
        <v>85</v>
      </c>
      <c r="AA103" s="31" t="str">
        <f aca="false">IF(T103="","",TEXT(T103,"YYYY-MM"))</f>
        <v>2025-11</v>
      </c>
      <c r="AB103" s="27" t="n">
        <f aca="false">IF(X103="","",X103/2)</f>
        <v>934</v>
      </c>
      <c r="AC103" s="21"/>
    </row>
    <row r="104" customFormat="false" ht="15" hidden="false" customHeight="false" outlineLevel="0" collapsed="false">
      <c r="A104" s="20" t="n">
        <v>104</v>
      </c>
      <c r="B104" s="21" t="s">
        <v>100</v>
      </c>
      <c r="C104" s="21" t="s">
        <v>101</v>
      </c>
      <c r="D104" s="21" t="s">
        <v>51</v>
      </c>
      <c r="E104" s="21" t="s">
        <v>204</v>
      </c>
      <c r="F104" s="21" t="s">
        <v>190</v>
      </c>
      <c r="G104" s="22" t="n">
        <v>41609</v>
      </c>
      <c r="H104" s="21" t="s">
        <v>241</v>
      </c>
      <c r="I104" s="21" t="s">
        <v>111</v>
      </c>
      <c r="J104" s="21" t="s">
        <v>161</v>
      </c>
      <c r="K104" s="23" t="n">
        <v>123200</v>
      </c>
      <c r="L104" s="24"/>
      <c r="M104" s="21" t="s">
        <v>122</v>
      </c>
      <c r="N104" s="21" t="s">
        <v>107</v>
      </c>
      <c r="O104" s="25" t="n">
        <v>45902</v>
      </c>
      <c r="P104" s="26" t="n">
        <v>10480</v>
      </c>
      <c r="Q104" s="27" t="n">
        <f aca="false">IF(A104="","",SUMIF(Expenses!$B$2:$B$3000,A104,Expenses!$E$2:$E$3000))</f>
        <v>0</v>
      </c>
      <c r="R104" s="27" t="n">
        <f aca="false">IF(A104="","",N(P104)+N(Q104))</f>
        <v>10480</v>
      </c>
      <c r="S104" s="28"/>
      <c r="T104" s="25" t="n">
        <v>46079</v>
      </c>
      <c r="U104" s="26" t="n">
        <v>12000</v>
      </c>
      <c r="V104" s="26" t="n">
        <v>0</v>
      </c>
      <c r="W104" s="26"/>
      <c r="X104" s="27" t="n">
        <f aca="false">IF(B104&lt;&gt;"SOLD","",IF(C104="Consignment",N(W104)-R104,N(U104)-R104-N(V104)))</f>
        <v>1520</v>
      </c>
      <c r="Y104" s="29" t="n">
        <f aca="false">IF(OR(X104="",N(R104)=0),"",X104/R104)</f>
        <v>0.145038167938931</v>
      </c>
      <c r="Z104" s="30" t="n">
        <f aca="true">IF(O104="","",IF(T104="",TODAY(),T104)-O104)</f>
        <v>177</v>
      </c>
      <c r="AA104" s="31" t="str">
        <f aca="false">IF(T104="","",TEXT(T104,"YYYY-MM"))</f>
        <v>2026-02</v>
      </c>
      <c r="AB104" s="27" t="n">
        <f aca="false">IF(X104="","",X104/2)</f>
        <v>760</v>
      </c>
      <c r="AC104" s="21"/>
    </row>
    <row r="105" customFormat="false" ht="15" hidden="false" customHeight="false" outlineLevel="0" collapsed="false">
      <c r="A105" s="20" t="n">
        <v>105</v>
      </c>
      <c r="B105" s="21" t="s">
        <v>100</v>
      </c>
      <c r="C105" s="21" t="s">
        <v>101</v>
      </c>
      <c r="D105" s="21" t="s">
        <v>51</v>
      </c>
      <c r="E105" s="21" t="s">
        <v>204</v>
      </c>
      <c r="F105" s="21" t="s">
        <v>205</v>
      </c>
      <c r="G105" s="22" t="n">
        <v>41365</v>
      </c>
      <c r="H105" s="21" t="s">
        <v>232</v>
      </c>
      <c r="I105" s="21" t="s">
        <v>111</v>
      </c>
      <c r="J105" s="21"/>
      <c r="K105" s="23" t="n">
        <v>83600</v>
      </c>
      <c r="L105" s="24"/>
      <c r="M105" s="21" t="s">
        <v>122</v>
      </c>
      <c r="N105" s="21" t="s">
        <v>107</v>
      </c>
      <c r="O105" s="25" t="n">
        <v>45902</v>
      </c>
      <c r="P105" s="26" t="n">
        <v>10187.07</v>
      </c>
      <c r="Q105" s="27" t="n">
        <f aca="false">IF(A105="","",SUMIF(Expenses!$B$2:$B$3000,A105,Expenses!$E$2:$E$3000))</f>
        <v>0</v>
      </c>
      <c r="R105" s="27" t="n">
        <f aca="false">IF(A105="","",N(P105)+N(Q105))</f>
        <v>10187.07</v>
      </c>
      <c r="S105" s="28"/>
      <c r="T105" s="25" t="n">
        <v>46069</v>
      </c>
      <c r="U105" s="26" t="n">
        <v>10990</v>
      </c>
      <c r="V105" s="26" t="n">
        <v>-0.07</v>
      </c>
      <c r="W105" s="26"/>
      <c r="X105" s="27" t="n">
        <f aca="false">IF(B105&lt;&gt;"SOLD","",IF(C105="Consignment",N(W105)-R105,N(U105)-R105-N(V105)))</f>
        <v>803</v>
      </c>
      <c r="Y105" s="29" t="n">
        <f aca="false">IF(OR(X105="",N(R105)=0),"",X105/R105)</f>
        <v>0.0788254129990272</v>
      </c>
      <c r="Z105" s="30" t="n">
        <f aca="true">IF(O105="","",IF(T105="",TODAY(),T105)-O105)</f>
        <v>167</v>
      </c>
      <c r="AA105" s="31" t="str">
        <f aca="false">IF(T105="","",TEXT(T105,"YYYY-MM"))</f>
        <v>2026-02</v>
      </c>
      <c r="AB105" s="27" t="n">
        <f aca="false">IF(X105="","",X105/2)</f>
        <v>401.5</v>
      </c>
      <c r="AC105" s="21"/>
    </row>
    <row r="106" customFormat="false" ht="15" hidden="false" customHeight="false" outlineLevel="0" collapsed="false">
      <c r="A106" s="20" t="n">
        <v>106</v>
      </c>
      <c r="B106" s="21" t="s">
        <v>100</v>
      </c>
      <c r="C106" s="21" t="s">
        <v>101</v>
      </c>
      <c r="D106" s="21" t="s">
        <v>52</v>
      </c>
      <c r="E106" s="21" t="s">
        <v>134</v>
      </c>
      <c r="F106" s="21" t="s">
        <v>124</v>
      </c>
      <c r="G106" s="22" t="n">
        <v>43132</v>
      </c>
      <c r="H106" s="21" t="s">
        <v>143</v>
      </c>
      <c r="I106" s="21" t="s">
        <v>111</v>
      </c>
      <c r="J106" s="21"/>
      <c r="K106" s="23" t="n">
        <v>180300</v>
      </c>
      <c r="L106" s="24"/>
      <c r="M106" s="21" t="s">
        <v>126</v>
      </c>
      <c r="N106" s="21" t="s">
        <v>113</v>
      </c>
      <c r="O106" s="25" t="n">
        <v>45906</v>
      </c>
      <c r="P106" s="26" t="n">
        <v>8262</v>
      </c>
      <c r="Q106" s="27" t="n">
        <f aca="false">IF(A106="","",SUMIF(Expenses!$B$2:$B$3000,A106,Expenses!$E$2:$E$3000))</f>
        <v>0</v>
      </c>
      <c r="R106" s="27" t="n">
        <f aca="false">IF(A106="","",N(P106)+N(Q106))</f>
        <v>8262</v>
      </c>
      <c r="S106" s="28"/>
      <c r="T106" s="25" t="n">
        <v>46087</v>
      </c>
      <c r="U106" s="26" t="n">
        <v>10700</v>
      </c>
      <c r="V106" s="26" t="n">
        <v>2001</v>
      </c>
      <c r="W106" s="26"/>
      <c r="X106" s="27" t="n">
        <f aca="false">IF(B106&lt;&gt;"SOLD","",IF(C106="Consignment",N(W106)-R106,N(U106)-R106-N(V106)))</f>
        <v>437</v>
      </c>
      <c r="Y106" s="29" t="n">
        <f aca="false">IF(OR(X106="",N(R106)=0),"",X106/R106)</f>
        <v>0.0528927620430888</v>
      </c>
      <c r="Z106" s="30" t="n">
        <f aca="true">IF(O106="","",IF(T106="",TODAY(),T106)-O106)</f>
        <v>181</v>
      </c>
      <c r="AA106" s="31" t="str">
        <f aca="false">IF(T106="","",TEXT(T106,"YYYY-MM"))</f>
        <v>2026-03</v>
      </c>
      <c r="AB106" s="27" t="n">
        <f aca="false">IF(X106="","",X106/2)</f>
        <v>218.5</v>
      </c>
      <c r="AC106" s="21"/>
    </row>
    <row r="107" customFormat="false" ht="15" hidden="false" customHeight="false" outlineLevel="0" collapsed="false">
      <c r="A107" s="20" t="n">
        <v>107</v>
      </c>
      <c r="B107" s="21" t="s">
        <v>100</v>
      </c>
      <c r="C107" s="21" t="s">
        <v>101</v>
      </c>
      <c r="D107" s="21" t="s">
        <v>51</v>
      </c>
      <c r="E107" s="21" t="s">
        <v>127</v>
      </c>
      <c r="F107" s="21" t="s">
        <v>137</v>
      </c>
      <c r="G107" s="22" t="n">
        <v>43009</v>
      </c>
      <c r="H107" s="21" t="s">
        <v>116</v>
      </c>
      <c r="I107" s="21" t="s">
        <v>117</v>
      </c>
      <c r="J107" s="21"/>
      <c r="K107" s="23" t="n">
        <v>191100</v>
      </c>
      <c r="L107" s="24"/>
      <c r="M107" s="21" t="s">
        <v>144</v>
      </c>
      <c r="N107" s="21" t="s">
        <v>107</v>
      </c>
      <c r="O107" s="25" t="n">
        <v>45906</v>
      </c>
      <c r="P107" s="26" t="n">
        <v>11313.93</v>
      </c>
      <c r="Q107" s="27" t="n">
        <f aca="false">IF(A107="","",SUMIF(Expenses!$B$2:$B$3000,A107,Expenses!$E$2:$E$3000))</f>
        <v>0</v>
      </c>
      <c r="R107" s="27" t="n">
        <f aca="false">IF(A107="","",N(P107)+N(Q107))</f>
        <v>11313.93</v>
      </c>
      <c r="S107" s="28"/>
      <c r="T107" s="25" t="n">
        <v>45972</v>
      </c>
      <c r="U107" s="26" t="n">
        <v>12350</v>
      </c>
      <c r="V107" s="26" t="n">
        <v>0.07</v>
      </c>
      <c r="W107" s="26"/>
      <c r="X107" s="27" t="n">
        <f aca="false">IF(B107&lt;&gt;"SOLD","",IF(C107="Consignment",N(W107)-R107,N(U107)-R107-N(V107)))</f>
        <v>1036</v>
      </c>
      <c r="Y107" s="29" t="n">
        <f aca="false">IF(OR(X107="",N(R107)=0),"",X107/R107)</f>
        <v>0.0915685354249142</v>
      </c>
      <c r="Z107" s="30" t="n">
        <f aca="true">IF(O107="","",IF(T107="",TODAY(),T107)-O107)</f>
        <v>66</v>
      </c>
      <c r="AA107" s="31" t="str">
        <f aca="false">IF(T107="","",TEXT(T107,"YYYY-MM"))</f>
        <v>2025-11</v>
      </c>
      <c r="AB107" s="27" t="n">
        <f aca="false">IF(X107="","",X107/2)</f>
        <v>518</v>
      </c>
      <c r="AC107" s="21"/>
    </row>
    <row r="108" customFormat="false" ht="15" hidden="false" customHeight="false" outlineLevel="0" collapsed="false">
      <c r="A108" s="20" t="n">
        <v>108</v>
      </c>
      <c r="B108" s="21" t="s">
        <v>100</v>
      </c>
      <c r="C108" s="21" t="s">
        <v>101</v>
      </c>
      <c r="D108" s="21" t="s">
        <v>53</v>
      </c>
      <c r="E108" s="21" t="s">
        <v>145</v>
      </c>
      <c r="F108" s="21" t="s">
        <v>230</v>
      </c>
      <c r="G108" s="22" t="n">
        <v>42736</v>
      </c>
      <c r="H108" s="21" t="s">
        <v>143</v>
      </c>
      <c r="I108" s="21" t="s">
        <v>111</v>
      </c>
      <c r="J108" s="21"/>
      <c r="K108" s="23" t="n">
        <v>173750</v>
      </c>
      <c r="L108" s="24"/>
      <c r="M108" s="21" t="s">
        <v>122</v>
      </c>
      <c r="N108" s="21" t="s">
        <v>107</v>
      </c>
      <c r="O108" s="25" t="n">
        <v>45919</v>
      </c>
      <c r="P108" s="26" t="n">
        <v>12207.44</v>
      </c>
      <c r="Q108" s="27" t="n">
        <f aca="false">IF(A108="","",SUMIF(Expenses!$B$2:$B$3000,A108,Expenses!$E$2:$E$3000))</f>
        <v>0</v>
      </c>
      <c r="R108" s="27" t="n">
        <f aca="false">IF(A108="","",N(P108)+N(Q108))</f>
        <v>12207.44</v>
      </c>
      <c r="S108" s="28"/>
      <c r="T108" s="25" t="n">
        <v>45976</v>
      </c>
      <c r="U108" s="26" t="n">
        <v>14800</v>
      </c>
      <c r="V108" s="26" t="n">
        <v>-0.44</v>
      </c>
      <c r="W108" s="26"/>
      <c r="X108" s="27" t="n">
        <f aca="false">IF(B108&lt;&gt;"SOLD","",IF(C108="Consignment",N(W108)-R108,N(U108)-R108-N(V108)))</f>
        <v>2593</v>
      </c>
      <c r="Y108" s="29" t="n">
        <f aca="false">IF(OR(X108="",N(R108)=0),"",X108/R108)</f>
        <v>0.212411447445165</v>
      </c>
      <c r="Z108" s="30" t="n">
        <f aca="true">IF(O108="","",IF(T108="",TODAY(),T108)-O108)</f>
        <v>57</v>
      </c>
      <c r="AA108" s="31" t="str">
        <f aca="false">IF(T108="","",TEXT(T108,"YYYY-MM"))</f>
        <v>2025-11</v>
      </c>
      <c r="AB108" s="27" t="n">
        <f aca="false">IF(X108="","",X108/2)</f>
        <v>1296.5</v>
      </c>
      <c r="AC108" s="21"/>
    </row>
    <row r="109" customFormat="false" ht="15" hidden="false" customHeight="false" outlineLevel="0" collapsed="false">
      <c r="A109" s="20" t="n">
        <v>109</v>
      </c>
      <c r="B109" s="21" t="s">
        <v>100</v>
      </c>
      <c r="C109" s="21" t="s">
        <v>101</v>
      </c>
      <c r="D109" s="21" t="s">
        <v>51</v>
      </c>
      <c r="E109" s="21" t="s">
        <v>204</v>
      </c>
      <c r="F109" s="21" t="s">
        <v>190</v>
      </c>
      <c r="G109" s="22" t="n">
        <v>41883</v>
      </c>
      <c r="H109" s="21" t="s">
        <v>242</v>
      </c>
      <c r="I109" s="21" t="s">
        <v>111</v>
      </c>
      <c r="J109" s="21" t="s">
        <v>161</v>
      </c>
      <c r="K109" s="23" t="n">
        <v>160600</v>
      </c>
      <c r="L109" s="24"/>
      <c r="M109" s="21" t="s">
        <v>122</v>
      </c>
      <c r="N109" s="21" t="s">
        <v>107</v>
      </c>
      <c r="O109" s="25" t="n">
        <v>45925</v>
      </c>
      <c r="P109" s="26" t="n">
        <v>10966.63</v>
      </c>
      <c r="Q109" s="27" t="n">
        <f aca="false">IF(A109="","",SUMIF(Expenses!$B$2:$B$3000,A109,Expenses!$E$2:$E$3000))</f>
        <v>0</v>
      </c>
      <c r="R109" s="27" t="n">
        <f aca="false">IF(A109="","",N(P109)+N(Q109))</f>
        <v>10966.63</v>
      </c>
      <c r="S109" s="28"/>
      <c r="T109" s="25" t="n">
        <v>45973</v>
      </c>
      <c r="U109" s="26" t="n">
        <v>13650</v>
      </c>
      <c r="V109" s="26" t="n">
        <v>0.37</v>
      </c>
      <c r="W109" s="26"/>
      <c r="X109" s="27" t="n">
        <f aca="false">IF(B109&lt;&gt;"SOLD","",IF(C109="Consignment",N(W109)-R109,N(U109)-R109-N(V109)))</f>
        <v>2683</v>
      </c>
      <c r="Y109" s="29" t="n">
        <f aca="false">IF(OR(X109="",N(R109)=0),"",X109/R109)</f>
        <v>0.244651273910034</v>
      </c>
      <c r="Z109" s="30" t="n">
        <f aca="true">IF(O109="","",IF(T109="",TODAY(),T109)-O109)</f>
        <v>48</v>
      </c>
      <c r="AA109" s="31" t="str">
        <f aca="false">IF(T109="","",TEXT(T109,"YYYY-MM"))</f>
        <v>2025-11</v>
      </c>
      <c r="AB109" s="27" t="n">
        <f aca="false">IF(X109="","",X109/2)</f>
        <v>1341.5</v>
      </c>
      <c r="AC109" s="21"/>
    </row>
    <row r="110" customFormat="false" ht="15" hidden="false" customHeight="false" outlineLevel="0" collapsed="false">
      <c r="A110" s="20" t="n">
        <v>110</v>
      </c>
      <c r="B110" s="21" t="s">
        <v>100</v>
      </c>
      <c r="C110" s="21" t="s">
        <v>101</v>
      </c>
      <c r="D110" s="21" t="s">
        <v>51</v>
      </c>
      <c r="E110" s="21" t="s">
        <v>172</v>
      </c>
      <c r="F110" s="21" t="s">
        <v>137</v>
      </c>
      <c r="G110" s="22" t="n">
        <v>42795</v>
      </c>
      <c r="H110" s="21" t="s">
        <v>116</v>
      </c>
      <c r="I110" s="21" t="s">
        <v>111</v>
      </c>
      <c r="J110" s="21"/>
      <c r="K110" s="23" t="n">
        <v>184000</v>
      </c>
      <c r="L110" s="24"/>
      <c r="M110" s="21" t="s">
        <v>122</v>
      </c>
      <c r="N110" s="21" t="s">
        <v>107</v>
      </c>
      <c r="O110" s="25" t="n">
        <v>45930</v>
      </c>
      <c r="P110" s="26" t="n">
        <v>10394.47</v>
      </c>
      <c r="Q110" s="27" t="n">
        <f aca="false">IF(A110="","",SUMIF(Expenses!$B$2:$B$3000,A110,Expenses!$E$2:$E$3000))</f>
        <v>0</v>
      </c>
      <c r="R110" s="27" t="n">
        <f aca="false">IF(A110="","",N(P110)+N(Q110))</f>
        <v>10394.47</v>
      </c>
      <c r="S110" s="28"/>
      <c r="T110" s="25" t="n">
        <v>45983</v>
      </c>
      <c r="U110" s="26" t="n">
        <v>13000</v>
      </c>
      <c r="V110" s="26" t="n">
        <v>-0.47</v>
      </c>
      <c r="W110" s="26"/>
      <c r="X110" s="27" t="n">
        <f aca="false">IF(B110&lt;&gt;"SOLD","",IF(C110="Consignment",N(W110)-R110,N(U110)-R110-N(V110)))</f>
        <v>2606</v>
      </c>
      <c r="Y110" s="29" t="n">
        <f aca="false">IF(OR(X110="",N(R110)=0),"",X110/R110)</f>
        <v>0.250710233422195</v>
      </c>
      <c r="Z110" s="30" t="n">
        <f aca="true">IF(O110="","",IF(T110="",TODAY(),T110)-O110)</f>
        <v>53</v>
      </c>
      <c r="AA110" s="31" t="str">
        <f aca="false">IF(T110="","",TEXT(T110,"YYYY-MM"))</f>
        <v>2025-11</v>
      </c>
      <c r="AB110" s="27" t="n">
        <f aca="false">IF(X110="","",X110/2)</f>
        <v>1303</v>
      </c>
      <c r="AC110" s="21"/>
    </row>
    <row r="111" customFormat="false" ht="15" hidden="false" customHeight="false" outlineLevel="0" collapsed="false">
      <c r="A111" s="20" t="n">
        <v>111</v>
      </c>
      <c r="B111" s="21" t="s">
        <v>100</v>
      </c>
      <c r="C111" s="21" t="s">
        <v>101</v>
      </c>
      <c r="D111" s="21" t="s">
        <v>64</v>
      </c>
      <c r="E111" s="21" t="s">
        <v>243</v>
      </c>
      <c r="F111" s="21" t="s">
        <v>244</v>
      </c>
      <c r="G111" s="22" t="n">
        <v>43070</v>
      </c>
      <c r="H111" s="21" t="s">
        <v>245</v>
      </c>
      <c r="I111" s="21" t="s">
        <v>152</v>
      </c>
      <c r="J111" s="21"/>
      <c r="K111" s="23" t="n">
        <v>208600</v>
      </c>
      <c r="L111" s="24"/>
      <c r="M111" s="21" t="s">
        <v>138</v>
      </c>
      <c r="N111" s="21" t="s">
        <v>107</v>
      </c>
      <c r="O111" s="25" t="n">
        <v>45953</v>
      </c>
      <c r="P111" s="26" t="n">
        <v>8540</v>
      </c>
      <c r="Q111" s="27" t="n">
        <f aca="false">IF(A111="","",SUMIF(Expenses!$B$2:$B$3000,A111,Expenses!$E$2:$E$3000))</f>
        <v>0</v>
      </c>
      <c r="R111" s="27" t="n">
        <f aca="false">IF(A111="","",N(P111)+N(Q111))</f>
        <v>8540</v>
      </c>
      <c r="S111" s="28"/>
      <c r="T111" s="25" t="n">
        <v>45973</v>
      </c>
      <c r="U111" s="26" t="n">
        <v>10495</v>
      </c>
      <c r="V111" s="26" t="n">
        <v>0</v>
      </c>
      <c r="W111" s="26"/>
      <c r="X111" s="27" t="n">
        <f aca="false">IF(B111&lt;&gt;"SOLD","",IF(C111="Consignment",N(W111)-R111,N(U111)-R111-N(V111)))</f>
        <v>1955</v>
      </c>
      <c r="Y111" s="29" t="n">
        <f aca="false">IF(OR(X111="",N(R111)=0),"",X111/R111)</f>
        <v>0.228922716627635</v>
      </c>
      <c r="Z111" s="30" t="n">
        <f aca="true">IF(O111="","",IF(T111="",TODAY(),T111)-O111)</f>
        <v>20</v>
      </c>
      <c r="AA111" s="31" t="str">
        <f aca="false">IF(T111="","",TEXT(T111,"YYYY-MM"))</f>
        <v>2025-11</v>
      </c>
      <c r="AB111" s="27" t="n">
        <f aca="false">IF(X111="","",X111/2)</f>
        <v>977.5</v>
      </c>
      <c r="AC111" s="21"/>
    </row>
    <row r="112" customFormat="false" ht="15" hidden="false" customHeight="false" outlineLevel="0" collapsed="false">
      <c r="A112" s="20" t="n">
        <v>112</v>
      </c>
      <c r="B112" s="21" t="s">
        <v>100</v>
      </c>
      <c r="C112" s="21" t="s">
        <v>101</v>
      </c>
      <c r="D112" s="21" t="s">
        <v>63</v>
      </c>
      <c r="E112" s="21" t="s">
        <v>246</v>
      </c>
      <c r="F112" s="21" t="s">
        <v>247</v>
      </c>
      <c r="G112" s="22" t="n">
        <v>44652</v>
      </c>
      <c r="H112" s="21" t="s">
        <v>248</v>
      </c>
      <c r="I112" s="21" t="s">
        <v>249</v>
      </c>
      <c r="J112" s="21"/>
      <c r="K112" s="23" t="n">
        <v>123000</v>
      </c>
      <c r="L112" s="24"/>
      <c r="M112" s="21" t="s">
        <v>250</v>
      </c>
      <c r="N112" s="21" t="s">
        <v>107</v>
      </c>
      <c r="O112" s="25" t="n">
        <v>45958</v>
      </c>
      <c r="P112" s="26" t="n">
        <v>650</v>
      </c>
      <c r="Q112" s="27" t="n">
        <f aca="false">IF(A112="","",SUMIF(Expenses!$B$2:$B$3000,A112,Expenses!$E$2:$E$3000))</f>
        <v>0</v>
      </c>
      <c r="R112" s="27" t="n">
        <f aca="false">IF(A112="","",N(P112)+N(Q112))</f>
        <v>650</v>
      </c>
      <c r="S112" s="28"/>
      <c r="T112" s="25" t="n">
        <v>45961</v>
      </c>
      <c r="U112" s="26" t="n">
        <v>1650</v>
      </c>
      <c r="V112" s="26" t="n">
        <v>0</v>
      </c>
      <c r="W112" s="26"/>
      <c r="X112" s="27" t="n">
        <f aca="false">IF(B112&lt;&gt;"SOLD","",IF(C112="Consignment",N(W112)-R112,N(U112)-R112-N(V112)))</f>
        <v>1000</v>
      </c>
      <c r="Y112" s="29" t="n">
        <f aca="false">IF(OR(X112="",N(R112)=0),"",X112/R112)</f>
        <v>1.53846153846154</v>
      </c>
      <c r="Z112" s="30" t="n">
        <f aca="true">IF(O112="","",IF(T112="",TODAY(),T112)-O112)</f>
        <v>3</v>
      </c>
      <c r="AA112" s="31" t="str">
        <f aca="false">IF(T112="","",TEXT(T112,"YYYY-MM"))</f>
        <v>2025-10</v>
      </c>
      <c r="AB112" s="27" t="n">
        <f aca="false">IF(X112="","",X112/2)</f>
        <v>500</v>
      </c>
      <c r="AC112" s="21"/>
    </row>
    <row r="113" customFormat="false" ht="15" hidden="false" customHeight="false" outlineLevel="0" collapsed="false">
      <c r="A113" s="20" t="n">
        <v>113</v>
      </c>
      <c r="B113" s="21" t="s">
        <v>100</v>
      </c>
      <c r="C113" s="21" t="s">
        <v>101</v>
      </c>
      <c r="D113" s="21" t="s">
        <v>51</v>
      </c>
      <c r="E113" s="21" t="s">
        <v>251</v>
      </c>
      <c r="F113" s="21" t="s">
        <v>252</v>
      </c>
      <c r="G113" s="22" t="n">
        <v>45992</v>
      </c>
      <c r="H113" s="21" t="s">
        <v>253</v>
      </c>
      <c r="I113" s="21" t="s">
        <v>129</v>
      </c>
      <c r="J113" s="21" t="s">
        <v>161</v>
      </c>
      <c r="K113" s="23" t="n">
        <v>650</v>
      </c>
      <c r="L113" s="24"/>
      <c r="M113" s="21" t="s">
        <v>122</v>
      </c>
      <c r="N113" s="21" t="s">
        <v>113</v>
      </c>
      <c r="O113" s="25" t="n">
        <v>45958</v>
      </c>
      <c r="P113" s="26" t="n">
        <v>984.12</v>
      </c>
      <c r="Q113" s="27" t="n">
        <f aca="false">IF(A113="","",SUMIF(Expenses!$B$2:$B$3000,A113,Expenses!$E$2:$E$3000))</f>
        <v>0</v>
      </c>
      <c r="R113" s="27" t="n">
        <f aca="false">IF(A113="","",N(P113)+N(Q113))</f>
        <v>984.12</v>
      </c>
      <c r="S113" s="28"/>
      <c r="T113" s="25" t="n">
        <v>46010</v>
      </c>
      <c r="U113" s="26" t="n">
        <v>1845</v>
      </c>
      <c r="V113" s="26" t="n">
        <v>344.88</v>
      </c>
      <c r="W113" s="26"/>
      <c r="X113" s="27" t="n">
        <f aca="false">IF(B113&lt;&gt;"SOLD","",IF(C113="Consignment",N(W113)-R113,N(U113)-R113-N(V113)))</f>
        <v>516</v>
      </c>
      <c r="Y113" s="29" t="n">
        <f aca="false">IF(OR(X113="",N(R113)=0),"",X113/R113)</f>
        <v>0.524326301670528</v>
      </c>
      <c r="Z113" s="30" t="n">
        <f aca="true">IF(O113="","",IF(T113="",TODAY(),T113)-O113)</f>
        <v>52</v>
      </c>
      <c r="AA113" s="31" t="str">
        <f aca="false">IF(T113="","",TEXT(T113,"YYYY-MM"))</f>
        <v>2025-12</v>
      </c>
      <c r="AB113" s="27" t="n">
        <f aca="false">IF(X113="","",X113/2)</f>
        <v>258</v>
      </c>
      <c r="AC113" s="21"/>
    </row>
    <row r="114" customFormat="false" ht="15" hidden="false" customHeight="false" outlineLevel="0" collapsed="false">
      <c r="A114" s="20" t="n">
        <v>114</v>
      </c>
      <c r="B114" s="21" t="s">
        <v>100</v>
      </c>
      <c r="C114" s="21" t="s">
        <v>201</v>
      </c>
      <c r="D114" s="21" t="s">
        <v>58</v>
      </c>
      <c r="E114" s="21" t="s">
        <v>254</v>
      </c>
      <c r="F114" s="21" t="s">
        <v>219</v>
      </c>
      <c r="G114" s="22" t="n">
        <v>42979</v>
      </c>
      <c r="H114" s="21" t="s">
        <v>255</v>
      </c>
      <c r="I114" s="21" t="s">
        <v>152</v>
      </c>
      <c r="J114" s="21"/>
      <c r="K114" s="23" t="n">
        <v>208000</v>
      </c>
      <c r="L114" s="24"/>
      <c r="M114" s="21" t="s">
        <v>138</v>
      </c>
      <c r="N114" s="21" t="s">
        <v>107</v>
      </c>
      <c r="O114" s="25" t="n">
        <v>45976</v>
      </c>
      <c r="P114" s="26" t="n">
        <v>50</v>
      </c>
      <c r="Q114" s="27" t="n">
        <f aca="false">IF(A114="","",SUMIF(Expenses!$B$2:$B$3000,A114,Expenses!$E$2:$E$3000))</f>
        <v>0</v>
      </c>
      <c r="R114" s="27" t="n">
        <f aca="false">IF(A114="","",N(P114)+N(Q114))</f>
        <v>50</v>
      </c>
      <c r="S114" s="28"/>
      <c r="T114" s="25" t="n">
        <v>46085</v>
      </c>
      <c r="U114" s="26" t="n">
        <v>1000</v>
      </c>
      <c r="V114" s="26"/>
      <c r="W114" s="26" t="n">
        <v>1000</v>
      </c>
      <c r="X114" s="27" t="n">
        <f aca="false">IF(B114&lt;&gt;"SOLD","",IF(C114="Consignment",N(W114)-R114,N(U114)-R114-N(V114)))</f>
        <v>950</v>
      </c>
      <c r="Y114" s="29" t="n">
        <f aca="false">IF(OR(X114="",N(R114)=0),"",X114/R114)</f>
        <v>19</v>
      </c>
      <c r="Z114" s="30" t="n">
        <f aca="true">IF(O114="","",IF(T114="",TODAY(),T114)-O114)</f>
        <v>109</v>
      </c>
      <c r="AA114" s="31" t="str">
        <f aca="false">IF(T114="","",TEXT(T114,"YYYY-MM"))</f>
        <v>2026-03</v>
      </c>
      <c r="AB114" s="27" t="n">
        <f aca="false">IF(X114="","",X114/2)</f>
        <v>475</v>
      </c>
      <c r="AC114" s="21"/>
    </row>
    <row r="115" customFormat="false" ht="15" hidden="false" customHeight="false" outlineLevel="0" collapsed="false">
      <c r="A115" s="20" t="n">
        <v>115</v>
      </c>
      <c r="B115" s="21" t="s">
        <v>100</v>
      </c>
      <c r="C115" s="21" t="s">
        <v>101</v>
      </c>
      <c r="D115" s="21" t="s">
        <v>53</v>
      </c>
      <c r="E115" s="21" t="s">
        <v>145</v>
      </c>
      <c r="F115" s="21" t="s">
        <v>115</v>
      </c>
      <c r="G115" s="22" t="n">
        <v>43040</v>
      </c>
      <c r="H115" s="21" t="s">
        <v>143</v>
      </c>
      <c r="I115" s="21" t="s">
        <v>111</v>
      </c>
      <c r="J115" s="21"/>
      <c r="K115" s="23" t="n">
        <v>202900</v>
      </c>
      <c r="L115" s="24"/>
      <c r="M115" s="21" t="s">
        <v>112</v>
      </c>
      <c r="N115" s="21" t="s">
        <v>107</v>
      </c>
      <c r="O115" s="25" t="n">
        <v>45986</v>
      </c>
      <c r="P115" s="26" t="n">
        <v>7972.84</v>
      </c>
      <c r="Q115" s="27" t="n">
        <f aca="false">IF(A115="","",SUMIF(Expenses!$B$2:$B$3000,A115,Expenses!$E$2:$E$3000))</f>
        <v>0</v>
      </c>
      <c r="R115" s="27" t="n">
        <f aca="false">IF(A115="","",N(P115)+N(Q115))</f>
        <v>7972.84</v>
      </c>
      <c r="S115" s="28"/>
      <c r="T115" s="25" t="n">
        <v>46084</v>
      </c>
      <c r="U115" s="26" t="n">
        <v>12300</v>
      </c>
      <c r="V115" s="26" t="n">
        <v>2300.16</v>
      </c>
      <c r="W115" s="26"/>
      <c r="X115" s="27" t="n">
        <f aca="false">IF(B115&lt;&gt;"SOLD","",IF(C115="Consignment",N(W115)-R115,N(U115)-R115-N(V115)))</f>
        <v>2027</v>
      </c>
      <c r="Y115" s="29" t="n">
        <f aca="false">IF(OR(X115="",N(R115)=0),"",X115/R115)</f>
        <v>0.25423813848014</v>
      </c>
      <c r="Z115" s="30" t="n">
        <f aca="true">IF(O115="","",IF(T115="",TODAY(),T115)-O115)</f>
        <v>98</v>
      </c>
      <c r="AA115" s="31" t="str">
        <f aca="false">IF(T115="","",TEXT(T115,"YYYY-MM"))</f>
        <v>2026-03</v>
      </c>
      <c r="AB115" s="27" t="n">
        <f aca="false">IF(X115="","",X115/2)</f>
        <v>1013.5</v>
      </c>
      <c r="AC115" s="21"/>
    </row>
    <row r="116" customFormat="false" ht="15" hidden="false" customHeight="false" outlineLevel="0" collapsed="false">
      <c r="A116" s="20" t="n">
        <v>116</v>
      </c>
      <c r="B116" s="21" t="s">
        <v>130</v>
      </c>
      <c r="C116" s="21" t="s">
        <v>101</v>
      </c>
      <c r="D116" s="21" t="s">
        <v>51</v>
      </c>
      <c r="E116" s="21" t="s">
        <v>172</v>
      </c>
      <c r="F116" s="21" t="s">
        <v>128</v>
      </c>
      <c r="G116" s="22" t="n">
        <v>42856</v>
      </c>
      <c r="H116" s="21" t="s">
        <v>116</v>
      </c>
      <c r="I116" s="21" t="s">
        <v>111</v>
      </c>
      <c r="J116" s="21"/>
      <c r="K116" s="23" t="n">
        <v>151000</v>
      </c>
      <c r="L116" s="24"/>
      <c r="M116" s="21" t="s">
        <v>122</v>
      </c>
      <c r="N116" s="21" t="s">
        <v>113</v>
      </c>
      <c r="O116" s="25" t="n">
        <v>45987</v>
      </c>
      <c r="P116" s="26" t="n">
        <v>8387</v>
      </c>
      <c r="Q116" s="27" t="n">
        <f aca="false">IF(A116="","",SUMIF(Expenses!$B$2:$B$3000,A116,Expenses!$E$2:$E$3000))</f>
        <v>0</v>
      </c>
      <c r="R116" s="27" t="n">
        <f aca="false">IF(A116="","",N(P116)+N(Q116))</f>
        <v>8387</v>
      </c>
      <c r="S116" s="28"/>
      <c r="T116" s="25"/>
      <c r="U116" s="26"/>
      <c r="V116" s="26"/>
      <c r="W116" s="26"/>
      <c r="X116" s="27" t="str">
        <f aca="false">IF(B116&lt;&gt;"SOLD","",IF(C116="Consignment",N(W116)-R116,N(U116)-R116-N(V116)))</f>
        <v/>
      </c>
      <c r="Y116" s="29" t="str">
        <f aca="false">IF(OR(X116="",N(R116)=0),"",X116/R116)</f>
        <v/>
      </c>
      <c r="Z116" s="30" t="n">
        <f aca="true">IF(O116="","",IF(T116="",TODAY(),T116)-O116)</f>
        <v>315</v>
      </c>
      <c r="AA116" s="31" t="str">
        <f aca="false">IF(T116="","",TEXT(T116,"YYYY-MM"))</f>
        <v/>
      </c>
      <c r="AB116" s="27" t="str">
        <f aca="false">IF(X116="","",X116/2)</f>
        <v/>
      </c>
      <c r="AC116" s="21"/>
    </row>
    <row r="117" customFormat="false" ht="15" hidden="false" customHeight="false" outlineLevel="0" collapsed="false">
      <c r="A117" s="20" t="n">
        <v>117</v>
      </c>
      <c r="B117" s="21" t="s">
        <v>130</v>
      </c>
      <c r="C117" s="21" t="s">
        <v>101</v>
      </c>
      <c r="D117" s="21" t="s">
        <v>57</v>
      </c>
      <c r="E117" s="21" t="s">
        <v>166</v>
      </c>
      <c r="F117" s="21" t="s">
        <v>256</v>
      </c>
      <c r="G117" s="22" t="n">
        <v>43009</v>
      </c>
      <c r="H117" s="21" t="s">
        <v>257</v>
      </c>
      <c r="I117" s="21" t="s">
        <v>152</v>
      </c>
      <c r="J117" s="21"/>
      <c r="K117" s="23" t="n">
        <v>169200</v>
      </c>
      <c r="L117" s="24"/>
      <c r="M117" s="21" t="s">
        <v>133</v>
      </c>
      <c r="N117" s="21" t="s">
        <v>107</v>
      </c>
      <c r="O117" s="25" t="n">
        <v>45987</v>
      </c>
      <c r="P117" s="26" t="n">
        <v>15515</v>
      </c>
      <c r="Q117" s="27" t="n">
        <f aca="false">IF(A117="","",SUMIF(Expenses!$B$2:$B$3000,A117,Expenses!$E$2:$E$3000))</f>
        <v>0</v>
      </c>
      <c r="R117" s="27" t="n">
        <f aca="false">IF(A117="","",N(P117)+N(Q117))</f>
        <v>15515</v>
      </c>
      <c r="S117" s="28"/>
      <c r="T117" s="25"/>
      <c r="U117" s="26"/>
      <c r="V117" s="26"/>
      <c r="W117" s="26"/>
      <c r="X117" s="27" t="str">
        <f aca="false">IF(B117&lt;&gt;"SOLD","",IF(C117="Consignment",N(W117)-R117,N(U117)-R117-N(V117)))</f>
        <v/>
      </c>
      <c r="Y117" s="29" t="str">
        <f aca="false">IF(OR(X117="",N(R117)=0),"",X117/R117)</f>
        <v/>
      </c>
      <c r="Z117" s="30" t="n">
        <f aca="true">IF(O117="","",IF(T117="",TODAY(),T117)-O117)</f>
        <v>315</v>
      </c>
      <c r="AA117" s="31" t="str">
        <f aca="false">IF(T117="","",TEXT(T117,"YYYY-MM"))</f>
        <v/>
      </c>
      <c r="AB117" s="27" t="str">
        <f aca="false">IF(X117="","",X117/2)</f>
        <v/>
      </c>
      <c r="AC117" s="21"/>
    </row>
    <row r="118" customFormat="false" ht="15" hidden="false" customHeight="false" outlineLevel="0" collapsed="false">
      <c r="A118" s="20" t="n">
        <v>118</v>
      </c>
      <c r="B118" s="21" t="s">
        <v>100</v>
      </c>
      <c r="C118" s="21" t="s">
        <v>101</v>
      </c>
      <c r="D118" s="21" t="s">
        <v>51</v>
      </c>
      <c r="E118" s="21" t="s">
        <v>258</v>
      </c>
      <c r="F118" s="21" t="s">
        <v>259</v>
      </c>
      <c r="G118" s="22" t="n">
        <v>44166</v>
      </c>
      <c r="H118" s="21" t="s">
        <v>260</v>
      </c>
      <c r="I118" s="21" t="s">
        <v>261</v>
      </c>
      <c r="J118" s="21"/>
      <c r="K118" s="23" t="n">
        <v>150800</v>
      </c>
      <c r="L118" s="24"/>
      <c r="M118" s="21" t="s">
        <v>126</v>
      </c>
      <c r="N118" s="21" t="s">
        <v>113</v>
      </c>
      <c r="O118" s="25" t="n">
        <v>46031</v>
      </c>
      <c r="P118" s="26" t="n">
        <v>9599</v>
      </c>
      <c r="Q118" s="27" t="n">
        <f aca="false">IF(A118="","",SUMIF(Expenses!$B$2:$B$3000,A118,Expenses!$E$2:$E$3000))</f>
        <v>0</v>
      </c>
      <c r="R118" s="27" t="n">
        <f aca="false">IF(A118="","",N(P118)+N(Q118))</f>
        <v>9599</v>
      </c>
      <c r="S118" s="28"/>
      <c r="T118" s="25" t="n">
        <v>46094</v>
      </c>
      <c r="U118" s="26" t="n">
        <v>13800</v>
      </c>
      <c r="V118" s="26" t="n">
        <v>2207</v>
      </c>
      <c r="W118" s="26"/>
      <c r="X118" s="27" t="n">
        <f aca="false">IF(B118&lt;&gt;"SOLD","",IF(C118="Consignment",N(W118)-R118,N(U118)-R118-N(V118)))</f>
        <v>1994</v>
      </c>
      <c r="Y118" s="29" t="n">
        <f aca="false">IF(OR(X118="",N(R118)=0),"",X118/R118)</f>
        <v>0.20772997187207</v>
      </c>
      <c r="Z118" s="30" t="n">
        <f aca="true">IF(O118="","",IF(T118="",TODAY(),T118)-O118)</f>
        <v>63</v>
      </c>
      <c r="AA118" s="31" t="str">
        <f aca="false">IF(T118="","",TEXT(T118,"YYYY-MM"))</f>
        <v>2026-03</v>
      </c>
      <c r="AB118" s="27" t="n">
        <f aca="false">IF(X118="","",X118/2)</f>
        <v>997</v>
      </c>
      <c r="AC118" s="21"/>
    </row>
    <row r="119" customFormat="false" ht="15" hidden="false" customHeight="false" outlineLevel="0" collapsed="false">
      <c r="A119" s="20" t="n">
        <v>119</v>
      </c>
      <c r="B119" s="21" t="s">
        <v>100</v>
      </c>
      <c r="C119" s="21" t="s">
        <v>101</v>
      </c>
      <c r="D119" s="21" t="s">
        <v>53</v>
      </c>
      <c r="E119" s="21" t="s">
        <v>145</v>
      </c>
      <c r="F119" s="21" t="s">
        <v>115</v>
      </c>
      <c r="G119" s="22" t="n">
        <v>42826</v>
      </c>
      <c r="H119" s="21" t="s">
        <v>143</v>
      </c>
      <c r="I119" s="21" t="s">
        <v>111</v>
      </c>
      <c r="J119" s="21"/>
      <c r="K119" s="23" t="n">
        <v>199700</v>
      </c>
      <c r="L119" s="24"/>
      <c r="M119" s="21" t="s">
        <v>144</v>
      </c>
      <c r="N119" s="21" t="s">
        <v>107</v>
      </c>
      <c r="O119" s="25" t="n">
        <v>46038</v>
      </c>
      <c r="P119" s="26" t="n">
        <v>10074</v>
      </c>
      <c r="Q119" s="27" t="n">
        <f aca="false">IF(A119="","",SUMIF(Expenses!$B$2:$B$3000,A119,Expenses!$E$2:$E$3000))</f>
        <v>0</v>
      </c>
      <c r="R119" s="27" t="n">
        <f aca="false">IF(A119="","",N(P119)+N(Q119))</f>
        <v>10074</v>
      </c>
      <c r="S119" s="28"/>
      <c r="T119" s="25" t="n">
        <v>46172</v>
      </c>
      <c r="U119" s="26" t="n">
        <v>12000</v>
      </c>
      <c r="V119" s="26" t="n">
        <v>377</v>
      </c>
      <c r="W119" s="26"/>
      <c r="X119" s="27" t="n">
        <f aca="false">IF(B119&lt;&gt;"SOLD","",IF(C119="Consignment",N(W119)-R119,N(U119)-R119-N(V119)))</f>
        <v>1549</v>
      </c>
      <c r="Y119" s="29" t="n">
        <f aca="false">IF(OR(X119="",N(R119)=0),"",X119/R119)</f>
        <v>0.153762160015882</v>
      </c>
      <c r="Z119" s="30" t="n">
        <f aca="true">IF(O119="","",IF(T119="",TODAY(),T119)-O119)</f>
        <v>134</v>
      </c>
      <c r="AA119" s="31" t="str">
        <f aca="false">IF(T119="","",TEXT(T119,"YYYY-MM"))</f>
        <v>2026-05</v>
      </c>
      <c r="AB119" s="27" t="n">
        <f aca="false">IF(X119="","",X119/2)</f>
        <v>774.5</v>
      </c>
      <c r="AC119" s="21"/>
    </row>
    <row r="120" customFormat="false" ht="15" hidden="false" customHeight="false" outlineLevel="0" collapsed="false">
      <c r="A120" s="20" t="n">
        <v>120</v>
      </c>
      <c r="B120" s="21" t="s">
        <v>100</v>
      </c>
      <c r="C120" s="21" t="s">
        <v>101</v>
      </c>
      <c r="D120" s="21" t="s">
        <v>53</v>
      </c>
      <c r="E120" s="21" t="s">
        <v>145</v>
      </c>
      <c r="F120" s="21" t="s">
        <v>115</v>
      </c>
      <c r="G120" s="22" t="n">
        <v>42856</v>
      </c>
      <c r="H120" s="21" t="s">
        <v>174</v>
      </c>
      <c r="I120" s="21" t="s">
        <v>111</v>
      </c>
      <c r="J120" s="21"/>
      <c r="K120" s="23" t="n">
        <v>194000</v>
      </c>
      <c r="L120" s="24"/>
      <c r="M120" s="21" t="s">
        <v>133</v>
      </c>
      <c r="N120" s="21" t="s">
        <v>107</v>
      </c>
      <c r="O120" s="25" t="n">
        <v>46041</v>
      </c>
      <c r="P120" s="26" t="n">
        <v>9789</v>
      </c>
      <c r="Q120" s="27" t="n">
        <f aca="false">IF(A120="","",SUMIF(Expenses!$B$2:$B$3000,A120,Expenses!$E$2:$E$3000))</f>
        <v>0</v>
      </c>
      <c r="R120" s="27" t="n">
        <f aca="false">IF(A120="","",N(P120)+N(Q120))</f>
        <v>9789</v>
      </c>
      <c r="S120" s="28"/>
      <c r="T120" s="25" t="n">
        <v>46119</v>
      </c>
      <c r="U120" s="26" t="n">
        <v>12000</v>
      </c>
      <c r="V120" s="26" t="n">
        <v>613</v>
      </c>
      <c r="W120" s="26"/>
      <c r="X120" s="27" t="n">
        <f aca="false">IF(B120&lt;&gt;"SOLD","",IF(C120="Consignment",N(W120)-R120,N(U120)-R120-N(V120)))</f>
        <v>1598</v>
      </c>
      <c r="Y120" s="29" t="n">
        <f aca="false">IF(OR(X120="",N(R120)=0),"",X120/R120)</f>
        <v>0.163244458065175</v>
      </c>
      <c r="Z120" s="30" t="n">
        <f aca="true">IF(O120="","",IF(T120="",TODAY(),T120)-O120)</f>
        <v>78</v>
      </c>
      <c r="AA120" s="31" t="str">
        <f aca="false">IF(T120="","",TEXT(T120,"YYYY-MM"))</f>
        <v>2026-04</v>
      </c>
      <c r="AB120" s="27" t="n">
        <f aca="false">IF(X120="","",X120/2)</f>
        <v>799</v>
      </c>
      <c r="AC120" s="21"/>
    </row>
    <row r="121" customFormat="false" ht="15" hidden="false" customHeight="false" outlineLevel="0" collapsed="false">
      <c r="A121" s="20" t="n">
        <v>121</v>
      </c>
      <c r="B121" s="21" t="s">
        <v>100</v>
      </c>
      <c r="C121" s="21" t="s">
        <v>101</v>
      </c>
      <c r="D121" s="21" t="s">
        <v>58</v>
      </c>
      <c r="E121" s="21" t="s">
        <v>262</v>
      </c>
      <c r="F121" s="21"/>
      <c r="G121" s="22" t="n">
        <v>38657</v>
      </c>
      <c r="H121" s="21" t="s">
        <v>263</v>
      </c>
      <c r="I121" s="21" t="s">
        <v>121</v>
      </c>
      <c r="J121" s="21"/>
      <c r="K121" s="23" t="n">
        <v>425000</v>
      </c>
      <c r="L121" s="24"/>
      <c r="M121" s="21" t="s">
        <v>138</v>
      </c>
      <c r="N121" s="21" t="s">
        <v>107</v>
      </c>
      <c r="O121" s="25" t="n">
        <v>46013</v>
      </c>
      <c r="P121" s="26" t="n">
        <v>2680</v>
      </c>
      <c r="Q121" s="27" t="n">
        <f aca="false">IF(A121="","",SUMIF(Expenses!$B$2:$B$3000,A121,Expenses!$E$2:$E$3000))</f>
        <v>0</v>
      </c>
      <c r="R121" s="27" t="n">
        <f aca="false">IF(A121="","",N(P121)+N(Q121))</f>
        <v>2680</v>
      </c>
      <c r="S121" s="28"/>
      <c r="T121" s="25" t="n">
        <v>46078</v>
      </c>
      <c r="U121" s="26" t="n">
        <v>3000</v>
      </c>
      <c r="V121" s="26" t="n">
        <v>0</v>
      </c>
      <c r="W121" s="26"/>
      <c r="X121" s="27" t="n">
        <f aca="false">IF(B121&lt;&gt;"SOLD","",IF(C121="Consignment",N(W121)-R121,N(U121)-R121-N(V121)))</f>
        <v>320</v>
      </c>
      <c r="Y121" s="29" t="n">
        <f aca="false">IF(OR(X121="",N(R121)=0),"",X121/R121)</f>
        <v>0.119402985074627</v>
      </c>
      <c r="Z121" s="30" t="n">
        <f aca="true">IF(O121="","",IF(T121="",TODAY(),T121)-O121)</f>
        <v>65</v>
      </c>
      <c r="AA121" s="31" t="str">
        <f aca="false">IF(T121="","",TEXT(T121,"YYYY-MM"))</f>
        <v>2026-02</v>
      </c>
      <c r="AB121" s="27" t="n">
        <f aca="false">IF(X121="","",X121/2)</f>
        <v>160</v>
      </c>
      <c r="AC121" s="21"/>
    </row>
    <row r="122" customFormat="false" ht="15" hidden="false" customHeight="false" outlineLevel="0" collapsed="false">
      <c r="A122" s="20" t="n">
        <v>122</v>
      </c>
      <c r="B122" s="21" t="s">
        <v>130</v>
      </c>
      <c r="C122" s="21" t="s">
        <v>101</v>
      </c>
      <c r="D122" s="21" t="s">
        <v>51</v>
      </c>
      <c r="E122" s="21" t="s">
        <v>204</v>
      </c>
      <c r="F122" s="21" t="s">
        <v>190</v>
      </c>
      <c r="G122" s="22" t="n">
        <v>41334</v>
      </c>
      <c r="H122" s="21" t="s">
        <v>242</v>
      </c>
      <c r="I122" s="21" t="s">
        <v>111</v>
      </c>
      <c r="J122" s="21" t="s">
        <v>161</v>
      </c>
      <c r="K122" s="23" t="n">
        <v>169000</v>
      </c>
      <c r="L122" s="24"/>
      <c r="M122" s="21" t="s">
        <v>122</v>
      </c>
      <c r="N122" s="21" t="s">
        <v>107</v>
      </c>
      <c r="O122" s="25" t="n">
        <v>46052</v>
      </c>
      <c r="P122" s="26" t="n">
        <v>10391</v>
      </c>
      <c r="Q122" s="27" t="n">
        <f aca="false">IF(A122="","",SUMIF(Expenses!$B$2:$B$3000,A122,Expenses!$E$2:$E$3000))</f>
        <v>0</v>
      </c>
      <c r="R122" s="27" t="n">
        <f aca="false">IF(A122="","",N(P122)+N(Q122))</f>
        <v>10391</v>
      </c>
      <c r="S122" s="28"/>
      <c r="T122" s="25"/>
      <c r="U122" s="26"/>
      <c r="V122" s="26"/>
      <c r="W122" s="26"/>
      <c r="X122" s="27" t="str">
        <f aca="false">IF(B122&lt;&gt;"SOLD","",IF(C122="Consignment",N(W122)-R122,N(U122)-R122-N(V122)))</f>
        <v/>
      </c>
      <c r="Y122" s="29" t="str">
        <f aca="false">IF(OR(X122="",N(R122)=0),"",X122/R122)</f>
        <v/>
      </c>
      <c r="Z122" s="30" t="n">
        <f aca="true">IF(O122="","",IF(T122="",TODAY(),T122)-O122)</f>
        <v>250</v>
      </c>
      <c r="AA122" s="31" t="str">
        <f aca="false">IF(T122="","",TEXT(T122,"YYYY-MM"))</f>
        <v/>
      </c>
      <c r="AB122" s="27" t="str">
        <f aca="false">IF(X122="","",X122/2)</f>
        <v/>
      </c>
      <c r="AC122" s="21"/>
    </row>
    <row r="123" customFormat="false" ht="15" hidden="false" customHeight="false" outlineLevel="0" collapsed="false">
      <c r="A123" s="20" t="n">
        <v>123</v>
      </c>
      <c r="B123" s="21" t="s">
        <v>100</v>
      </c>
      <c r="C123" s="21" t="s">
        <v>101</v>
      </c>
      <c r="D123" s="21" t="s">
        <v>51</v>
      </c>
      <c r="E123" s="21" t="s">
        <v>258</v>
      </c>
      <c r="F123" s="21" t="s">
        <v>264</v>
      </c>
      <c r="G123" s="22" t="n">
        <v>44166</v>
      </c>
      <c r="H123" s="21" t="s">
        <v>260</v>
      </c>
      <c r="I123" s="21" t="s">
        <v>261</v>
      </c>
      <c r="J123" s="21"/>
      <c r="K123" s="23" t="n">
        <v>144750</v>
      </c>
      <c r="L123" s="24"/>
      <c r="M123" s="21" t="s">
        <v>126</v>
      </c>
      <c r="N123" s="21" t="s">
        <v>113</v>
      </c>
      <c r="O123" s="25" t="n">
        <v>46053</v>
      </c>
      <c r="P123" s="26" t="n">
        <v>9683</v>
      </c>
      <c r="Q123" s="27" t="n">
        <f aca="false">IF(A123="","",SUMIF(Expenses!$B$2:$B$3000,A123,Expenses!$E$2:$E$3000))</f>
        <v>0</v>
      </c>
      <c r="R123" s="27" t="n">
        <f aca="false">IF(A123="","",N(P123)+N(Q123))</f>
        <v>9683</v>
      </c>
      <c r="S123" s="28"/>
      <c r="T123" s="25" t="n">
        <v>46093</v>
      </c>
      <c r="U123" s="26" t="n">
        <v>14500</v>
      </c>
      <c r="V123" s="26" t="n">
        <v>2711</v>
      </c>
      <c r="W123" s="26"/>
      <c r="X123" s="27" t="n">
        <f aca="false">IF(B123&lt;&gt;"SOLD","",IF(C123="Consignment",N(W123)-R123,N(U123)-R123-N(V123)))</f>
        <v>2106</v>
      </c>
      <c r="Y123" s="29" t="n">
        <f aca="false">IF(OR(X123="",N(R123)=0),"",X123/R123)</f>
        <v>0.217494578126614</v>
      </c>
      <c r="Z123" s="30" t="n">
        <f aca="true">IF(O123="","",IF(T123="",TODAY(),T123)-O123)</f>
        <v>40</v>
      </c>
      <c r="AA123" s="31" t="str">
        <f aca="false">IF(T123="","",TEXT(T123,"YYYY-MM"))</f>
        <v>2026-03</v>
      </c>
      <c r="AB123" s="27" t="n">
        <f aca="false">IF(X123="","",X123/2)</f>
        <v>1053</v>
      </c>
      <c r="AC123" s="21"/>
    </row>
    <row r="124" customFormat="false" ht="15" hidden="false" customHeight="false" outlineLevel="0" collapsed="false">
      <c r="A124" s="20" t="n">
        <v>124</v>
      </c>
      <c r="B124" s="21" t="s">
        <v>100</v>
      </c>
      <c r="C124" s="21" t="s">
        <v>101</v>
      </c>
      <c r="D124" s="21" t="s">
        <v>51</v>
      </c>
      <c r="E124" s="21" t="s">
        <v>265</v>
      </c>
      <c r="F124" s="21" t="s">
        <v>264</v>
      </c>
      <c r="G124" s="22" t="n">
        <v>44501</v>
      </c>
      <c r="H124" s="21" t="s">
        <v>266</v>
      </c>
      <c r="I124" s="21" t="s">
        <v>261</v>
      </c>
      <c r="J124" s="21"/>
      <c r="K124" s="23" t="n">
        <v>190400</v>
      </c>
      <c r="L124" s="24"/>
      <c r="M124" s="21" t="s">
        <v>126</v>
      </c>
      <c r="N124" s="21" t="s">
        <v>113</v>
      </c>
      <c r="O124" s="25" t="n">
        <v>46060</v>
      </c>
      <c r="P124" s="26" t="n">
        <v>11954</v>
      </c>
      <c r="Q124" s="27" t="n">
        <f aca="false">IF(A124="","",SUMIF(Expenses!$B$2:$B$3000,A124,Expenses!$E$2:$E$3000))</f>
        <v>0</v>
      </c>
      <c r="R124" s="27" t="n">
        <f aca="false">IF(A124="","",N(P124)+N(Q124))</f>
        <v>11954</v>
      </c>
      <c r="S124" s="28"/>
      <c r="T124" s="25" t="n">
        <v>46083</v>
      </c>
      <c r="U124" s="26" t="n">
        <v>16000</v>
      </c>
      <c r="V124" s="26" t="n">
        <v>2655</v>
      </c>
      <c r="W124" s="26"/>
      <c r="X124" s="27" t="n">
        <f aca="false">IF(B124&lt;&gt;"SOLD","",IF(C124="Consignment",N(W124)-R124,N(U124)-R124-N(V124)))</f>
        <v>1391</v>
      </c>
      <c r="Y124" s="29" t="n">
        <f aca="false">IF(OR(X124="",N(R124)=0),"",X124/R124)</f>
        <v>0.116362723774469</v>
      </c>
      <c r="Z124" s="30" t="n">
        <f aca="true">IF(O124="","",IF(T124="",TODAY(),T124)-O124)</f>
        <v>23</v>
      </c>
      <c r="AA124" s="31" t="str">
        <f aca="false">IF(T124="","",TEXT(T124,"YYYY-MM"))</f>
        <v>2026-03</v>
      </c>
      <c r="AB124" s="27" t="n">
        <f aca="false">IF(X124="","",X124/2)</f>
        <v>695.5</v>
      </c>
      <c r="AC124" s="21"/>
    </row>
    <row r="125" customFormat="false" ht="15" hidden="false" customHeight="false" outlineLevel="0" collapsed="false">
      <c r="A125" s="20" t="n">
        <v>125</v>
      </c>
      <c r="B125" s="21" t="s">
        <v>100</v>
      </c>
      <c r="C125" s="21" t="s">
        <v>101</v>
      </c>
      <c r="D125" s="21" t="s">
        <v>53</v>
      </c>
      <c r="E125" s="21" t="s">
        <v>175</v>
      </c>
      <c r="F125" s="21" t="s">
        <v>115</v>
      </c>
      <c r="G125" s="22" t="n">
        <v>44044</v>
      </c>
      <c r="H125" s="21" t="s">
        <v>267</v>
      </c>
      <c r="I125" s="21" t="s">
        <v>111</v>
      </c>
      <c r="J125" s="21"/>
      <c r="K125" s="23" t="n">
        <v>148635</v>
      </c>
      <c r="L125" s="24"/>
      <c r="M125" s="21" t="s">
        <v>112</v>
      </c>
      <c r="N125" s="21" t="s">
        <v>113</v>
      </c>
      <c r="O125" s="25" t="n">
        <v>46077</v>
      </c>
      <c r="P125" s="26" t="n">
        <v>7459</v>
      </c>
      <c r="Q125" s="27" t="n">
        <f aca="false">IF(A125="","",SUMIF(Expenses!$B$2:$B$3000,A125,Expenses!$E$2:$E$3000))</f>
        <v>0</v>
      </c>
      <c r="R125" s="27" t="n">
        <f aca="false">IF(A125="","",N(P125)+N(Q125))</f>
        <v>7459</v>
      </c>
      <c r="S125" s="28"/>
      <c r="T125" s="25" t="n">
        <v>46104</v>
      </c>
      <c r="U125" s="26" t="n">
        <v>12500</v>
      </c>
      <c r="V125" s="26" t="n">
        <v>2337</v>
      </c>
      <c r="W125" s="26"/>
      <c r="X125" s="27" t="n">
        <f aca="false">IF(B125&lt;&gt;"SOLD","",IF(C125="Consignment",N(W125)-R125,N(U125)-R125-N(V125)))</f>
        <v>2704</v>
      </c>
      <c r="Y125" s="29" t="n">
        <f aca="false">IF(OR(X125="",N(R125)=0),"",X125/R125)</f>
        <v>0.362515082450731</v>
      </c>
      <c r="Z125" s="30" t="n">
        <f aca="true">IF(O125="","",IF(T125="",TODAY(),T125)-O125)</f>
        <v>27</v>
      </c>
      <c r="AA125" s="31" t="str">
        <f aca="false">IF(T125="","",TEXT(T125,"YYYY-MM"))</f>
        <v>2026-03</v>
      </c>
      <c r="AB125" s="27" t="n">
        <f aca="false">IF(X125="","",X125/2)</f>
        <v>1352</v>
      </c>
      <c r="AC125" s="21"/>
    </row>
    <row r="126" customFormat="false" ht="15" hidden="false" customHeight="false" outlineLevel="0" collapsed="false">
      <c r="A126" s="20" t="n">
        <v>126</v>
      </c>
      <c r="B126" s="21" t="s">
        <v>130</v>
      </c>
      <c r="C126" s="21" t="s">
        <v>101</v>
      </c>
      <c r="D126" s="21" t="s">
        <v>51</v>
      </c>
      <c r="E126" s="21" t="s">
        <v>204</v>
      </c>
      <c r="F126" s="21" t="s">
        <v>190</v>
      </c>
      <c r="G126" s="22" t="n">
        <v>40878</v>
      </c>
      <c r="H126" s="21" t="s">
        <v>241</v>
      </c>
      <c r="I126" s="21" t="s">
        <v>111</v>
      </c>
      <c r="J126" s="21" t="s">
        <v>161</v>
      </c>
      <c r="K126" s="23" t="n">
        <v>191500</v>
      </c>
      <c r="L126" s="24"/>
      <c r="M126" s="21" t="s">
        <v>122</v>
      </c>
      <c r="N126" s="21" t="s">
        <v>107</v>
      </c>
      <c r="O126" s="25" t="n">
        <v>46081</v>
      </c>
      <c r="P126" s="26" t="n">
        <v>8800</v>
      </c>
      <c r="Q126" s="27" t="n">
        <f aca="false">IF(A126="","",SUMIF(Expenses!$B$2:$B$3000,A126,Expenses!$E$2:$E$3000))</f>
        <v>0</v>
      </c>
      <c r="R126" s="27" t="n">
        <f aca="false">IF(A126="","",N(P126)+N(Q126))</f>
        <v>8800</v>
      </c>
      <c r="S126" s="28"/>
      <c r="T126" s="25"/>
      <c r="U126" s="26"/>
      <c r="V126" s="26"/>
      <c r="W126" s="26"/>
      <c r="X126" s="27" t="str">
        <f aca="false">IF(B126&lt;&gt;"SOLD","",IF(C126="Consignment",N(W126)-R126,N(U126)-R126-N(V126)))</f>
        <v/>
      </c>
      <c r="Y126" s="29" t="str">
        <f aca="false">IF(OR(X126="",N(R126)=0),"",X126/R126)</f>
        <v/>
      </c>
      <c r="Z126" s="30" t="n">
        <f aca="true">IF(O126="","",IF(T126="",TODAY(),T126)-O126)</f>
        <v>221</v>
      </c>
      <c r="AA126" s="31" t="str">
        <f aca="false">IF(T126="","",TEXT(T126,"YYYY-MM"))</f>
        <v/>
      </c>
      <c r="AB126" s="27" t="str">
        <f aca="false">IF(X126="","",X126/2)</f>
        <v/>
      </c>
      <c r="AC126" s="21"/>
    </row>
    <row r="127" customFormat="false" ht="15" hidden="false" customHeight="false" outlineLevel="0" collapsed="false">
      <c r="A127" s="20" t="n">
        <v>127</v>
      </c>
      <c r="B127" s="21" t="s">
        <v>100</v>
      </c>
      <c r="C127" s="21" t="s">
        <v>101</v>
      </c>
      <c r="D127" s="21" t="s">
        <v>51</v>
      </c>
      <c r="E127" s="21" t="s">
        <v>265</v>
      </c>
      <c r="F127" s="21" t="s">
        <v>264</v>
      </c>
      <c r="G127" s="22" t="n">
        <v>44501</v>
      </c>
      <c r="H127" s="21" t="s">
        <v>266</v>
      </c>
      <c r="I127" s="21" t="s">
        <v>261</v>
      </c>
      <c r="J127" s="21"/>
      <c r="K127" s="23" t="n">
        <v>182740</v>
      </c>
      <c r="L127" s="24"/>
      <c r="M127" s="21" t="s">
        <v>126</v>
      </c>
      <c r="N127" s="21" t="s">
        <v>113</v>
      </c>
      <c r="O127" s="25" t="n">
        <v>46086</v>
      </c>
      <c r="P127" s="26" t="n">
        <v>12119</v>
      </c>
      <c r="Q127" s="27" t="n">
        <f aca="false">IF(A127="","",SUMIF(Expenses!$B$2:$B$3000,A127,Expenses!$E$2:$E$3000))</f>
        <v>0</v>
      </c>
      <c r="R127" s="27" t="n">
        <f aca="false">IF(A127="","",N(P127)+N(Q127))</f>
        <v>12119</v>
      </c>
      <c r="S127" s="28"/>
      <c r="T127" s="25" t="n">
        <v>46106</v>
      </c>
      <c r="U127" s="26" t="n">
        <v>16500</v>
      </c>
      <c r="V127" s="26" t="n">
        <v>2693</v>
      </c>
      <c r="W127" s="26"/>
      <c r="X127" s="27" t="n">
        <f aca="false">IF(B127&lt;&gt;"SOLD","",IF(C127="Consignment",N(W127)-R127,N(U127)-R127-N(V127)))</f>
        <v>1688</v>
      </c>
      <c r="Y127" s="29" t="n">
        <f aca="false">IF(OR(X127="",N(R127)=0),"",X127/R127)</f>
        <v>0.139285419589075</v>
      </c>
      <c r="Z127" s="30" t="n">
        <f aca="true">IF(O127="","",IF(T127="",TODAY(),T127)-O127)</f>
        <v>20</v>
      </c>
      <c r="AA127" s="31" t="str">
        <f aca="false">IF(T127="","",TEXT(T127,"YYYY-MM"))</f>
        <v>2026-03</v>
      </c>
      <c r="AB127" s="27" t="n">
        <f aca="false">IF(X127="","",X127/2)</f>
        <v>844</v>
      </c>
      <c r="AC127" s="21"/>
    </row>
    <row r="128" customFormat="false" ht="15" hidden="false" customHeight="false" outlineLevel="0" collapsed="false">
      <c r="A128" s="20" t="n">
        <v>128</v>
      </c>
      <c r="B128" s="21" t="s">
        <v>100</v>
      </c>
      <c r="C128" s="21" t="s">
        <v>101</v>
      </c>
      <c r="D128" s="21" t="s">
        <v>51</v>
      </c>
      <c r="E128" s="21" t="s">
        <v>127</v>
      </c>
      <c r="F128" s="21" t="s">
        <v>128</v>
      </c>
      <c r="G128" s="22" t="n">
        <v>43647</v>
      </c>
      <c r="H128" s="21" t="s">
        <v>116</v>
      </c>
      <c r="I128" s="21" t="s">
        <v>129</v>
      </c>
      <c r="J128" s="21"/>
      <c r="K128" s="23" t="n">
        <v>211500</v>
      </c>
      <c r="L128" s="24"/>
      <c r="M128" s="21" t="s">
        <v>122</v>
      </c>
      <c r="N128" s="21" t="s">
        <v>107</v>
      </c>
      <c r="O128" s="25" t="n">
        <v>46102</v>
      </c>
      <c r="P128" s="26" t="n">
        <v>12000</v>
      </c>
      <c r="Q128" s="27" t="n">
        <f aca="false">IF(A128="","",SUMIF(Expenses!$B$2:$B$3000,A128,Expenses!$E$2:$E$3000))</f>
        <v>0</v>
      </c>
      <c r="R128" s="27" t="n">
        <f aca="false">IF(A128="","",N(P128)+N(Q128))</f>
        <v>12000</v>
      </c>
      <c r="S128" s="28"/>
      <c r="T128" s="25" t="n">
        <v>46126</v>
      </c>
      <c r="U128" s="26" t="n">
        <v>13500</v>
      </c>
      <c r="V128" s="26" t="n">
        <v>0</v>
      </c>
      <c r="W128" s="26"/>
      <c r="X128" s="27" t="n">
        <f aca="false">IF(B128&lt;&gt;"SOLD","",IF(C128="Consignment",N(W128)-R128,N(U128)-R128-N(V128)))</f>
        <v>1500</v>
      </c>
      <c r="Y128" s="29" t="n">
        <f aca="false">IF(OR(X128="",N(R128)=0),"",X128/R128)</f>
        <v>0.125</v>
      </c>
      <c r="Z128" s="30" t="n">
        <f aca="true">IF(O128="","",IF(T128="",TODAY(),T128)-O128)</f>
        <v>24</v>
      </c>
      <c r="AA128" s="31" t="str">
        <f aca="false">IF(T128="","",TEXT(T128,"YYYY-MM"))</f>
        <v>2026-04</v>
      </c>
      <c r="AB128" s="27" t="n">
        <f aca="false">IF(X128="","",X128/2)</f>
        <v>750</v>
      </c>
      <c r="AC128" s="21"/>
    </row>
    <row r="129" customFormat="false" ht="15" hidden="false" customHeight="false" outlineLevel="0" collapsed="false">
      <c r="A129" s="20" t="n">
        <v>129</v>
      </c>
      <c r="B129" s="21" t="s">
        <v>100</v>
      </c>
      <c r="C129" s="21" t="s">
        <v>101</v>
      </c>
      <c r="D129" s="21" t="s">
        <v>51</v>
      </c>
      <c r="E129" s="21" t="s">
        <v>258</v>
      </c>
      <c r="F129" s="21" t="s">
        <v>264</v>
      </c>
      <c r="G129" s="22" t="n">
        <v>44166</v>
      </c>
      <c r="H129" s="21" t="s">
        <v>260</v>
      </c>
      <c r="I129" s="21" t="s">
        <v>261</v>
      </c>
      <c r="J129" s="21"/>
      <c r="K129" s="23" t="n">
        <v>105000</v>
      </c>
      <c r="L129" s="24"/>
      <c r="M129" s="21" t="s">
        <v>126</v>
      </c>
      <c r="N129" s="21" t="s">
        <v>113</v>
      </c>
      <c r="O129" s="25" t="n">
        <v>46100</v>
      </c>
      <c r="P129" s="26" t="n">
        <v>10449</v>
      </c>
      <c r="Q129" s="27" t="n">
        <f aca="false">IF(A129="","",SUMIF(Expenses!$B$2:$B$3000,A129,Expenses!$E$2:$E$3000))</f>
        <v>0</v>
      </c>
      <c r="R129" s="27" t="n">
        <f aca="false">IF(A129="","",N(P129)+N(Q129))</f>
        <v>10449</v>
      </c>
      <c r="S129" s="28"/>
      <c r="T129" s="25" t="n">
        <v>46127</v>
      </c>
      <c r="U129" s="26" t="n">
        <v>15700</v>
      </c>
      <c r="V129" s="26" t="n">
        <v>2431</v>
      </c>
      <c r="W129" s="26"/>
      <c r="X129" s="27" t="n">
        <f aca="false">IF(B129&lt;&gt;"SOLD","",IF(C129="Consignment",N(W129)-R129,N(U129)-R129-N(V129)))</f>
        <v>2820</v>
      </c>
      <c r="Y129" s="29" t="n">
        <f aca="false">IF(OR(X129="",N(R129)=0),"",X129/R129)</f>
        <v>0.269882285386161</v>
      </c>
      <c r="Z129" s="30" t="n">
        <f aca="true">IF(O129="","",IF(T129="",TODAY(),T129)-O129)</f>
        <v>27</v>
      </c>
      <c r="AA129" s="31" t="str">
        <f aca="false">IF(T129="","",TEXT(T129,"YYYY-MM"))</f>
        <v>2026-04</v>
      </c>
      <c r="AB129" s="27" t="n">
        <f aca="false">IF(X129="","",X129/2)</f>
        <v>1410</v>
      </c>
      <c r="AC129" s="21"/>
    </row>
    <row r="130" customFormat="false" ht="15" hidden="false" customHeight="false" outlineLevel="0" collapsed="false">
      <c r="A130" s="20" t="n">
        <v>130</v>
      </c>
      <c r="B130" s="21" t="s">
        <v>100</v>
      </c>
      <c r="C130" s="21" t="s">
        <v>101</v>
      </c>
      <c r="D130" s="21" t="s">
        <v>52</v>
      </c>
      <c r="E130" s="21" t="s">
        <v>134</v>
      </c>
      <c r="F130" s="21" t="s">
        <v>124</v>
      </c>
      <c r="G130" s="22" t="n">
        <v>42979</v>
      </c>
      <c r="H130" s="21" t="s">
        <v>135</v>
      </c>
      <c r="I130" s="21" t="s">
        <v>111</v>
      </c>
      <c r="J130" s="21"/>
      <c r="K130" s="23" t="n">
        <v>150200</v>
      </c>
      <c r="L130" s="24"/>
      <c r="M130" s="21" t="s">
        <v>112</v>
      </c>
      <c r="N130" s="21" t="s">
        <v>107</v>
      </c>
      <c r="O130" s="25" t="n">
        <v>46113</v>
      </c>
      <c r="P130" s="26" t="n">
        <v>7517</v>
      </c>
      <c r="Q130" s="27" t="n">
        <f aca="false">IF(A130="","",SUMIF(Expenses!$B$2:$B$3000,A130,Expenses!$E$2:$E$3000))</f>
        <v>0</v>
      </c>
      <c r="R130" s="27" t="n">
        <f aca="false">IF(A130="","",N(P130)+N(Q130))</f>
        <v>7517</v>
      </c>
      <c r="S130" s="28"/>
      <c r="T130" s="25" t="n">
        <v>46200</v>
      </c>
      <c r="U130" s="26" t="n">
        <v>9200</v>
      </c>
      <c r="V130" s="26" t="n">
        <v>366</v>
      </c>
      <c r="W130" s="26"/>
      <c r="X130" s="27" t="n">
        <f aca="false">IF(B130&lt;&gt;"SOLD","",IF(C130="Consignment",N(W130)-R130,N(U130)-R130-N(V130)))</f>
        <v>1317</v>
      </c>
      <c r="Y130" s="29" t="n">
        <f aca="false">IF(OR(X130="",N(R130)=0),"",X130/R130)</f>
        <v>0.175202873486763</v>
      </c>
      <c r="Z130" s="30" t="n">
        <f aca="true">IF(O130="","",IF(T130="",TODAY(),T130)-O130)</f>
        <v>87</v>
      </c>
      <c r="AA130" s="31" t="str">
        <f aca="false">IF(T130="","",TEXT(T130,"YYYY-MM"))</f>
        <v>2026-06</v>
      </c>
      <c r="AB130" s="27" t="n">
        <f aca="false">IF(X130="","",X130/2)</f>
        <v>658.5</v>
      </c>
      <c r="AC130" s="21"/>
    </row>
    <row r="131" customFormat="false" ht="15" hidden="false" customHeight="false" outlineLevel="0" collapsed="false">
      <c r="A131" s="20" t="n">
        <v>131</v>
      </c>
      <c r="B131" s="21" t="s">
        <v>130</v>
      </c>
      <c r="C131" s="21" t="s">
        <v>101</v>
      </c>
      <c r="D131" s="21" t="s">
        <v>53</v>
      </c>
      <c r="E131" s="21" t="s">
        <v>175</v>
      </c>
      <c r="F131" s="21" t="s">
        <v>144</v>
      </c>
      <c r="G131" s="22" t="n">
        <v>43556</v>
      </c>
      <c r="H131" s="21" t="s">
        <v>268</v>
      </c>
      <c r="I131" s="21" t="s">
        <v>129</v>
      </c>
      <c r="J131" s="21"/>
      <c r="K131" s="23" t="n">
        <v>152200</v>
      </c>
      <c r="L131" s="24"/>
      <c r="M131" s="21" t="s">
        <v>122</v>
      </c>
      <c r="N131" s="21" t="s">
        <v>107</v>
      </c>
      <c r="O131" s="25" t="n">
        <v>46120</v>
      </c>
      <c r="P131" s="26" t="n">
        <v>12197</v>
      </c>
      <c r="Q131" s="27" t="n">
        <f aca="false">IF(A131="","",SUMIF(Expenses!$B$2:$B$3000,A131,Expenses!$E$2:$E$3000))</f>
        <v>0</v>
      </c>
      <c r="R131" s="27" t="n">
        <f aca="false">IF(A131="","",N(P131)+N(Q131))</f>
        <v>12197</v>
      </c>
      <c r="S131" s="28"/>
      <c r="T131" s="25"/>
      <c r="U131" s="26"/>
      <c r="V131" s="26"/>
      <c r="W131" s="26"/>
      <c r="X131" s="27" t="str">
        <f aca="false">IF(B131&lt;&gt;"SOLD","",IF(C131="Consignment",N(W131)-R131,N(U131)-R131-N(V131)))</f>
        <v/>
      </c>
      <c r="Y131" s="29" t="str">
        <f aca="false">IF(OR(X131="",N(R131)=0),"",X131/R131)</f>
        <v/>
      </c>
      <c r="Z131" s="30" t="n">
        <f aca="true">IF(O131="","",IF(T131="",TODAY(),T131)-O131)</f>
        <v>182</v>
      </c>
      <c r="AA131" s="31" t="str">
        <f aca="false">IF(T131="","",TEXT(T131,"YYYY-MM"))</f>
        <v/>
      </c>
      <c r="AB131" s="27" t="str">
        <f aca="false">IF(X131="","",X131/2)</f>
        <v/>
      </c>
      <c r="AC131" s="21"/>
    </row>
    <row r="132" customFormat="false" ht="15" hidden="false" customHeight="false" outlineLevel="0" collapsed="false">
      <c r="A132" s="20" t="n">
        <v>132</v>
      </c>
      <c r="B132" s="21" t="s">
        <v>100</v>
      </c>
      <c r="C132" s="21" t="s">
        <v>101</v>
      </c>
      <c r="D132" s="21" t="s">
        <v>51</v>
      </c>
      <c r="E132" s="21" t="s">
        <v>172</v>
      </c>
      <c r="F132" s="21" t="s">
        <v>128</v>
      </c>
      <c r="G132" s="22" t="n">
        <v>42979</v>
      </c>
      <c r="H132" s="21" t="s">
        <v>116</v>
      </c>
      <c r="I132" s="21" t="s">
        <v>111</v>
      </c>
      <c r="J132" s="21"/>
      <c r="K132" s="23" t="n">
        <v>178300</v>
      </c>
      <c r="L132" s="24"/>
      <c r="M132" s="21" t="s">
        <v>122</v>
      </c>
      <c r="N132" s="21" t="s">
        <v>107</v>
      </c>
      <c r="O132" s="25" t="n">
        <v>46127</v>
      </c>
      <c r="P132" s="26" t="n">
        <v>10204</v>
      </c>
      <c r="Q132" s="27" t="n">
        <f aca="false">IF(A132="","",SUMIF(Expenses!$B$2:$B$3000,A132,Expenses!$E$2:$E$3000))</f>
        <v>0</v>
      </c>
      <c r="R132" s="27" t="n">
        <f aca="false">IF(A132="","",N(P132)+N(Q132))</f>
        <v>10204</v>
      </c>
      <c r="S132" s="28"/>
      <c r="T132" s="25" t="n">
        <v>46173</v>
      </c>
      <c r="U132" s="26" t="n">
        <v>13000</v>
      </c>
      <c r="V132" s="26" t="n">
        <v>591</v>
      </c>
      <c r="W132" s="26"/>
      <c r="X132" s="27" t="n">
        <f aca="false">IF(B132&lt;&gt;"SOLD","",IF(C132="Consignment",N(W132)-R132,N(U132)-R132-N(V132)))</f>
        <v>2205</v>
      </c>
      <c r="Y132" s="29" t="n">
        <f aca="false">IF(OR(X132="",N(R132)=0),"",X132/R132)</f>
        <v>0.21609172873383</v>
      </c>
      <c r="Z132" s="30" t="n">
        <f aca="true">IF(O132="","",IF(T132="",TODAY(),T132)-O132)</f>
        <v>46</v>
      </c>
      <c r="AA132" s="31" t="str">
        <f aca="false">IF(T132="","",TEXT(T132,"YYYY-MM"))</f>
        <v>2026-05</v>
      </c>
      <c r="AB132" s="27" t="n">
        <f aca="false">IF(X132="","",X132/2)</f>
        <v>1102.5</v>
      </c>
      <c r="AC132" s="21"/>
    </row>
    <row r="133" customFormat="false" ht="15" hidden="false" customHeight="false" outlineLevel="0" collapsed="false">
      <c r="A133" s="20" t="n">
        <v>133</v>
      </c>
      <c r="B133" s="21" t="s">
        <v>130</v>
      </c>
      <c r="C133" s="21" t="s">
        <v>101</v>
      </c>
      <c r="D133" s="21" t="s">
        <v>52</v>
      </c>
      <c r="E133" s="21" t="s">
        <v>134</v>
      </c>
      <c r="F133" s="21" t="s">
        <v>124</v>
      </c>
      <c r="G133" s="22" t="n">
        <v>43191</v>
      </c>
      <c r="H133" s="21" t="s">
        <v>164</v>
      </c>
      <c r="I133" s="21" t="s">
        <v>111</v>
      </c>
      <c r="J133" s="21"/>
      <c r="K133" s="23" t="n">
        <v>131500</v>
      </c>
      <c r="L133" s="24"/>
      <c r="M133" s="21" t="s">
        <v>122</v>
      </c>
      <c r="N133" s="21" t="s">
        <v>107</v>
      </c>
      <c r="O133" s="25" t="n">
        <v>46129</v>
      </c>
      <c r="P133" s="26" t="n">
        <v>10983</v>
      </c>
      <c r="Q133" s="27" t="n">
        <f aca="false">IF(A133="","",SUMIF(Expenses!$B$2:$B$3000,A133,Expenses!$E$2:$E$3000))</f>
        <v>0</v>
      </c>
      <c r="R133" s="27" t="n">
        <f aca="false">IF(A133="","",N(P133)+N(Q133))</f>
        <v>10983</v>
      </c>
      <c r="S133" s="28"/>
      <c r="T133" s="25"/>
      <c r="U133" s="26"/>
      <c r="V133" s="26"/>
      <c r="W133" s="26"/>
      <c r="X133" s="27" t="str">
        <f aca="false">IF(B133&lt;&gt;"SOLD","",IF(C133="Consignment",N(W133)-R133,N(U133)-R133-N(V133)))</f>
        <v/>
      </c>
      <c r="Y133" s="29" t="str">
        <f aca="false">IF(OR(X133="",N(R133)=0),"",X133/R133)</f>
        <v/>
      </c>
      <c r="Z133" s="30" t="n">
        <f aca="true">IF(O133="","",IF(T133="",TODAY(),T133)-O133)</f>
        <v>173</v>
      </c>
      <c r="AA133" s="31" t="str">
        <f aca="false">IF(T133="","",TEXT(T133,"YYYY-MM"))</f>
        <v/>
      </c>
      <c r="AB133" s="27" t="str">
        <f aca="false">IF(X133="","",X133/2)</f>
        <v/>
      </c>
      <c r="AC133" s="21"/>
    </row>
    <row r="134" customFormat="false" ht="15" hidden="false" customHeight="false" outlineLevel="0" collapsed="false">
      <c r="A134" s="20" t="n">
        <v>134</v>
      </c>
      <c r="B134" s="21" t="s">
        <v>100</v>
      </c>
      <c r="C134" s="21" t="s">
        <v>101</v>
      </c>
      <c r="D134" s="21" t="s">
        <v>51</v>
      </c>
      <c r="E134" s="21" t="s">
        <v>258</v>
      </c>
      <c r="F134" s="21" t="s">
        <v>259</v>
      </c>
      <c r="G134" s="22" t="n">
        <v>44105</v>
      </c>
      <c r="H134" s="21" t="s">
        <v>260</v>
      </c>
      <c r="I134" s="21" t="s">
        <v>261</v>
      </c>
      <c r="J134" s="21"/>
      <c r="K134" s="23" t="n">
        <v>156000</v>
      </c>
      <c r="L134" s="24"/>
      <c r="M134" s="21" t="s">
        <v>126</v>
      </c>
      <c r="N134" s="21" t="s">
        <v>107</v>
      </c>
      <c r="O134" s="25" t="n">
        <v>46133</v>
      </c>
      <c r="P134" s="26" t="n">
        <v>13350</v>
      </c>
      <c r="Q134" s="27" t="n">
        <f aca="false">IF(A134="","",SUMIF(Expenses!$B$2:$B$3000,A134,Expenses!$E$2:$E$3000))</f>
        <v>0</v>
      </c>
      <c r="R134" s="27" t="n">
        <f aca="false">IF(A134="","",N(P134)+N(Q134))</f>
        <v>13350</v>
      </c>
      <c r="S134" s="28"/>
      <c r="T134" s="25" t="n">
        <v>46181</v>
      </c>
      <c r="U134" s="26" t="n">
        <v>14750</v>
      </c>
      <c r="V134" s="26" t="n">
        <v>0</v>
      </c>
      <c r="W134" s="26"/>
      <c r="X134" s="27" t="n">
        <f aca="false">IF(B134&lt;&gt;"SOLD","",IF(C134="Consignment",N(W134)-R134,N(U134)-R134-N(V134)))</f>
        <v>1400</v>
      </c>
      <c r="Y134" s="29" t="n">
        <f aca="false">IF(OR(X134="",N(R134)=0),"",X134/R134)</f>
        <v>0.104868913857678</v>
      </c>
      <c r="Z134" s="30" t="n">
        <f aca="true">IF(O134="","",IF(T134="",TODAY(),T134)-O134)</f>
        <v>48</v>
      </c>
      <c r="AA134" s="31" t="str">
        <f aca="false">IF(T134="","",TEXT(T134,"YYYY-MM"))</f>
        <v>2026-06</v>
      </c>
      <c r="AB134" s="27" t="n">
        <f aca="false">IF(X134="","",X134/2)</f>
        <v>700</v>
      </c>
      <c r="AC134" s="21"/>
    </row>
    <row r="135" customFormat="false" ht="15" hidden="false" customHeight="false" outlineLevel="0" collapsed="false">
      <c r="A135" s="20" t="n">
        <v>135</v>
      </c>
      <c r="B135" s="21" t="s">
        <v>100</v>
      </c>
      <c r="C135" s="21" t="s">
        <v>101</v>
      </c>
      <c r="D135" s="21" t="s">
        <v>51</v>
      </c>
      <c r="E135" s="21" t="s">
        <v>258</v>
      </c>
      <c r="F135" s="21" t="s">
        <v>259</v>
      </c>
      <c r="G135" s="22" t="n">
        <v>44166</v>
      </c>
      <c r="H135" s="21" t="s">
        <v>260</v>
      </c>
      <c r="I135" s="21" t="s">
        <v>261</v>
      </c>
      <c r="J135" s="21"/>
      <c r="K135" s="23" t="n">
        <v>142000</v>
      </c>
      <c r="L135" s="24"/>
      <c r="M135" s="21" t="s">
        <v>126</v>
      </c>
      <c r="N135" s="21" t="s">
        <v>107</v>
      </c>
      <c r="O135" s="25" t="n">
        <v>46141</v>
      </c>
      <c r="P135" s="26" t="n">
        <v>13810</v>
      </c>
      <c r="Q135" s="27" t="n">
        <f aca="false">IF(A135="","",SUMIF(Expenses!$B$2:$B$3000,A135,Expenses!$E$2:$E$3000))</f>
        <v>0</v>
      </c>
      <c r="R135" s="27" t="n">
        <f aca="false">IF(A135="","",N(P135)+N(Q135))</f>
        <v>13810</v>
      </c>
      <c r="S135" s="28"/>
      <c r="T135" s="25" t="n">
        <v>46184</v>
      </c>
      <c r="U135" s="26" t="n">
        <v>15500</v>
      </c>
      <c r="V135" s="26" t="n">
        <v>0</v>
      </c>
      <c r="W135" s="26"/>
      <c r="X135" s="27" t="n">
        <f aca="false">IF(B135&lt;&gt;"SOLD","",IF(C135="Consignment",N(W135)-R135,N(U135)-R135-N(V135)))</f>
        <v>1690</v>
      </c>
      <c r="Y135" s="29" t="n">
        <f aca="false">IF(OR(X135="",N(R135)=0),"",X135/R135)</f>
        <v>0.12237509051412</v>
      </c>
      <c r="Z135" s="30" t="n">
        <f aca="true">IF(O135="","",IF(T135="",TODAY(),T135)-O135)</f>
        <v>43</v>
      </c>
      <c r="AA135" s="31" t="str">
        <f aca="false">IF(T135="","",TEXT(T135,"YYYY-MM"))</f>
        <v>2026-06</v>
      </c>
      <c r="AB135" s="27" t="n">
        <f aca="false">IF(X135="","",X135/2)</f>
        <v>845</v>
      </c>
      <c r="AC135" s="21"/>
    </row>
    <row r="136" customFormat="false" ht="15" hidden="false" customHeight="false" outlineLevel="0" collapsed="false">
      <c r="A136" s="20" t="n">
        <v>136</v>
      </c>
      <c r="B136" s="21" t="s">
        <v>100</v>
      </c>
      <c r="C136" s="21" t="s">
        <v>101</v>
      </c>
      <c r="D136" s="21" t="s">
        <v>51</v>
      </c>
      <c r="E136" s="21" t="s">
        <v>127</v>
      </c>
      <c r="F136" s="21" t="s">
        <v>128</v>
      </c>
      <c r="G136" s="22" t="n">
        <v>42491</v>
      </c>
      <c r="H136" s="21" t="s">
        <v>116</v>
      </c>
      <c r="I136" s="21" t="s">
        <v>111</v>
      </c>
      <c r="J136" s="21"/>
      <c r="K136" s="23" t="n">
        <v>143800</v>
      </c>
      <c r="L136" s="24"/>
      <c r="M136" s="21" t="s">
        <v>122</v>
      </c>
      <c r="N136" s="21" t="s">
        <v>107</v>
      </c>
      <c r="O136" s="25" t="n">
        <v>46143</v>
      </c>
      <c r="P136" s="26" t="n">
        <v>12652.5</v>
      </c>
      <c r="Q136" s="27" t="n">
        <f aca="false">IF(A136="","",SUMIF(Expenses!$B$2:$B$3000,A136,Expenses!$E$2:$E$3000))</f>
        <v>0</v>
      </c>
      <c r="R136" s="27" t="n">
        <f aca="false">IF(A136="","",N(P136)+N(Q136))</f>
        <v>12652.5</v>
      </c>
      <c r="S136" s="28"/>
      <c r="T136" s="25" t="n">
        <v>46192</v>
      </c>
      <c r="U136" s="26" t="n">
        <v>14300</v>
      </c>
      <c r="V136" s="26" t="n">
        <v>354.5</v>
      </c>
      <c r="W136" s="26"/>
      <c r="X136" s="27" t="n">
        <f aca="false">IF(B136&lt;&gt;"SOLD","",IF(C136="Consignment",N(W136)-R136,N(U136)-R136-N(V136)))</f>
        <v>1293</v>
      </c>
      <c r="Y136" s="29" t="n">
        <f aca="false">IF(OR(X136="",N(R136)=0),"",X136/R136)</f>
        <v>0.102193242442205</v>
      </c>
      <c r="Z136" s="30" t="n">
        <f aca="true">IF(O136="","",IF(T136="",TODAY(),T136)-O136)</f>
        <v>49</v>
      </c>
      <c r="AA136" s="31" t="str">
        <f aca="false">IF(T136="","",TEXT(T136,"YYYY-MM"))</f>
        <v>2026-06</v>
      </c>
      <c r="AB136" s="27" t="n">
        <f aca="false">IF(X136="","",X136/2)</f>
        <v>646.5</v>
      </c>
      <c r="AC136" s="21"/>
    </row>
    <row r="137" customFormat="false" ht="15" hidden="false" customHeight="false" outlineLevel="0" collapsed="false">
      <c r="A137" s="20" t="n">
        <v>137</v>
      </c>
      <c r="B137" s="21" t="s">
        <v>130</v>
      </c>
      <c r="C137" s="21" t="s">
        <v>101</v>
      </c>
      <c r="D137" s="21" t="s">
        <v>57</v>
      </c>
      <c r="E137" s="21" t="s">
        <v>181</v>
      </c>
      <c r="F137" s="21" t="s">
        <v>256</v>
      </c>
      <c r="G137" s="22" t="n">
        <v>42461</v>
      </c>
      <c r="H137" s="21" t="s">
        <v>269</v>
      </c>
      <c r="I137" s="21" t="s">
        <v>111</v>
      </c>
      <c r="J137" s="21"/>
      <c r="K137" s="23" t="n">
        <v>175000</v>
      </c>
      <c r="L137" s="24"/>
      <c r="M137" s="21" t="s">
        <v>122</v>
      </c>
      <c r="N137" s="21" t="s">
        <v>107</v>
      </c>
      <c r="O137" s="25" t="n">
        <v>46174</v>
      </c>
      <c r="P137" s="26" t="n">
        <v>6157</v>
      </c>
      <c r="Q137" s="27" t="n">
        <f aca="false">IF(A137="","",SUMIF(Expenses!$B$2:$B$3000,A137,Expenses!$E$2:$E$3000))</f>
        <v>0</v>
      </c>
      <c r="R137" s="27" t="n">
        <f aca="false">IF(A137="","",N(P137)+N(Q137))</f>
        <v>6157</v>
      </c>
      <c r="S137" s="28"/>
      <c r="T137" s="25"/>
      <c r="U137" s="26"/>
      <c r="V137" s="26"/>
      <c r="W137" s="26"/>
      <c r="X137" s="27" t="str">
        <f aca="false">IF(B137&lt;&gt;"SOLD","",IF(C137="Consignment",N(W137)-R137,N(U137)-R137-N(V137)))</f>
        <v/>
      </c>
      <c r="Y137" s="29" t="str">
        <f aca="false">IF(OR(X137="",N(R137)=0),"",X137/R137)</f>
        <v/>
      </c>
      <c r="Z137" s="30" t="n">
        <f aca="true">IF(O137="","",IF(T137="",TODAY(),T137)-O137)</f>
        <v>128</v>
      </c>
      <c r="AA137" s="31" t="str">
        <f aca="false">IF(T137="","",TEXT(T137,"YYYY-MM"))</f>
        <v/>
      </c>
      <c r="AB137" s="27" t="str">
        <f aca="false">IF(X137="","",X137/2)</f>
        <v/>
      </c>
      <c r="AC137" s="21"/>
    </row>
    <row r="138" customFormat="false" ht="15" hidden="false" customHeight="false" outlineLevel="0" collapsed="false">
      <c r="A138" s="20" t="n">
        <v>138</v>
      </c>
      <c r="B138" s="21" t="s">
        <v>130</v>
      </c>
      <c r="C138" s="21" t="s">
        <v>101</v>
      </c>
      <c r="D138" s="21" t="s">
        <v>53</v>
      </c>
      <c r="E138" s="21" t="s">
        <v>145</v>
      </c>
      <c r="F138" s="21" t="s">
        <v>115</v>
      </c>
      <c r="G138" s="22" t="n">
        <v>42948</v>
      </c>
      <c r="H138" s="21" t="s">
        <v>174</v>
      </c>
      <c r="I138" s="21" t="s">
        <v>111</v>
      </c>
      <c r="J138" s="21"/>
      <c r="K138" s="23" t="n">
        <v>184260</v>
      </c>
      <c r="L138" s="24"/>
      <c r="M138" s="21" t="s">
        <v>173</v>
      </c>
      <c r="N138" s="21" t="s">
        <v>107</v>
      </c>
      <c r="O138" s="25" t="n">
        <v>46174</v>
      </c>
      <c r="P138" s="26" t="n">
        <v>9174</v>
      </c>
      <c r="Q138" s="27" t="n">
        <f aca="false">IF(A138="","",SUMIF(Expenses!$B$2:$B$3000,A138,Expenses!$E$2:$E$3000))</f>
        <v>0</v>
      </c>
      <c r="R138" s="27" t="n">
        <f aca="false">IF(A138="","",N(P138)+N(Q138))</f>
        <v>9174</v>
      </c>
      <c r="S138" s="28"/>
      <c r="T138" s="25"/>
      <c r="U138" s="26"/>
      <c r="V138" s="26"/>
      <c r="W138" s="26"/>
      <c r="X138" s="27" t="str">
        <f aca="false">IF(B138&lt;&gt;"SOLD","",IF(C138="Consignment",N(W138)-R138,N(U138)-R138-N(V138)))</f>
        <v/>
      </c>
      <c r="Y138" s="29" t="str">
        <f aca="false">IF(OR(X138="",N(R138)=0),"",X138/R138)</f>
        <v/>
      </c>
      <c r="Z138" s="30" t="n">
        <f aca="true">IF(O138="","",IF(T138="",TODAY(),T138)-O138)</f>
        <v>128</v>
      </c>
      <c r="AA138" s="31" t="str">
        <f aca="false">IF(T138="","",TEXT(T138,"YYYY-MM"))</f>
        <v/>
      </c>
      <c r="AB138" s="27" t="str">
        <f aca="false">IF(X138="","",X138/2)</f>
        <v/>
      </c>
      <c r="AC138" s="21"/>
    </row>
    <row r="139" customFormat="false" ht="15" hidden="false" customHeight="false" outlineLevel="0" collapsed="false">
      <c r="A139" s="20" t="n">
        <v>139</v>
      </c>
      <c r="B139" s="21" t="s">
        <v>130</v>
      </c>
      <c r="C139" s="21" t="s">
        <v>101</v>
      </c>
      <c r="D139" s="21" t="s">
        <v>52</v>
      </c>
      <c r="E139" s="21" t="s">
        <v>212</v>
      </c>
      <c r="F139" s="21" t="s">
        <v>115</v>
      </c>
      <c r="G139" s="22" t="n">
        <v>43617</v>
      </c>
      <c r="H139" s="21" t="s">
        <v>116</v>
      </c>
      <c r="I139" s="21" t="s">
        <v>111</v>
      </c>
      <c r="J139" s="21"/>
      <c r="K139" s="23" t="n">
        <v>167000</v>
      </c>
      <c r="L139" s="24"/>
      <c r="M139" s="21" t="s">
        <v>148</v>
      </c>
      <c r="N139" s="21" t="s">
        <v>107</v>
      </c>
      <c r="O139" s="25" t="n">
        <v>46184</v>
      </c>
      <c r="P139" s="26" t="n">
        <v>13030</v>
      </c>
      <c r="Q139" s="27" t="n">
        <f aca="false">IF(A139="","",SUMIF(Expenses!$B$2:$B$3000,A139,Expenses!$E$2:$E$3000))</f>
        <v>0</v>
      </c>
      <c r="R139" s="27" t="n">
        <f aca="false">IF(A139="","",N(P139)+N(Q139))</f>
        <v>13030</v>
      </c>
      <c r="S139" s="28"/>
      <c r="T139" s="25"/>
      <c r="U139" s="26"/>
      <c r="V139" s="26"/>
      <c r="W139" s="26"/>
      <c r="X139" s="27" t="str">
        <f aca="false">IF(B139&lt;&gt;"SOLD","",IF(C139="Consignment",N(W139)-R139,N(U139)-R139-N(V139)))</f>
        <v/>
      </c>
      <c r="Y139" s="29" t="str">
        <f aca="false">IF(OR(X139="",N(R139)=0),"",X139/R139)</f>
        <v/>
      </c>
      <c r="Z139" s="30" t="n">
        <f aca="true">IF(O139="","",IF(T139="",TODAY(),T139)-O139)</f>
        <v>118</v>
      </c>
      <c r="AA139" s="31" t="str">
        <f aca="false">IF(T139="","",TEXT(T139,"YYYY-MM"))</f>
        <v/>
      </c>
      <c r="AB139" s="27" t="str">
        <f aca="false">IF(X139="","",X139/2)</f>
        <v/>
      </c>
      <c r="AC139" s="21"/>
    </row>
    <row r="140" customFormat="false" ht="15" hidden="false" customHeight="false" outlineLevel="0" collapsed="false">
      <c r="A140" s="20" t="n">
        <v>140</v>
      </c>
      <c r="B140" s="21" t="s">
        <v>130</v>
      </c>
      <c r="C140" s="21" t="s">
        <v>101</v>
      </c>
      <c r="D140" s="21" t="s">
        <v>53</v>
      </c>
      <c r="E140" s="21" t="s">
        <v>175</v>
      </c>
      <c r="F140" s="21" t="s">
        <v>115</v>
      </c>
      <c r="G140" s="22" t="n">
        <v>43405</v>
      </c>
      <c r="H140" s="21" t="s">
        <v>267</v>
      </c>
      <c r="I140" s="21" t="s">
        <v>111</v>
      </c>
      <c r="J140" s="21"/>
      <c r="K140" s="23" t="n">
        <v>143000</v>
      </c>
      <c r="L140" s="24"/>
      <c r="M140" s="21" t="s">
        <v>148</v>
      </c>
      <c r="N140" s="21" t="s">
        <v>107</v>
      </c>
      <c r="O140" s="25" t="n">
        <v>46184</v>
      </c>
      <c r="P140" s="26" t="n">
        <v>8726</v>
      </c>
      <c r="Q140" s="27" t="n">
        <f aca="false">IF(A140="","",SUMIF(Expenses!$B$2:$B$3000,A140,Expenses!$E$2:$E$3000))</f>
        <v>0</v>
      </c>
      <c r="R140" s="27" t="n">
        <f aca="false">IF(A140="","",N(P140)+N(Q140))</f>
        <v>8726</v>
      </c>
      <c r="S140" s="28"/>
      <c r="T140" s="25"/>
      <c r="U140" s="26"/>
      <c r="V140" s="26"/>
      <c r="W140" s="26"/>
      <c r="X140" s="27" t="str">
        <f aca="false">IF(B140&lt;&gt;"SOLD","",IF(C140="Consignment",N(W140)-R140,N(U140)-R140-N(V140)))</f>
        <v/>
      </c>
      <c r="Y140" s="29" t="str">
        <f aca="false">IF(OR(X140="",N(R140)=0),"",X140/R140)</f>
        <v/>
      </c>
      <c r="Z140" s="30" t="n">
        <f aca="true">IF(O140="","",IF(T140="",TODAY(),T140)-O140)</f>
        <v>118</v>
      </c>
      <c r="AA140" s="31" t="str">
        <f aca="false">IF(T140="","",TEXT(T140,"YYYY-MM"))</f>
        <v/>
      </c>
      <c r="AB140" s="27" t="str">
        <f aca="false">IF(X140="","",X140/2)</f>
        <v/>
      </c>
      <c r="AC140" s="21"/>
    </row>
    <row r="141" customFormat="false" ht="15" hidden="false" customHeight="false" outlineLevel="0" collapsed="false">
      <c r="A141" s="20" t="n">
        <v>141</v>
      </c>
      <c r="B141" s="21" t="s">
        <v>130</v>
      </c>
      <c r="C141" s="21" t="s">
        <v>101</v>
      </c>
      <c r="D141" s="21" t="s">
        <v>53</v>
      </c>
      <c r="E141" s="21" t="s">
        <v>145</v>
      </c>
      <c r="F141" s="21" t="s">
        <v>230</v>
      </c>
      <c r="G141" s="22" t="n">
        <v>42887</v>
      </c>
      <c r="H141" s="21" t="s">
        <v>270</v>
      </c>
      <c r="I141" s="21" t="s">
        <v>111</v>
      </c>
      <c r="J141" s="21" t="s">
        <v>161</v>
      </c>
      <c r="K141" s="23" t="n">
        <v>183000</v>
      </c>
      <c r="L141" s="24"/>
      <c r="M141" s="21" t="s">
        <v>122</v>
      </c>
      <c r="N141" s="21" t="s">
        <v>107</v>
      </c>
      <c r="O141" s="25" t="n">
        <v>46185</v>
      </c>
      <c r="P141" s="26" t="n">
        <v>11765</v>
      </c>
      <c r="Q141" s="27" t="n">
        <f aca="false">IF(A141="","",SUMIF(Expenses!$B$2:$B$3000,A141,Expenses!$E$2:$E$3000))</f>
        <v>0</v>
      </c>
      <c r="R141" s="27" t="n">
        <f aca="false">IF(A141="","",N(P141)+N(Q141))</f>
        <v>11765</v>
      </c>
      <c r="S141" s="28"/>
      <c r="T141" s="25"/>
      <c r="U141" s="26"/>
      <c r="V141" s="26"/>
      <c r="W141" s="26"/>
      <c r="X141" s="27" t="str">
        <f aca="false">IF(B141&lt;&gt;"SOLD","",IF(C141="Consignment",N(W141)-R141,N(U141)-R141-N(V141)))</f>
        <v/>
      </c>
      <c r="Y141" s="29" t="str">
        <f aca="false">IF(OR(X141="",N(R141)=0),"",X141/R141)</f>
        <v/>
      </c>
      <c r="Z141" s="30" t="n">
        <f aca="true">IF(O141="","",IF(T141="",TODAY(),T141)-O141)</f>
        <v>117</v>
      </c>
      <c r="AA141" s="31" t="str">
        <f aca="false">IF(T141="","",TEXT(T141,"YYYY-MM"))</f>
        <v/>
      </c>
      <c r="AB141" s="27" t="str">
        <f aca="false">IF(X141="","",X141/2)</f>
        <v/>
      </c>
      <c r="AC141" s="21"/>
    </row>
    <row r="142" customFormat="false" ht="15" hidden="false" customHeight="false" outlineLevel="0" collapsed="false">
      <c r="A142" s="20" t="n">
        <v>142</v>
      </c>
      <c r="B142" s="21" t="s">
        <v>130</v>
      </c>
      <c r="C142" s="21" t="s">
        <v>201</v>
      </c>
      <c r="D142" s="21" t="s">
        <v>55</v>
      </c>
      <c r="E142" s="21" t="s">
        <v>271</v>
      </c>
      <c r="F142" s="21"/>
      <c r="G142" s="22" t="n">
        <v>44986</v>
      </c>
      <c r="H142" s="21" t="s">
        <v>272</v>
      </c>
      <c r="I142" s="21" t="s">
        <v>156</v>
      </c>
      <c r="J142" s="21" t="s">
        <v>161</v>
      </c>
      <c r="K142" s="23" t="n">
        <v>7860</v>
      </c>
      <c r="L142" s="24"/>
      <c r="M142" s="21" t="s">
        <v>122</v>
      </c>
      <c r="N142" s="21" t="s">
        <v>113</v>
      </c>
      <c r="O142" s="25" t="n">
        <v>46190</v>
      </c>
      <c r="P142" s="26" t="n">
        <v>60</v>
      </c>
      <c r="Q142" s="27" t="n">
        <f aca="false">IF(A142="","",SUMIF(Expenses!$B$2:$B$3000,A142,Expenses!$E$2:$E$3000))</f>
        <v>0</v>
      </c>
      <c r="R142" s="27" t="n">
        <f aca="false">IF(A142="","",N(P142)+N(Q142))</f>
        <v>60</v>
      </c>
      <c r="S142" s="28"/>
      <c r="T142" s="25"/>
      <c r="U142" s="26"/>
      <c r="V142" s="26"/>
      <c r="W142" s="26"/>
      <c r="X142" s="27" t="str">
        <f aca="false">IF(B142&lt;&gt;"SOLD","",IF(C142="Consignment",N(W142)-R142,N(U142)-R142-N(V142)))</f>
        <v/>
      </c>
      <c r="Y142" s="29" t="str">
        <f aca="false">IF(OR(X142="",N(R142)=0),"",X142/R142)</f>
        <v/>
      </c>
      <c r="Z142" s="30" t="n">
        <f aca="true">IF(O142="","",IF(T142="",TODAY(),T142)-O142)</f>
        <v>112</v>
      </c>
      <c r="AA142" s="31" t="str">
        <f aca="false">IF(T142="","",TEXT(T142,"YYYY-MM"))</f>
        <v/>
      </c>
      <c r="AB142" s="27" t="str">
        <f aca="false">IF(X142="","",X142/2)</f>
        <v/>
      </c>
      <c r="AC142" s="21"/>
    </row>
    <row r="143" customFormat="false" ht="15" hidden="false" customHeight="false" outlineLevel="0" collapsed="false">
      <c r="A143" s="20" t="n">
        <v>143</v>
      </c>
      <c r="B143" s="21" t="s">
        <v>100</v>
      </c>
      <c r="C143" s="21" t="s">
        <v>101</v>
      </c>
      <c r="D143" s="21" t="s">
        <v>51</v>
      </c>
      <c r="E143" s="21" t="s">
        <v>127</v>
      </c>
      <c r="F143" s="21" t="s">
        <v>128</v>
      </c>
      <c r="G143" s="22" t="n">
        <v>42675</v>
      </c>
      <c r="H143" s="21" t="s">
        <v>143</v>
      </c>
      <c r="I143" s="21" t="s">
        <v>111</v>
      </c>
      <c r="J143" s="21"/>
      <c r="K143" s="23" t="n">
        <v>162750</v>
      </c>
      <c r="L143" s="24"/>
      <c r="M143" s="21" t="s">
        <v>148</v>
      </c>
      <c r="N143" s="21" t="s">
        <v>107</v>
      </c>
      <c r="O143" s="25" t="n">
        <v>46197</v>
      </c>
      <c r="P143" s="26" t="n">
        <v>10987.5</v>
      </c>
      <c r="Q143" s="27" t="n">
        <f aca="false">IF(A143="","",SUMIF(Expenses!$B$2:$B$3000,A143,Expenses!$E$2:$E$3000))</f>
        <v>0</v>
      </c>
      <c r="R143" s="27" t="n">
        <f aca="false">IF(A143="","",N(P143)+N(Q143))</f>
        <v>10987.5</v>
      </c>
      <c r="S143" s="28"/>
      <c r="T143" s="25" t="n">
        <v>46228</v>
      </c>
      <c r="U143" s="26" t="n">
        <v>13500</v>
      </c>
      <c r="V143" s="26" t="n">
        <v>490.5</v>
      </c>
      <c r="W143" s="26"/>
      <c r="X143" s="27" t="n">
        <f aca="false">IF(B143&lt;&gt;"SOLD","",IF(C143="Consignment",N(W143)-R143,N(U143)-R143-N(V143)))</f>
        <v>2022</v>
      </c>
      <c r="Y143" s="29" t="n">
        <f aca="false">IF(OR(X143="",N(R143)=0),"",X143/R143)</f>
        <v>0.184027303754266</v>
      </c>
      <c r="Z143" s="30" t="n">
        <f aca="true">IF(O143="","",IF(T143="",TODAY(),T143)-O143)</f>
        <v>31</v>
      </c>
      <c r="AA143" s="31" t="str">
        <f aca="false">IF(T143="","",TEXT(T143,"YYYY-MM"))</f>
        <v>2026-07</v>
      </c>
      <c r="AB143" s="27" t="n">
        <f aca="false">IF(X143="","",X143/2)</f>
        <v>1011</v>
      </c>
      <c r="AC143" s="21"/>
    </row>
    <row r="144" customFormat="false" ht="15" hidden="false" customHeight="false" outlineLevel="0" collapsed="false">
      <c r="A144" s="20" t="n">
        <v>144</v>
      </c>
      <c r="B144" s="21" t="s">
        <v>130</v>
      </c>
      <c r="C144" s="21" t="s">
        <v>201</v>
      </c>
      <c r="D144" s="21" t="s">
        <v>55</v>
      </c>
      <c r="E144" s="21" t="s">
        <v>273</v>
      </c>
      <c r="F144" s="21" t="s">
        <v>179</v>
      </c>
      <c r="G144" s="22" t="n">
        <v>44105</v>
      </c>
      <c r="H144" s="21" t="s">
        <v>274</v>
      </c>
      <c r="I144" s="21" t="s">
        <v>275</v>
      </c>
      <c r="J144" s="21"/>
      <c r="K144" s="23" t="n">
        <v>41825</v>
      </c>
      <c r="L144" s="24"/>
      <c r="M144" s="21" t="s">
        <v>250</v>
      </c>
      <c r="N144" s="21" t="s">
        <v>107</v>
      </c>
      <c r="O144" s="25" t="n">
        <v>46190</v>
      </c>
      <c r="P144" s="26" t="n">
        <v>83</v>
      </c>
      <c r="Q144" s="27" t="n">
        <f aca="false">IF(A144="","",SUMIF(Expenses!$B$2:$B$3000,A144,Expenses!$E$2:$E$3000))</f>
        <v>0</v>
      </c>
      <c r="R144" s="27" t="n">
        <f aca="false">IF(A144="","",N(P144)+N(Q144))</f>
        <v>83</v>
      </c>
      <c r="S144" s="28"/>
      <c r="T144" s="25"/>
      <c r="U144" s="26"/>
      <c r="V144" s="26"/>
      <c r="W144" s="26"/>
      <c r="X144" s="27" t="str">
        <f aca="false">IF(B144&lt;&gt;"SOLD","",IF(C144="Consignment",N(W144)-R144,N(U144)-R144-N(V144)))</f>
        <v/>
      </c>
      <c r="Y144" s="29" t="str">
        <f aca="false">IF(OR(X144="",N(R144)=0),"",X144/R144)</f>
        <v/>
      </c>
      <c r="Z144" s="30" t="n">
        <f aca="true">IF(O144="","",IF(T144="",TODAY(),T144)-O144)</f>
        <v>112</v>
      </c>
      <c r="AA144" s="31" t="str">
        <f aca="false">IF(T144="","",TEXT(T144,"YYYY-MM"))</f>
        <v/>
      </c>
      <c r="AB144" s="27" t="str">
        <f aca="false">IF(X144="","",X144/2)</f>
        <v/>
      </c>
      <c r="AC144" s="21"/>
    </row>
    <row r="145" customFormat="false" ht="15" hidden="false" customHeight="false" outlineLevel="0" collapsed="false">
      <c r="A145" s="20" t="n">
        <v>145</v>
      </c>
      <c r="B145" s="21" t="s">
        <v>130</v>
      </c>
      <c r="C145" s="21" t="s">
        <v>101</v>
      </c>
      <c r="D145" s="21" t="s">
        <v>51</v>
      </c>
      <c r="E145" s="21" t="s">
        <v>163</v>
      </c>
      <c r="F145" s="21" t="s">
        <v>276</v>
      </c>
      <c r="G145" s="22" t="n">
        <v>42644</v>
      </c>
      <c r="H145" s="21" t="s">
        <v>277</v>
      </c>
      <c r="I145" s="21" t="s">
        <v>117</v>
      </c>
      <c r="J145" s="21"/>
      <c r="K145" s="23" t="n">
        <v>189562</v>
      </c>
      <c r="L145" s="24"/>
      <c r="M145" s="21" t="s">
        <v>148</v>
      </c>
      <c r="N145" s="21" t="s">
        <v>113</v>
      </c>
      <c r="O145" s="25" t="n">
        <v>46204</v>
      </c>
      <c r="P145" s="26" t="n">
        <v>6109</v>
      </c>
      <c r="Q145" s="27" t="n">
        <f aca="false">IF(A145="","",SUMIF(Expenses!$B$2:$B$3000,A145,Expenses!$E$2:$E$3000))</f>
        <v>0</v>
      </c>
      <c r="R145" s="27" t="n">
        <f aca="false">IF(A145="","",N(P145)+N(Q145))</f>
        <v>6109</v>
      </c>
      <c r="S145" s="28"/>
      <c r="T145" s="25"/>
      <c r="U145" s="26"/>
      <c r="V145" s="26"/>
      <c r="W145" s="26"/>
      <c r="X145" s="27" t="str">
        <f aca="false">IF(B145&lt;&gt;"SOLD","",IF(C145="Consignment",N(W145)-R145,N(U145)-R145-N(V145)))</f>
        <v/>
      </c>
      <c r="Y145" s="29" t="str">
        <f aca="false">IF(OR(X145="",N(R145)=0),"",X145/R145)</f>
        <v/>
      </c>
      <c r="Z145" s="30" t="n">
        <f aca="true">IF(O145="","",IF(T145="",TODAY(),T145)-O145)</f>
        <v>98</v>
      </c>
      <c r="AA145" s="31" t="str">
        <f aca="false">IF(T145="","",TEXT(T145,"YYYY-MM"))</f>
        <v/>
      </c>
      <c r="AB145" s="27" t="str">
        <f aca="false">IF(X145="","",X145/2)</f>
        <v/>
      </c>
      <c r="AC145" s="21"/>
    </row>
    <row r="146" customFormat="false" ht="15" hidden="false" customHeight="false" outlineLevel="0" collapsed="false">
      <c r="A146" s="20" t="n">
        <v>146</v>
      </c>
      <c r="B146" s="21" t="s">
        <v>130</v>
      </c>
      <c r="C146" s="21" t="s">
        <v>101</v>
      </c>
      <c r="D146" s="21" t="s">
        <v>56</v>
      </c>
      <c r="E146" s="21" t="s">
        <v>278</v>
      </c>
      <c r="F146" s="21" t="s">
        <v>279</v>
      </c>
      <c r="G146" s="22" t="n">
        <v>42370</v>
      </c>
      <c r="H146" s="21" t="s">
        <v>280</v>
      </c>
      <c r="I146" s="21" t="s">
        <v>121</v>
      </c>
      <c r="J146" s="21"/>
      <c r="K146" s="23" t="n">
        <v>108500</v>
      </c>
      <c r="L146" s="24"/>
      <c r="M146" s="21" t="s">
        <v>148</v>
      </c>
      <c r="N146" s="21" t="s">
        <v>107</v>
      </c>
      <c r="O146" s="25" t="n">
        <v>46205</v>
      </c>
      <c r="P146" s="26" t="n">
        <v>10250</v>
      </c>
      <c r="Q146" s="27" t="n">
        <f aca="false">IF(A146="","",SUMIF(Expenses!$B$2:$B$3000,A146,Expenses!$E$2:$E$3000))</f>
        <v>0</v>
      </c>
      <c r="R146" s="27" t="n">
        <f aca="false">IF(A146="","",N(P146)+N(Q146))</f>
        <v>10250</v>
      </c>
      <c r="S146" s="28"/>
      <c r="T146" s="25"/>
      <c r="U146" s="26"/>
      <c r="V146" s="26"/>
      <c r="W146" s="26"/>
      <c r="X146" s="27" t="str">
        <f aca="false">IF(B146&lt;&gt;"SOLD","",IF(C146="Consignment",N(W146)-R146,N(U146)-R146-N(V146)))</f>
        <v/>
      </c>
      <c r="Y146" s="29" t="str">
        <f aca="false">IF(OR(X146="",N(R146)=0),"",X146/R146)</f>
        <v/>
      </c>
      <c r="Z146" s="30" t="n">
        <f aca="true">IF(O146="","",IF(T146="",TODAY(),T146)-O146)</f>
        <v>97</v>
      </c>
      <c r="AA146" s="31" t="str">
        <f aca="false">IF(T146="","",TEXT(T146,"YYYY-MM"))</f>
        <v/>
      </c>
      <c r="AB146" s="27" t="str">
        <f aca="false">IF(X146="","",X146/2)</f>
        <v/>
      </c>
      <c r="AC146" s="21"/>
    </row>
    <row r="147" customFormat="false" ht="15" hidden="false" customHeight="false" outlineLevel="0" collapsed="false">
      <c r="A147" s="20" t="n">
        <v>147</v>
      </c>
      <c r="B147" s="21" t="s">
        <v>100</v>
      </c>
      <c r="C147" s="21" t="s">
        <v>201</v>
      </c>
      <c r="D147" s="21" t="s">
        <v>54</v>
      </c>
      <c r="E147" s="21" t="s">
        <v>281</v>
      </c>
      <c r="F147" s="21" t="s">
        <v>282</v>
      </c>
      <c r="G147" s="22" t="n">
        <v>43770</v>
      </c>
      <c r="H147" s="21" t="s">
        <v>283</v>
      </c>
      <c r="I147" s="21" t="s">
        <v>152</v>
      </c>
      <c r="J147" s="21"/>
      <c r="K147" s="23" t="n">
        <v>185000</v>
      </c>
      <c r="L147" s="24"/>
      <c r="M147" s="21" t="s">
        <v>122</v>
      </c>
      <c r="N147" s="21" t="s">
        <v>113</v>
      </c>
      <c r="O147" s="25" t="n">
        <v>46210</v>
      </c>
      <c r="P147" s="26" t="n">
        <v>50</v>
      </c>
      <c r="Q147" s="27" t="n">
        <f aca="false">IF(A147="","",SUMIF(Expenses!$B$2:$B$3000,A147,Expenses!$E$2:$E$3000))</f>
        <v>0</v>
      </c>
      <c r="R147" s="27" t="n">
        <f aca="false">IF(A147="","",N(P147)+N(Q147))</f>
        <v>50</v>
      </c>
      <c r="S147" s="28"/>
      <c r="T147" s="25" t="n">
        <v>46225</v>
      </c>
      <c r="U147" s="26" t="n">
        <v>29990</v>
      </c>
      <c r="V147" s="26"/>
      <c r="W147" s="26" t="n">
        <v>1000</v>
      </c>
      <c r="X147" s="27" t="n">
        <f aca="false">IF(B147&lt;&gt;"SOLD","",IF(C147="Consignment",N(W147)-R147,N(U147)-R147-N(V147)))</f>
        <v>950</v>
      </c>
      <c r="Y147" s="29" t="n">
        <f aca="false">IF(OR(X147="",N(R147)=0),"",X147/R147)</f>
        <v>19</v>
      </c>
      <c r="Z147" s="30" t="n">
        <f aca="true">IF(O147="","",IF(T147="",TODAY(),T147)-O147)</f>
        <v>15</v>
      </c>
      <c r="AA147" s="31" t="str">
        <f aca="false">IF(T147="","",TEXT(T147,"YYYY-MM"))</f>
        <v>2026-07</v>
      </c>
      <c r="AB147" s="27" t="n">
        <f aca="false">IF(X147="","",X147/2)</f>
        <v>475</v>
      </c>
      <c r="AC147" s="21"/>
    </row>
    <row r="148" customFormat="false" ht="15" hidden="false" customHeight="false" outlineLevel="0" collapsed="false">
      <c r="A148" s="20" t="n">
        <v>148</v>
      </c>
      <c r="B148" s="21" t="s">
        <v>130</v>
      </c>
      <c r="C148" s="21" t="s">
        <v>101</v>
      </c>
      <c r="D148" s="21" t="s">
        <v>51</v>
      </c>
      <c r="E148" s="21" t="s">
        <v>163</v>
      </c>
      <c r="F148" s="21" t="s">
        <v>137</v>
      </c>
      <c r="G148" s="22" t="n">
        <v>42370</v>
      </c>
      <c r="H148" s="21" t="s">
        <v>270</v>
      </c>
      <c r="I148" s="21" t="s">
        <v>111</v>
      </c>
      <c r="J148" s="21" t="s">
        <v>161</v>
      </c>
      <c r="K148" s="23" t="n">
        <v>152280</v>
      </c>
      <c r="L148" s="24"/>
      <c r="M148" s="21" t="s">
        <v>122</v>
      </c>
      <c r="N148" s="21" t="s">
        <v>107</v>
      </c>
      <c r="O148" s="25" t="n">
        <v>46212</v>
      </c>
      <c r="P148" s="26" t="n">
        <v>9693.5</v>
      </c>
      <c r="Q148" s="27" t="n">
        <f aca="false">IF(A148="","",SUMIF(Expenses!$B$2:$B$3000,A148,Expenses!$E$2:$E$3000))</f>
        <v>0</v>
      </c>
      <c r="R148" s="27" t="n">
        <f aca="false">IF(A148="","",N(P148)+N(Q148))</f>
        <v>9693.5</v>
      </c>
      <c r="S148" s="28"/>
      <c r="T148" s="25"/>
      <c r="U148" s="26"/>
      <c r="V148" s="26"/>
      <c r="W148" s="26"/>
      <c r="X148" s="27" t="str">
        <f aca="false">IF(B148&lt;&gt;"SOLD","",IF(C148="Consignment",N(W148)-R148,N(U148)-R148-N(V148)))</f>
        <v/>
      </c>
      <c r="Y148" s="29" t="str">
        <f aca="false">IF(OR(X148="",N(R148)=0),"",X148/R148)</f>
        <v/>
      </c>
      <c r="Z148" s="30" t="n">
        <f aca="true">IF(O148="","",IF(T148="",TODAY(),T148)-O148)</f>
        <v>90</v>
      </c>
      <c r="AA148" s="31" t="str">
        <f aca="false">IF(T148="","",TEXT(T148,"YYYY-MM"))</f>
        <v/>
      </c>
      <c r="AB148" s="27" t="str">
        <f aca="false">IF(X148="","",X148/2)</f>
        <v/>
      </c>
      <c r="AC148" s="21"/>
    </row>
    <row r="149" customFormat="false" ht="15" hidden="false" customHeight="false" outlineLevel="0" collapsed="false">
      <c r="A149" s="20" t="n">
        <v>149</v>
      </c>
      <c r="B149" s="21" t="s">
        <v>130</v>
      </c>
      <c r="C149" s="21" t="s">
        <v>101</v>
      </c>
      <c r="D149" s="21" t="s">
        <v>51</v>
      </c>
      <c r="E149" s="21" t="s">
        <v>127</v>
      </c>
      <c r="F149" s="21" t="s">
        <v>128</v>
      </c>
      <c r="G149" s="22" t="n">
        <v>42522</v>
      </c>
      <c r="H149" s="21" t="s">
        <v>116</v>
      </c>
      <c r="I149" s="21" t="s">
        <v>111</v>
      </c>
      <c r="J149" s="21"/>
      <c r="K149" s="23" t="n">
        <v>177714</v>
      </c>
      <c r="L149" s="24"/>
      <c r="M149" s="21" t="s">
        <v>173</v>
      </c>
      <c r="N149" s="21" t="s">
        <v>107</v>
      </c>
      <c r="O149" s="25" t="n">
        <v>46220</v>
      </c>
      <c r="P149" s="26" t="n">
        <v>10305.56</v>
      </c>
      <c r="Q149" s="27" t="n">
        <f aca="false">IF(A149="","",SUMIF(Expenses!$B$2:$B$3000,A149,Expenses!$E$2:$E$3000))</f>
        <v>0</v>
      </c>
      <c r="R149" s="27" t="n">
        <f aca="false">IF(A149="","",N(P149)+N(Q149))</f>
        <v>10305.56</v>
      </c>
      <c r="S149" s="28"/>
      <c r="T149" s="25"/>
      <c r="U149" s="26"/>
      <c r="V149" s="26"/>
      <c r="W149" s="26"/>
      <c r="X149" s="27" t="str">
        <f aca="false">IF(B149&lt;&gt;"SOLD","",IF(C149="Consignment",N(W149)-R149,N(U149)-R149-N(V149)))</f>
        <v/>
      </c>
      <c r="Y149" s="29" t="str">
        <f aca="false">IF(OR(X149="",N(R149)=0),"",X149/R149)</f>
        <v/>
      </c>
      <c r="Z149" s="30" t="n">
        <f aca="true">IF(O149="","",IF(T149="",TODAY(),T149)-O149)</f>
        <v>82</v>
      </c>
      <c r="AA149" s="31" t="str">
        <f aca="false">IF(T149="","",TEXT(T149,"YYYY-MM"))</f>
        <v/>
      </c>
      <c r="AB149" s="27" t="str">
        <f aca="false">IF(X149="","",X149/2)</f>
        <v/>
      </c>
      <c r="AC149" s="21"/>
    </row>
    <row r="150" customFormat="false" ht="15" hidden="false" customHeight="false" outlineLevel="0" collapsed="false">
      <c r="A150" s="20"/>
      <c r="B150" s="21"/>
      <c r="C150" s="21"/>
      <c r="D150" s="21"/>
      <c r="E150" s="21"/>
      <c r="F150" s="21"/>
      <c r="G150" s="22"/>
      <c r="H150" s="21"/>
      <c r="I150" s="21"/>
      <c r="J150" s="21"/>
      <c r="K150" s="23"/>
      <c r="L150" s="24"/>
      <c r="M150" s="21"/>
      <c r="N150" s="21"/>
      <c r="O150" s="25"/>
      <c r="P150" s="26"/>
      <c r="Q150" s="27" t="str">
        <f aca="false">IF(A150="","",SUMIF(Expenses!$B$2:$B$3000,A150,Expenses!$E$2:$E$3000))</f>
        <v/>
      </c>
      <c r="R150" s="27" t="str">
        <f aca="false">IF(A150="","",N(P150)+N(Q150))</f>
        <v/>
      </c>
      <c r="S150" s="28"/>
      <c r="T150" s="25"/>
      <c r="U150" s="26"/>
      <c r="V150" s="26"/>
      <c r="W150" s="26"/>
      <c r="X150" s="27" t="str">
        <f aca="false">IF(B150&lt;&gt;"SOLD","",IF(C150="Consignment",N(W150)-R150,N(U150)-R150-N(V150)))</f>
        <v/>
      </c>
      <c r="Y150" s="29" t="str">
        <f aca="false">IF(OR(X150="",N(R150)=0),"",X150/R150)</f>
        <v/>
      </c>
      <c r="Z150" s="30" t="str">
        <f aca="true">IF(O150="","",IF(T150="",TODAY(),T150)-O150)</f>
        <v/>
      </c>
      <c r="AA150" s="31" t="str">
        <f aca="false">IF(T150="","",TEXT(T150,"YYYY-MM"))</f>
        <v/>
      </c>
      <c r="AB150" s="27" t="str">
        <f aca="false">IF(X150="","",X150/2)</f>
        <v/>
      </c>
      <c r="AC150" s="21"/>
    </row>
    <row r="151" customFormat="false" ht="15" hidden="false" customHeight="false" outlineLevel="0" collapsed="false">
      <c r="A151" s="20"/>
      <c r="B151" s="21"/>
      <c r="C151" s="21"/>
      <c r="D151" s="21"/>
      <c r="E151" s="21"/>
      <c r="F151" s="21"/>
      <c r="G151" s="22"/>
      <c r="H151" s="21"/>
      <c r="I151" s="21"/>
      <c r="J151" s="21"/>
      <c r="K151" s="23"/>
      <c r="L151" s="24"/>
      <c r="M151" s="21"/>
      <c r="N151" s="21"/>
      <c r="O151" s="25"/>
      <c r="P151" s="26"/>
      <c r="Q151" s="27" t="str">
        <f aca="false">IF(A151="","",SUMIF(Expenses!$B$2:$B$3000,A151,Expenses!$E$2:$E$3000))</f>
        <v/>
      </c>
      <c r="R151" s="27" t="str">
        <f aca="false">IF(A151="","",N(P151)+N(Q151))</f>
        <v/>
      </c>
      <c r="S151" s="28"/>
      <c r="T151" s="25"/>
      <c r="U151" s="26"/>
      <c r="V151" s="26"/>
      <c r="W151" s="26"/>
      <c r="X151" s="27" t="str">
        <f aca="false">IF(B151&lt;&gt;"SOLD","",IF(C151="Consignment",N(W151)-R151,N(U151)-R151-N(V151)))</f>
        <v/>
      </c>
      <c r="Y151" s="29" t="str">
        <f aca="false">IF(OR(X151="",N(R151)=0),"",X151/R151)</f>
        <v/>
      </c>
      <c r="Z151" s="30" t="str">
        <f aca="true">IF(O151="","",IF(T151="",TODAY(),T151)-O151)</f>
        <v/>
      </c>
      <c r="AA151" s="31" t="str">
        <f aca="false">IF(T151="","",TEXT(T151,"YYYY-MM"))</f>
        <v/>
      </c>
      <c r="AB151" s="27" t="str">
        <f aca="false">IF(X151="","",X151/2)</f>
        <v/>
      </c>
      <c r="AC151" s="21"/>
    </row>
    <row r="152" customFormat="false" ht="15" hidden="false" customHeight="false" outlineLevel="0" collapsed="false">
      <c r="A152" s="20"/>
      <c r="B152" s="21"/>
      <c r="C152" s="21"/>
      <c r="D152" s="21"/>
      <c r="E152" s="21"/>
      <c r="F152" s="21"/>
      <c r="G152" s="22"/>
      <c r="H152" s="21"/>
      <c r="I152" s="21"/>
      <c r="J152" s="21"/>
      <c r="K152" s="23"/>
      <c r="L152" s="24"/>
      <c r="M152" s="21"/>
      <c r="N152" s="21"/>
      <c r="O152" s="25"/>
      <c r="P152" s="26"/>
      <c r="Q152" s="27" t="str">
        <f aca="false">IF(A152="","",SUMIF(Expenses!$B$2:$B$3000,A152,Expenses!$E$2:$E$3000))</f>
        <v/>
      </c>
      <c r="R152" s="27" t="str">
        <f aca="false">IF(A152="","",N(P152)+N(Q152))</f>
        <v/>
      </c>
      <c r="S152" s="28"/>
      <c r="T152" s="25"/>
      <c r="U152" s="26"/>
      <c r="V152" s="26"/>
      <c r="W152" s="26"/>
      <c r="X152" s="27" t="str">
        <f aca="false">IF(B152&lt;&gt;"SOLD","",IF(C152="Consignment",N(W152)-R152,N(U152)-R152-N(V152)))</f>
        <v/>
      </c>
      <c r="Y152" s="29" t="str">
        <f aca="false">IF(OR(X152="",N(R152)=0),"",X152/R152)</f>
        <v/>
      </c>
      <c r="Z152" s="30" t="str">
        <f aca="true">IF(O152="","",IF(T152="",TODAY(),T152)-O152)</f>
        <v/>
      </c>
      <c r="AA152" s="31" t="str">
        <f aca="false">IF(T152="","",TEXT(T152,"YYYY-MM"))</f>
        <v/>
      </c>
      <c r="AB152" s="27" t="str">
        <f aca="false">IF(X152="","",X152/2)</f>
        <v/>
      </c>
      <c r="AC152" s="21"/>
    </row>
    <row r="153" customFormat="false" ht="15" hidden="false" customHeight="false" outlineLevel="0" collapsed="false">
      <c r="A153" s="20"/>
      <c r="B153" s="21"/>
      <c r="C153" s="21"/>
      <c r="D153" s="21"/>
      <c r="E153" s="21"/>
      <c r="F153" s="21"/>
      <c r="G153" s="22"/>
      <c r="H153" s="21"/>
      <c r="I153" s="21"/>
      <c r="J153" s="21"/>
      <c r="K153" s="23"/>
      <c r="L153" s="24"/>
      <c r="M153" s="21"/>
      <c r="N153" s="21"/>
      <c r="O153" s="25"/>
      <c r="P153" s="26"/>
      <c r="Q153" s="27" t="str">
        <f aca="false">IF(A153="","",SUMIF(Expenses!$B$2:$B$3000,A153,Expenses!$E$2:$E$3000))</f>
        <v/>
      </c>
      <c r="R153" s="27" t="str">
        <f aca="false">IF(A153="","",N(P153)+N(Q153))</f>
        <v/>
      </c>
      <c r="S153" s="28"/>
      <c r="T153" s="25"/>
      <c r="U153" s="26"/>
      <c r="V153" s="26"/>
      <c r="W153" s="26"/>
      <c r="X153" s="27" t="str">
        <f aca="false">IF(B153&lt;&gt;"SOLD","",IF(C153="Consignment",N(W153)-R153,N(U153)-R153-N(V153)))</f>
        <v/>
      </c>
      <c r="Y153" s="29" t="str">
        <f aca="false">IF(OR(X153="",N(R153)=0),"",X153/R153)</f>
        <v/>
      </c>
      <c r="Z153" s="30" t="str">
        <f aca="true">IF(O153="","",IF(T153="",TODAY(),T153)-O153)</f>
        <v/>
      </c>
      <c r="AA153" s="31" t="str">
        <f aca="false">IF(T153="","",TEXT(T153,"YYYY-MM"))</f>
        <v/>
      </c>
      <c r="AB153" s="27" t="str">
        <f aca="false">IF(X153="","",X153/2)</f>
        <v/>
      </c>
      <c r="AC153" s="21"/>
    </row>
    <row r="154" customFormat="false" ht="15" hidden="false" customHeight="false" outlineLevel="0" collapsed="false">
      <c r="A154" s="20"/>
      <c r="B154" s="21"/>
      <c r="C154" s="21"/>
      <c r="D154" s="21"/>
      <c r="E154" s="21"/>
      <c r="F154" s="21"/>
      <c r="G154" s="22"/>
      <c r="H154" s="21"/>
      <c r="I154" s="21"/>
      <c r="J154" s="21"/>
      <c r="K154" s="23"/>
      <c r="L154" s="24"/>
      <c r="M154" s="21"/>
      <c r="N154" s="21"/>
      <c r="O154" s="25"/>
      <c r="P154" s="26"/>
      <c r="Q154" s="27" t="str">
        <f aca="false">IF(A154="","",SUMIF(Expenses!$B$2:$B$3000,A154,Expenses!$E$2:$E$3000))</f>
        <v/>
      </c>
      <c r="R154" s="27" t="str">
        <f aca="false">IF(A154="","",N(P154)+N(Q154))</f>
        <v/>
      </c>
      <c r="S154" s="28"/>
      <c r="T154" s="25"/>
      <c r="U154" s="26"/>
      <c r="V154" s="26"/>
      <c r="W154" s="26"/>
      <c r="X154" s="27" t="str">
        <f aca="false">IF(B154&lt;&gt;"SOLD","",IF(C154="Consignment",N(W154)-R154,N(U154)-R154-N(V154)))</f>
        <v/>
      </c>
      <c r="Y154" s="29" t="str">
        <f aca="false">IF(OR(X154="",N(R154)=0),"",X154/R154)</f>
        <v/>
      </c>
      <c r="Z154" s="30" t="str">
        <f aca="true">IF(O154="","",IF(T154="",TODAY(),T154)-O154)</f>
        <v/>
      </c>
      <c r="AA154" s="31" t="str">
        <f aca="false">IF(T154="","",TEXT(T154,"YYYY-MM"))</f>
        <v/>
      </c>
      <c r="AB154" s="27" t="str">
        <f aca="false">IF(X154="","",X154/2)</f>
        <v/>
      </c>
      <c r="AC154" s="21"/>
    </row>
    <row r="155" customFormat="false" ht="15" hidden="false" customHeight="false" outlineLevel="0" collapsed="false">
      <c r="A155" s="20"/>
      <c r="B155" s="21"/>
      <c r="C155" s="21"/>
      <c r="D155" s="21"/>
      <c r="E155" s="21"/>
      <c r="F155" s="21"/>
      <c r="G155" s="22"/>
      <c r="H155" s="21"/>
      <c r="I155" s="21"/>
      <c r="J155" s="21"/>
      <c r="K155" s="23"/>
      <c r="L155" s="24"/>
      <c r="M155" s="21"/>
      <c r="N155" s="21"/>
      <c r="O155" s="25"/>
      <c r="P155" s="26"/>
      <c r="Q155" s="27" t="str">
        <f aca="false">IF(A155="","",SUMIF(Expenses!$B$2:$B$3000,A155,Expenses!$E$2:$E$3000))</f>
        <v/>
      </c>
      <c r="R155" s="27" t="str">
        <f aca="false">IF(A155="","",N(P155)+N(Q155))</f>
        <v/>
      </c>
      <c r="S155" s="28"/>
      <c r="T155" s="25"/>
      <c r="U155" s="26"/>
      <c r="V155" s="26"/>
      <c r="W155" s="26"/>
      <c r="X155" s="27" t="str">
        <f aca="false">IF(B155&lt;&gt;"SOLD","",IF(C155="Consignment",N(W155)-R155,N(U155)-R155-N(V155)))</f>
        <v/>
      </c>
      <c r="Y155" s="29" t="str">
        <f aca="false">IF(OR(X155="",N(R155)=0),"",X155/R155)</f>
        <v/>
      </c>
      <c r="Z155" s="30" t="str">
        <f aca="true">IF(O155="","",IF(T155="",TODAY(),T155)-O155)</f>
        <v/>
      </c>
      <c r="AA155" s="31" t="str">
        <f aca="false">IF(T155="","",TEXT(T155,"YYYY-MM"))</f>
        <v/>
      </c>
      <c r="AB155" s="27" t="str">
        <f aca="false">IF(X155="","",X155/2)</f>
        <v/>
      </c>
      <c r="AC155" s="21"/>
    </row>
    <row r="156" customFormat="false" ht="15" hidden="false" customHeight="false" outlineLevel="0" collapsed="false">
      <c r="A156" s="20"/>
      <c r="B156" s="21"/>
      <c r="C156" s="21"/>
      <c r="D156" s="21"/>
      <c r="E156" s="21"/>
      <c r="F156" s="21"/>
      <c r="G156" s="22"/>
      <c r="H156" s="21"/>
      <c r="I156" s="21"/>
      <c r="J156" s="21"/>
      <c r="K156" s="23"/>
      <c r="L156" s="24"/>
      <c r="M156" s="21"/>
      <c r="N156" s="21"/>
      <c r="O156" s="25"/>
      <c r="P156" s="26"/>
      <c r="Q156" s="27" t="str">
        <f aca="false">IF(A156="","",SUMIF(Expenses!$B$2:$B$3000,A156,Expenses!$E$2:$E$3000))</f>
        <v/>
      </c>
      <c r="R156" s="27" t="str">
        <f aca="false">IF(A156="","",N(P156)+N(Q156))</f>
        <v/>
      </c>
      <c r="S156" s="28"/>
      <c r="T156" s="25"/>
      <c r="U156" s="26"/>
      <c r="V156" s="26"/>
      <c r="W156" s="26"/>
      <c r="X156" s="27" t="str">
        <f aca="false">IF(B156&lt;&gt;"SOLD","",IF(C156="Consignment",N(W156)-R156,N(U156)-R156-N(V156)))</f>
        <v/>
      </c>
      <c r="Y156" s="29" t="str">
        <f aca="false">IF(OR(X156="",N(R156)=0),"",X156/R156)</f>
        <v/>
      </c>
      <c r="Z156" s="30" t="str">
        <f aca="true">IF(O156="","",IF(T156="",TODAY(),T156)-O156)</f>
        <v/>
      </c>
      <c r="AA156" s="31" t="str">
        <f aca="false">IF(T156="","",TEXT(T156,"YYYY-MM"))</f>
        <v/>
      </c>
      <c r="AB156" s="27" t="str">
        <f aca="false">IF(X156="","",X156/2)</f>
        <v/>
      </c>
      <c r="AC156" s="21"/>
    </row>
    <row r="157" customFormat="false" ht="15" hidden="false" customHeight="false" outlineLevel="0" collapsed="false">
      <c r="A157" s="20"/>
      <c r="B157" s="21"/>
      <c r="C157" s="21"/>
      <c r="D157" s="21"/>
      <c r="E157" s="21"/>
      <c r="F157" s="21"/>
      <c r="G157" s="22"/>
      <c r="H157" s="21"/>
      <c r="I157" s="21"/>
      <c r="J157" s="21"/>
      <c r="K157" s="23"/>
      <c r="L157" s="24"/>
      <c r="M157" s="21"/>
      <c r="N157" s="21"/>
      <c r="O157" s="25"/>
      <c r="P157" s="26"/>
      <c r="Q157" s="27" t="str">
        <f aca="false">IF(A157="","",SUMIF(Expenses!$B$2:$B$3000,A157,Expenses!$E$2:$E$3000))</f>
        <v/>
      </c>
      <c r="R157" s="27" t="str">
        <f aca="false">IF(A157="","",N(P157)+N(Q157))</f>
        <v/>
      </c>
      <c r="S157" s="28"/>
      <c r="T157" s="25"/>
      <c r="U157" s="26"/>
      <c r="V157" s="26"/>
      <c r="W157" s="26"/>
      <c r="X157" s="27" t="str">
        <f aca="false">IF(B157&lt;&gt;"SOLD","",IF(C157="Consignment",N(W157)-R157,N(U157)-R157-N(V157)))</f>
        <v/>
      </c>
      <c r="Y157" s="29" t="str">
        <f aca="false">IF(OR(X157="",N(R157)=0),"",X157/R157)</f>
        <v/>
      </c>
      <c r="Z157" s="30" t="str">
        <f aca="true">IF(O157="","",IF(T157="",TODAY(),T157)-O157)</f>
        <v/>
      </c>
      <c r="AA157" s="31" t="str">
        <f aca="false">IF(T157="","",TEXT(T157,"YYYY-MM"))</f>
        <v/>
      </c>
      <c r="AB157" s="27" t="str">
        <f aca="false">IF(X157="","",X157/2)</f>
        <v/>
      </c>
      <c r="AC157" s="21"/>
    </row>
    <row r="158" customFormat="false" ht="15" hidden="false" customHeight="false" outlineLevel="0" collapsed="false">
      <c r="A158" s="20"/>
      <c r="B158" s="21"/>
      <c r="C158" s="21"/>
      <c r="D158" s="21"/>
      <c r="E158" s="21"/>
      <c r="F158" s="21"/>
      <c r="G158" s="22"/>
      <c r="H158" s="21"/>
      <c r="I158" s="21"/>
      <c r="J158" s="21"/>
      <c r="K158" s="23"/>
      <c r="L158" s="24"/>
      <c r="M158" s="21"/>
      <c r="N158" s="21"/>
      <c r="O158" s="25"/>
      <c r="P158" s="26"/>
      <c r="Q158" s="27" t="str">
        <f aca="false">IF(A158="","",SUMIF(Expenses!$B$2:$B$3000,A158,Expenses!$E$2:$E$3000))</f>
        <v/>
      </c>
      <c r="R158" s="27" t="str">
        <f aca="false">IF(A158="","",N(P158)+N(Q158))</f>
        <v/>
      </c>
      <c r="S158" s="28"/>
      <c r="T158" s="25"/>
      <c r="U158" s="26"/>
      <c r="V158" s="26"/>
      <c r="W158" s="26"/>
      <c r="X158" s="27" t="str">
        <f aca="false">IF(B158&lt;&gt;"SOLD","",IF(C158="Consignment",N(W158)-R158,N(U158)-R158-N(V158)))</f>
        <v/>
      </c>
      <c r="Y158" s="29" t="str">
        <f aca="false">IF(OR(X158="",N(R158)=0),"",X158/R158)</f>
        <v/>
      </c>
      <c r="Z158" s="30" t="str">
        <f aca="true">IF(O158="","",IF(T158="",TODAY(),T158)-O158)</f>
        <v/>
      </c>
      <c r="AA158" s="31" t="str">
        <f aca="false">IF(T158="","",TEXT(T158,"YYYY-MM"))</f>
        <v/>
      </c>
      <c r="AB158" s="27" t="str">
        <f aca="false">IF(X158="","",X158/2)</f>
        <v/>
      </c>
      <c r="AC158" s="21"/>
    </row>
    <row r="159" customFormat="false" ht="15" hidden="false" customHeight="false" outlineLevel="0" collapsed="false">
      <c r="A159" s="20"/>
      <c r="B159" s="21"/>
      <c r="C159" s="21"/>
      <c r="D159" s="21"/>
      <c r="E159" s="21"/>
      <c r="F159" s="21"/>
      <c r="G159" s="22"/>
      <c r="H159" s="21"/>
      <c r="I159" s="21"/>
      <c r="J159" s="21"/>
      <c r="K159" s="23"/>
      <c r="L159" s="24"/>
      <c r="M159" s="21"/>
      <c r="N159" s="21"/>
      <c r="O159" s="25"/>
      <c r="P159" s="26"/>
      <c r="Q159" s="27" t="str">
        <f aca="false">IF(A159="","",SUMIF(Expenses!$B$2:$B$3000,A159,Expenses!$E$2:$E$3000))</f>
        <v/>
      </c>
      <c r="R159" s="27" t="str">
        <f aca="false">IF(A159="","",N(P159)+N(Q159))</f>
        <v/>
      </c>
      <c r="S159" s="28"/>
      <c r="T159" s="25"/>
      <c r="U159" s="26"/>
      <c r="V159" s="26"/>
      <c r="W159" s="26"/>
      <c r="X159" s="27" t="str">
        <f aca="false">IF(B159&lt;&gt;"SOLD","",IF(C159="Consignment",N(W159)-R159,N(U159)-R159-N(V159)))</f>
        <v/>
      </c>
      <c r="Y159" s="29" t="str">
        <f aca="false">IF(OR(X159="",N(R159)=0),"",X159/R159)</f>
        <v/>
      </c>
      <c r="Z159" s="30" t="str">
        <f aca="true">IF(O159="","",IF(T159="",TODAY(),T159)-O159)</f>
        <v/>
      </c>
      <c r="AA159" s="31" t="str">
        <f aca="false">IF(T159="","",TEXT(T159,"YYYY-MM"))</f>
        <v/>
      </c>
      <c r="AB159" s="27" t="str">
        <f aca="false">IF(X159="","",X159/2)</f>
        <v/>
      </c>
      <c r="AC159" s="21"/>
    </row>
    <row r="160" customFormat="false" ht="15" hidden="false" customHeight="false" outlineLevel="0" collapsed="false">
      <c r="A160" s="20"/>
      <c r="B160" s="21"/>
      <c r="C160" s="21"/>
      <c r="D160" s="21"/>
      <c r="E160" s="21"/>
      <c r="F160" s="21"/>
      <c r="G160" s="22"/>
      <c r="H160" s="21"/>
      <c r="I160" s="21"/>
      <c r="J160" s="21"/>
      <c r="K160" s="23"/>
      <c r="L160" s="24"/>
      <c r="M160" s="21"/>
      <c r="N160" s="21"/>
      <c r="O160" s="25"/>
      <c r="P160" s="26"/>
      <c r="Q160" s="27" t="str">
        <f aca="false">IF(A160="","",SUMIF(Expenses!$B$2:$B$3000,A160,Expenses!$E$2:$E$3000))</f>
        <v/>
      </c>
      <c r="R160" s="27" t="str">
        <f aca="false">IF(A160="","",N(P160)+N(Q160))</f>
        <v/>
      </c>
      <c r="S160" s="28"/>
      <c r="T160" s="25"/>
      <c r="U160" s="26"/>
      <c r="V160" s="26"/>
      <c r="W160" s="26"/>
      <c r="X160" s="27" t="str">
        <f aca="false">IF(B160&lt;&gt;"SOLD","",IF(C160="Consignment",N(W160)-R160,N(U160)-R160-N(V160)))</f>
        <v/>
      </c>
      <c r="Y160" s="29" t="str">
        <f aca="false">IF(OR(X160="",N(R160)=0),"",X160/R160)</f>
        <v/>
      </c>
      <c r="Z160" s="30" t="str">
        <f aca="true">IF(O160="","",IF(T160="",TODAY(),T160)-O160)</f>
        <v/>
      </c>
      <c r="AA160" s="31" t="str">
        <f aca="false">IF(T160="","",TEXT(T160,"YYYY-MM"))</f>
        <v/>
      </c>
      <c r="AB160" s="27" t="str">
        <f aca="false">IF(X160="","",X160/2)</f>
        <v/>
      </c>
      <c r="AC160" s="21"/>
    </row>
    <row r="161" customFormat="false" ht="15" hidden="false" customHeight="false" outlineLevel="0" collapsed="false">
      <c r="A161" s="20"/>
      <c r="B161" s="21"/>
      <c r="C161" s="21"/>
      <c r="D161" s="21"/>
      <c r="E161" s="21"/>
      <c r="F161" s="21"/>
      <c r="G161" s="22"/>
      <c r="H161" s="21"/>
      <c r="I161" s="21"/>
      <c r="J161" s="21"/>
      <c r="K161" s="23"/>
      <c r="L161" s="24"/>
      <c r="M161" s="21"/>
      <c r="N161" s="21"/>
      <c r="O161" s="25"/>
      <c r="P161" s="26"/>
      <c r="Q161" s="27" t="str">
        <f aca="false">IF(A161="","",SUMIF(Expenses!$B$2:$B$3000,A161,Expenses!$E$2:$E$3000))</f>
        <v/>
      </c>
      <c r="R161" s="27" t="str">
        <f aca="false">IF(A161="","",N(P161)+N(Q161))</f>
        <v/>
      </c>
      <c r="S161" s="28"/>
      <c r="T161" s="25"/>
      <c r="U161" s="26"/>
      <c r="V161" s="26"/>
      <c r="W161" s="26"/>
      <c r="X161" s="27" t="str">
        <f aca="false">IF(B161&lt;&gt;"SOLD","",IF(C161="Consignment",N(W161)-R161,N(U161)-R161-N(V161)))</f>
        <v/>
      </c>
      <c r="Y161" s="29" t="str">
        <f aca="false">IF(OR(X161="",N(R161)=0),"",X161/R161)</f>
        <v/>
      </c>
      <c r="Z161" s="30" t="str">
        <f aca="true">IF(O161="","",IF(T161="",TODAY(),T161)-O161)</f>
        <v/>
      </c>
      <c r="AA161" s="31" t="str">
        <f aca="false">IF(T161="","",TEXT(T161,"YYYY-MM"))</f>
        <v/>
      </c>
      <c r="AB161" s="27" t="str">
        <f aca="false">IF(X161="","",X161/2)</f>
        <v/>
      </c>
      <c r="AC161" s="21"/>
    </row>
    <row r="162" customFormat="false" ht="15" hidden="false" customHeight="false" outlineLevel="0" collapsed="false">
      <c r="A162" s="20"/>
      <c r="B162" s="21"/>
      <c r="C162" s="21"/>
      <c r="D162" s="21"/>
      <c r="E162" s="21"/>
      <c r="F162" s="21"/>
      <c r="G162" s="22"/>
      <c r="H162" s="21"/>
      <c r="I162" s="21"/>
      <c r="J162" s="21"/>
      <c r="K162" s="23"/>
      <c r="L162" s="24"/>
      <c r="M162" s="21"/>
      <c r="N162" s="21"/>
      <c r="O162" s="25"/>
      <c r="P162" s="26"/>
      <c r="Q162" s="27" t="str">
        <f aca="false">IF(A162="","",SUMIF(Expenses!$B$2:$B$3000,A162,Expenses!$E$2:$E$3000))</f>
        <v/>
      </c>
      <c r="R162" s="27" t="str">
        <f aca="false">IF(A162="","",N(P162)+N(Q162))</f>
        <v/>
      </c>
      <c r="S162" s="28"/>
      <c r="T162" s="25"/>
      <c r="U162" s="26"/>
      <c r="V162" s="26"/>
      <c r="W162" s="26"/>
      <c r="X162" s="27" t="str">
        <f aca="false">IF(B162&lt;&gt;"SOLD","",IF(C162="Consignment",N(W162)-R162,N(U162)-R162-N(V162)))</f>
        <v/>
      </c>
      <c r="Y162" s="29" t="str">
        <f aca="false">IF(OR(X162="",N(R162)=0),"",X162/R162)</f>
        <v/>
      </c>
      <c r="Z162" s="30" t="str">
        <f aca="true">IF(O162="","",IF(T162="",TODAY(),T162)-O162)</f>
        <v/>
      </c>
      <c r="AA162" s="31" t="str">
        <f aca="false">IF(T162="","",TEXT(T162,"YYYY-MM"))</f>
        <v/>
      </c>
      <c r="AB162" s="27" t="str">
        <f aca="false">IF(X162="","",X162/2)</f>
        <v/>
      </c>
      <c r="AC162" s="21"/>
    </row>
    <row r="163" customFormat="false" ht="15" hidden="false" customHeight="false" outlineLevel="0" collapsed="false">
      <c r="A163" s="20"/>
      <c r="B163" s="21"/>
      <c r="C163" s="21"/>
      <c r="D163" s="21"/>
      <c r="E163" s="21"/>
      <c r="F163" s="21"/>
      <c r="G163" s="22"/>
      <c r="H163" s="21"/>
      <c r="I163" s="21"/>
      <c r="J163" s="21"/>
      <c r="K163" s="23"/>
      <c r="L163" s="24"/>
      <c r="M163" s="21"/>
      <c r="N163" s="21"/>
      <c r="O163" s="25"/>
      <c r="P163" s="26"/>
      <c r="Q163" s="27" t="str">
        <f aca="false">IF(A163="","",SUMIF(Expenses!$B$2:$B$3000,A163,Expenses!$E$2:$E$3000))</f>
        <v/>
      </c>
      <c r="R163" s="27" t="str">
        <f aca="false">IF(A163="","",N(P163)+N(Q163))</f>
        <v/>
      </c>
      <c r="S163" s="28"/>
      <c r="T163" s="25"/>
      <c r="U163" s="26"/>
      <c r="V163" s="26"/>
      <c r="W163" s="26"/>
      <c r="X163" s="27" t="str">
        <f aca="false">IF(B163&lt;&gt;"SOLD","",IF(C163="Consignment",N(W163)-R163,N(U163)-R163-N(V163)))</f>
        <v/>
      </c>
      <c r="Y163" s="29" t="str">
        <f aca="false">IF(OR(X163="",N(R163)=0),"",X163/R163)</f>
        <v/>
      </c>
      <c r="Z163" s="30" t="str">
        <f aca="true">IF(O163="","",IF(T163="",TODAY(),T163)-O163)</f>
        <v/>
      </c>
      <c r="AA163" s="31" t="str">
        <f aca="false">IF(T163="","",TEXT(T163,"YYYY-MM"))</f>
        <v/>
      </c>
      <c r="AB163" s="27" t="str">
        <f aca="false">IF(X163="","",X163/2)</f>
        <v/>
      </c>
      <c r="AC163" s="21"/>
    </row>
    <row r="164" customFormat="false" ht="15" hidden="false" customHeight="false" outlineLevel="0" collapsed="false">
      <c r="A164" s="20"/>
      <c r="B164" s="21"/>
      <c r="C164" s="21"/>
      <c r="D164" s="21"/>
      <c r="E164" s="21"/>
      <c r="F164" s="21"/>
      <c r="G164" s="22"/>
      <c r="H164" s="21"/>
      <c r="I164" s="21"/>
      <c r="J164" s="21"/>
      <c r="K164" s="23"/>
      <c r="L164" s="24"/>
      <c r="M164" s="21"/>
      <c r="N164" s="21"/>
      <c r="O164" s="25"/>
      <c r="P164" s="26"/>
      <c r="Q164" s="27" t="str">
        <f aca="false">IF(A164="","",SUMIF(Expenses!$B$2:$B$3000,A164,Expenses!$E$2:$E$3000))</f>
        <v/>
      </c>
      <c r="R164" s="27" t="str">
        <f aca="false">IF(A164="","",N(P164)+N(Q164))</f>
        <v/>
      </c>
      <c r="S164" s="28"/>
      <c r="T164" s="25"/>
      <c r="U164" s="26"/>
      <c r="V164" s="26"/>
      <c r="W164" s="26"/>
      <c r="X164" s="27" t="str">
        <f aca="false">IF(B164&lt;&gt;"SOLD","",IF(C164="Consignment",N(W164)-R164,N(U164)-R164-N(V164)))</f>
        <v/>
      </c>
      <c r="Y164" s="29" t="str">
        <f aca="false">IF(OR(X164="",N(R164)=0),"",X164/R164)</f>
        <v/>
      </c>
      <c r="Z164" s="30" t="str">
        <f aca="true">IF(O164="","",IF(T164="",TODAY(),T164)-O164)</f>
        <v/>
      </c>
      <c r="AA164" s="31" t="str">
        <f aca="false">IF(T164="","",TEXT(T164,"YYYY-MM"))</f>
        <v/>
      </c>
      <c r="AB164" s="27" t="str">
        <f aca="false">IF(X164="","",X164/2)</f>
        <v/>
      </c>
      <c r="AC164" s="21"/>
    </row>
    <row r="165" customFormat="false" ht="15" hidden="false" customHeight="false" outlineLevel="0" collapsed="false">
      <c r="A165" s="20"/>
      <c r="B165" s="21"/>
      <c r="C165" s="21"/>
      <c r="D165" s="21"/>
      <c r="E165" s="21"/>
      <c r="F165" s="21"/>
      <c r="G165" s="22"/>
      <c r="H165" s="21"/>
      <c r="I165" s="21"/>
      <c r="J165" s="21"/>
      <c r="K165" s="23"/>
      <c r="L165" s="24"/>
      <c r="M165" s="21"/>
      <c r="N165" s="21"/>
      <c r="O165" s="25"/>
      <c r="P165" s="26"/>
      <c r="Q165" s="27" t="str">
        <f aca="false">IF(A165="","",SUMIF(Expenses!$B$2:$B$3000,A165,Expenses!$E$2:$E$3000))</f>
        <v/>
      </c>
      <c r="R165" s="27" t="str">
        <f aca="false">IF(A165="","",N(P165)+N(Q165))</f>
        <v/>
      </c>
      <c r="S165" s="28"/>
      <c r="T165" s="25"/>
      <c r="U165" s="26"/>
      <c r="V165" s="26"/>
      <c r="W165" s="26"/>
      <c r="X165" s="27" t="str">
        <f aca="false">IF(B165&lt;&gt;"SOLD","",IF(C165="Consignment",N(W165)-R165,N(U165)-R165-N(V165)))</f>
        <v/>
      </c>
      <c r="Y165" s="29" t="str">
        <f aca="false">IF(OR(X165="",N(R165)=0),"",X165/R165)</f>
        <v/>
      </c>
      <c r="Z165" s="30" t="str">
        <f aca="true">IF(O165="","",IF(T165="",TODAY(),T165)-O165)</f>
        <v/>
      </c>
      <c r="AA165" s="31" t="str">
        <f aca="false">IF(T165="","",TEXT(T165,"YYYY-MM"))</f>
        <v/>
      </c>
      <c r="AB165" s="27" t="str">
        <f aca="false">IF(X165="","",X165/2)</f>
        <v/>
      </c>
      <c r="AC165" s="21"/>
    </row>
    <row r="166" customFormat="false" ht="15" hidden="false" customHeight="false" outlineLevel="0" collapsed="false">
      <c r="A166" s="20"/>
      <c r="B166" s="21"/>
      <c r="C166" s="21"/>
      <c r="D166" s="21"/>
      <c r="E166" s="21"/>
      <c r="F166" s="21"/>
      <c r="G166" s="22"/>
      <c r="H166" s="21"/>
      <c r="I166" s="21"/>
      <c r="J166" s="21"/>
      <c r="K166" s="23"/>
      <c r="L166" s="24"/>
      <c r="M166" s="21"/>
      <c r="N166" s="21"/>
      <c r="O166" s="25"/>
      <c r="P166" s="26"/>
      <c r="Q166" s="27" t="str">
        <f aca="false">IF(A166="","",SUMIF(Expenses!$B$2:$B$3000,A166,Expenses!$E$2:$E$3000))</f>
        <v/>
      </c>
      <c r="R166" s="27" t="str">
        <f aca="false">IF(A166="","",N(P166)+N(Q166))</f>
        <v/>
      </c>
      <c r="S166" s="28"/>
      <c r="T166" s="25"/>
      <c r="U166" s="26"/>
      <c r="V166" s="26"/>
      <c r="W166" s="26"/>
      <c r="X166" s="27" t="str">
        <f aca="false">IF(B166&lt;&gt;"SOLD","",IF(C166="Consignment",N(W166)-R166,N(U166)-R166-N(V166)))</f>
        <v/>
      </c>
      <c r="Y166" s="29" t="str">
        <f aca="false">IF(OR(X166="",N(R166)=0),"",X166/R166)</f>
        <v/>
      </c>
      <c r="Z166" s="30" t="str">
        <f aca="true">IF(O166="","",IF(T166="",TODAY(),T166)-O166)</f>
        <v/>
      </c>
      <c r="AA166" s="31" t="str">
        <f aca="false">IF(T166="","",TEXT(T166,"YYYY-MM"))</f>
        <v/>
      </c>
      <c r="AB166" s="27" t="str">
        <f aca="false">IF(X166="","",X166/2)</f>
        <v/>
      </c>
      <c r="AC166" s="21"/>
    </row>
    <row r="167" customFormat="false" ht="15" hidden="false" customHeight="false" outlineLevel="0" collapsed="false">
      <c r="A167" s="20"/>
      <c r="B167" s="21"/>
      <c r="C167" s="21"/>
      <c r="D167" s="21"/>
      <c r="E167" s="21"/>
      <c r="F167" s="21"/>
      <c r="G167" s="22"/>
      <c r="H167" s="21"/>
      <c r="I167" s="21"/>
      <c r="J167" s="21"/>
      <c r="K167" s="23"/>
      <c r="L167" s="24"/>
      <c r="M167" s="21"/>
      <c r="N167" s="21"/>
      <c r="O167" s="25"/>
      <c r="P167" s="26"/>
      <c r="Q167" s="27" t="str">
        <f aca="false">IF(A167="","",SUMIF(Expenses!$B$2:$B$3000,A167,Expenses!$E$2:$E$3000))</f>
        <v/>
      </c>
      <c r="R167" s="27" t="str">
        <f aca="false">IF(A167="","",N(P167)+N(Q167))</f>
        <v/>
      </c>
      <c r="S167" s="28"/>
      <c r="T167" s="25"/>
      <c r="U167" s="26"/>
      <c r="V167" s="26"/>
      <c r="W167" s="26"/>
      <c r="X167" s="27" t="str">
        <f aca="false">IF(B167&lt;&gt;"SOLD","",IF(C167="Consignment",N(W167)-R167,N(U167)-R167-N(V167)))</f>
        <v/>
      </c>
      <c r="Y167" s="29" t="str">
        <f aca="false">IF(OR(X167="",N(R167)=0),"",X167/R167)</f>
        <v/>
      </c>
      <c r="Z167" s="30" t="str">
        <f aca="true">IF(O167="","",IF(T167="",TODAY(),T167)-O167)</f>
        <v/>
      </c>
      <c r="AA167" s="31" t="str">
        <f aca="false">IF(T167="","",TEXT(T167,"YYYY-MM"))</f>
        <v/>
      </c>
      <c r="AB167" s="27" t="str">
        <f aca="false">IF(X167="","",X167/2)</f>
        <v/>
      </c>
      <c r="AC167" s="21"/>
    </row>
    <row r="168" customFormat="false" ht="15" hidden="false" customHeight="false" outlineLevel="0" collapsed="false">
      <c r="A168" s="20"/>
      <c r="B168" s="21"/>
      <c r="C168" s="21"/>
      <c r="D168" s="21"/>
      <c r="E168" s="21"/>
      <c r="F168" s="21"/>
      <c r="G168" s="22"/>
      <c r="H168" s="21"/>
      <c r="I168" s="21"/>
      <c r="J168" s="21"/>
      <c r="K168" s="23"/>
      <c r="L168" s="24"/>
      <c r="M168" s="21"/>
      <c r="N168" s="21"/>
      <c r="O168" s="25"/>
      <c r="P168" s="26"/>
      <c r="Q168" s="27" t="str">
        <f aca="false">IF(A168="","",SUMIF(Expenses!$B$2:$B$3000,A168,Expenses!$E$2:$E$3000))</f>
        <v/>
      </c>
      <c r="R168" s="27" t="str">
        <f aca="false">IF(A168="","",N(P168)+N(Q168))</f>
        <v/>
      </c>
      <c r="S168" s="28"/>
      <c r="T168" s="25"/>
      <c r="U168" s="26"/>
      <c r="V168" s="26"/>
      <c r="W168" s="26"/>
      <c r="X168" s="27" t="str">
        <f aca="false">IF(B168&lt;&gt;"SOLD","",IF(C168="Consignment",N(W168)-R168,N(U168)-R168-N(V168)))</f>
        <v/>
      </c>
      <c r="Y168" s="29" t="str">
        <f aca="false">IF(OR(X168="",N(R168)=0),"",X168/R168)</f>
        <v/>
      </c>
      <c r="Z168" s="30" t="str">
        <f aca="true">IF(O168="","",IF(T168="",TODAY(),T168)-O168)</f>
        <v/>
      </c>
      <c r="AA168" s="31" t="str">
        <f aca="false">IF(T168="","",TEXT(T168,"YYYY-MM"))</f>
        <v/>
      </c>
      <c r="AB168" s="27" t="str">
        <f aca="false">IF(X168="","",X168/2)</f>
        <v/>
      </c>
      <c r="AC168" s="21"/>
    </row>
    <row r="169" customFormat="false" ht="15" hidden="false" customHeight="false" outlineLevel="0" collapsed="false">
      <c r="A169" s="20"/>
      <c r="B169" s="21"/>
      <c r="C169" s="21"/>
      <c r="D169" s="21"/>
      <c r="E169" s="21"/>
      <c r="F169" s="21"/>
      <c r="G169" s="22"/>
      <c r="H169" s="21"/>
      <c r="I169" s="21"/>
      <c r="J169" s="21"/>
      <c r="K169" s="23"/>
      <c r="L169" s="24"/>
      <c r="M169" s="21"/>
      <c r="N169" s="21"/>
      <c r="O169" s="25"/>
      <c r="P169" s="26"/>
      <c r="Q169" s="27" t="str">
        <f aca="false">IF(A169="","",SUMIF(Expenses!$B$2:$B$3000,A169,Expenses!$E$2:$E$3000))</f>
        <v/>
      </c>
      <c r="R169" s="27" t="str">
        <f aca="false">IF(A169="","",N(P169)+N(Q169))</f>
        <v/>
      </c>
      <c r="S169" s="28"/>
      <c r="T169" s="25"/>
      <c r="U169" s="26"/>
      <c r="V169" s="26"/>
      <c r="W169" s="26"/>
      <c r="X169" s="27" t="str">
        <f aca="false">IF(B169&lt;&gt;"SOLD","",IF(C169="Consignment",N(W169)-R169,N(U169)-R169-N(V169)))</f>
        <v/>
      </c>
      <c r="Y169" s="29" t="str">
        <f aca="false">IF(OR(X169="",N(R169)=0),"",X169/R169)</f>
        <v/>
      </c>
      <c r="Z169" s="30" t="str">
        <f aca="true">IF(O169="","",IF(T169="",TODAY(),T169)-O169)</f>
        <v/>
      </c>
      <c r="AA169" s="31" t="str">
        <f aca="false">IF(T169="","",TEXT(T169,"YYYY-MM"))</f>
        <v/>
      </c>
      <c r="AB169" s="27" t="str">
        <f aca="false">IF(X169="","",X169/2)</f>
        <v/>
      </c>
      <c r="AC169" s="21"/>
    </row>
    <row r="170" customFormat="false" ht="15" hidden="false" customHeight="false" outlineLevel="0" collapsed="false">
      <c r="A170" s="20"/>
      <c r="B170" s="21"/>
      <c r="C170" s="21"/>
      <c r="D170" s="21"/>
      <c r="E170" s="21"/>
      <c r="F170" s="21"/>
      <c r="G170" s="22"/>
      <c r="H170" s="21"/>
      <c r="I170" s="21"/>
      <c r="J170" s="21"/>
      <c r="K170" s="23"/>
      <c r="L170" s="24"/>
      <c r="M170" s="21"/>
      <c r="N170" s="21"/>
      <c r="O170" s="25"/>
      <c r="P170" s="26"/>
      <c r="Q170" s="27" t="str">
        <f aca="false">IF(A170="","",SUMIF(Expenses!$B$2:$B$3000,A170,Expenses!$E$2:$E$3000))</f>
        <v/>
      </c>
      <c r="R170" s="27" t="str">
        <f aca="false">IF(A170="","",N(P170)+N(Q170))</f>
        <v/>
      </c>
      <c r="S170" s="28"/>
      <c r="T170" s="25"/>
      <c r="U170" s="26"/>
      <c r="V170" s="26"/>
      <c r="W170" s="26"/>
      <c r="X170" s="27" t="str">
        <f aca="false">IF(B170&lt;&gt;"SOLD","",IF(C170="Consignment",N(W170)-R170,N(U170)-R170-N(V170)))</f>
        <v/>
      </c>
      <c r="Y170" s="29" t="str">
        <f aca="false">IF(OR(X170="",N(R170)=0),"",X170/R170)</f>
        <v/>
      </c>
      <c r="Z170" s="30" t="str">
        <f aca="true">IF(O170="","",IF(T170="",TODAY(),T170)-O170)</f>
        <v/>
      </c>
      <c r="AA170" s="31" t="str">
        <f aca="false">IF(T170="","",TEXT(T170,"YYYY-MM"))</f>
        <v/>
      </c>
      <c r="AB170" s="27" t="str">
        <f aca="false">IF(X170="","",X170/2)</f>
        <v/>
      </c>
      <c r="AC170" s="21"/>
    </row>
    <row r="171" customFormat="false" ht="15" hidden="false" customHeight="false" outlineLevel="0" collapsed="false">
      <c r="A171" s="20"/>
      <c r="B171" s="21"/>
      <c r="C171" s="21"/>
      <c r="D171" s="21"/>
      <c r="E171" s="21"/>
      <c r="F171" s="21"/>
      <c r="G171" s="22"/>
      <c r="H171" s="21"/>
      <c r="I171" s="21"/>
      <c r="J171" s="21"/>
      <c r="K171" s="23"/>
      <c r="L171" s="24"/>
      <c r="M171" s="21"/>
      <c r="N171" s="21"/>
      <c r="O171" s="25"/>
      <c r="P171" s="26"/>
      <c r="Q171" s="27" t="str">
        <f aca="false">IF(A171="","",SUMIF(Expenses!$B$2:$B$3000,A171,Expenses!$E$2:$E$3000))</f>
        <v/>
      </c>
      <c r="R171" s="27" t="str">
        <f aca="false">IF(A171="","",N(P171)+N(Q171))</f>
        <v/>
      </c>
      <c r="S171" s="28"/>
      <c r="T171" s="25"/>
      <c r="U171" s="26"/>
      <c r="V171" s="26"/>
      <c r="W171" s="26"/>
      <c r="X171" s="27" t="str">
        <f aca="false">IF(B171&lt;&gt;"SOLD","",IF(C171="Consignment",N(W171)-R171,N(U171)-R171-N(V171)))</f>
        <v/>
      </c>
      <c r="Y171" s="29" t="str">
        <f aca="false">IF(OR(X171="",N(R171)=0),"",X171/R171)</f>
        <v/>
      </c>
      <c r="Z171" s="30" t="str">
        <f aca="true">IF(O171="","",IF(T171="",TODAY(),T171)-O171)</f>
        <v/>
      </c>
      <c r="AA171" s="31" t="str">
        <f aca="false">IF(T171="","",TEXT(T171,"YYYY-MM"))</f>
        <v/>
      </c>
      <c r="AB171" s="27" t="str">
        <f aca="false">IF(X171="","",X171/2)</f>
        <v/>
      </c>
      <c r="AC171" s="21"/>
    </row>
    <row r="172" customFormat="false" ht="15" hidden="false" customHeight="false" outlineLevel="0" collapsed="false">
      <c r="A172" s="20"/>
      <c r="B172" s="21"/>
      <c r="C172" s="21"/>
      <c r="D172" s="21"/>
      <c r="E172" s="21"/>
      <c r="F172" s="21"/>
      <c r="G172" s="22"/>
      <c r="H172" s="21"/>
      <c r="I172" s="21"/>
      <c r="J172" s="21"/>
      <c r="K172" s="23"/>
      <c r="L172" s="24"/>
      <c r="M172" s="21"/>
      <c r="N172" s="21"/>
      <c r="O172" s="25"/>
      <c r="P172" s="26"/>
      <c r="Q172" s="27" t="str">
        <f aca="false">IF(A172="","",SUMIF(Expenses!$B$2:$B$3000,A172,Expenses!$E$2:$E$3000))</f>
        <v/>
      </c>
      <c r="R172" s="27" t="str">
        <f aca="false">IF(A172="","",N(P172)+N(Q172))</f>
        <v/>
      </c>
      <c r="S172" s="28"/>
      <c r="T172" s="25"/>
      <c r="U172" s="26"/>
      <c r="V172" s="26"/>
      <c r="W172" s="26"/>
      <c r="X172" s="27" t="str">
        <f aca="false">IF(B172&lt;&gt;"SOLD","",IF(C172="Consignment",N(W172)-R172,N(U172)-R172-N(V172)))</f>
        <v/>
      </c>
      <c r="Y172" s="29" t="str">
        <f aca="false">IF(OR(X172="",N(R172)=0),"",X172/R172)</f>
        <v/>
      </c>
      <c r="Z172" s="30" t="str">
        <f aca="true">IF(O172="","",IF(T172="",TODAY(),T172)-O172)</f>
        <v/>
      </c>
      <c r="AA172" s="31" t="str">
        <f aca="false">IF(T172="","",TEXT(T172,"YYYY-MM"))</f>
        <v/>
      </c>
      <c r="AB172" s="27" t="str">
        <f aca="false">IF(X172="","",X172/2)</f>
        <v/>
      </c>
      <c r="AC172" s="21"/>
    </row>
    <row r="173" customFormat="false" ht="15" hidden="false" customHeight="false" outlineLevel="0" collapsed="false">
      <c r="A173" s="20"/>
      <c r="B173" s="21"/>
      <c r="C173" s="21"/>
      <c r="D173" s="21"/>
      <c r="E173" s="21"/>
      <c r="F173" s="21"/>
      <c r="G173" s="22"/>
      <c r="H173" s="21"/>
      <c r="I173" s="21"/>
      <c r="J173" s="21"/>
      <c r="K173" s="23"/>
      <c r="L173" s="24"/>
      <c r="M173" s="21"/>
      <c r="N173" s="21"/>
      <c r="O173" s="25"/>
      <c r="P173" s="26"/>
      <c r="Q173" s="27" t="str">
        <f aca="false">IF(A173="","",SUMIF(Expenses!$B$2:$B$3000,A173,Expenses!$E$2:$E$3000))</f>
        <v/>
      </c>
      <c r="R173" s="27" t="str">
        <f aca="false">IF(A173="","",N(P173)+N(Q173))</f>
        <v/>
      </c>
      <c r="S173" s="28"/>
      <c r="T173" s="25"/>
      <c r="U173" s="26"/>
      <c r="V173" s="26"/>
      <c r="W173" s="26"/>
      <c r="X173" s="27" t="str">
        <f aca="false">IF(B173&lt;&gt;"SOLD","",IF(C173="Consignment",N(W173)-R173,N(U173)-R173-N(V173)))</f>
        <v/>
      </c>
      <c r="Y173" s="29" t="str">
        <f aca="false">IF(OR(X173="",N(R173)=0),"",X173/R173)</f>
        <v/>
      </c>
      <c r="Z173" s="30" t="str">
        <f aca="true">IF(O173="","",IF(T173="",TODAY(),T173)-O173)</f>
        <v/>
      </c>
      <c r="AA173" s="31" t="str">
        <f aca="false">IF(T173="","",TEXT(T173,"YYYY-MM"))</f>
        <v/>
      </c>
      <c r="AB173" s="27" t="str">
        <f aca="false">IF(X173="","",X173/2)</f>
        <v/>
      </c>
      <c r="AC173" s="21"/>
    </row>
    <row r="174" customFormat="false" ht="15" hidden="false" customHeight="false" outlineLevel="0" collapsed="false">
      <c r="A174" s="20"/>
      <c r="B174" s="21"/>
      <c r="C174" s="21"/>
      <c r="D174" s="21"/>
      <c r="E174" s="21"/>
      <c r="F174" s="21"/>
      <c r="G174" s="22"/>
      <c r="H174" s="21"/>
      <c r="I174" s="21"/>
      <c r="J174" s="21"/>
      <c r="K174" s="23"/>
      <c r="L174" s="24"/>
      <c r="M174" s="21"/>
      <c r="N174" s="21"/>
      <c r="O174" s="25"/>
      <c r="P174" s="26"/>
      <c r="Q174" s="27" t="str">
        <f aca="false">IF(A174="","",SUMIF(Expenses!$B$2:$B$3000,A174,Expenses!$E$2:$E$3000))</f>
        <v/>
      </c>
      <c r="R174" s="27" t="str">
        <f aca="false">IF(A174="","",N(P174)+N(Q174))</f>
        <v/>
      </c>
      <c r="S174" s="28"/>
      <c r="T174" s="25"/>
      <c r="U174" s="26"/>
      <c r="V174" s="26"/>
      <c r="W174" s="26"/>
      <c r="X174" s="27" t="str">
        <f aca="false">IF(B174&lt;&gt;"SOLD","",IF(C174="Consignment",N(W174)-R174,N(U174)-R174-N(V174)))</f>
        <v/>
      </c>
      <c r="Y174" s="29" t="str">
        <f aca="false">IF(OR(X174="",N(R174)=0),"",X174/R174)</f>
        <v/>
      </c>
      <c r="Z174" s="30" t="str">
        <f aca="true">IF(O174="","",IF(T174="",TODAY(),T174)-O174)</f>
        <v/>
      </c>
      <c r="AA174" s="31" t="str">
        <f aca="false">IF(T174="","",TEXT(T174,"YYYY-MM"))</f>
        <v/>
      </c>
      <c r="AB174" s="27" t="str">
        <f aca="false">IF(X174="","",X174/2)</f>
        <v/>
      </c>
      <c r="AC174" s="21"/>
    </row>
    <row r="175" customFormat="false" ht="15" hidden="false" customHeight="false" outlineLevel="0" collapsed="false">
      <c r="A175" s="20"/>
      <c r="B175" s="21"/>
      <c r="C175" s="21"/>
      <c r="D175" s="21"/>
      <c r="E175" s="21"/>
      <c r="F175" s="21"/>
      <c r="G175" s="22"/>
      <c r="H175" s="21"/>
      <c r="I175" s="21"/>
      <c r="J175" s="21"/>
      <c r="K175" s="23"/>
      <c r="L175" s="24"/>
      <c r="M175" s="21"/>
      <c r="N175" s="21"/>
      <c r="O175" s="25"/>
      <c r="P175" s="26"/>
      <c r="Q175" s="27" t="str">
        <f aca="false">IF(A175="","",SUMIF(Expenses!$B$2:$B$3000,A175,Expenses!$E$2:$E$3000))</f>
        <v/>
      </c>
      <c r="R175" s="27" t="str">
        <f aca="false">IF(A175="","",N(P175)+N(Q175))</f>
        <v/>
      </c>
      <c r="S175" s="28"/>
      <c r="T175" s="25"/>
      <c r="U175" s="26"/>
      <c r="V175" s="26"/>
      <c r="W175" s="26"/>
      <c r="X175" s="27" t="str">
        <f aca="false">IF(B175&lt;&gt;"SOLD","",IF(C175="Consignment",N(W175)-R175,N(U175)-R175-N(V175)))</f>
        <v/>
      </c>
      <c r="Y175" s="29" t="str">
        <f aca="false">IF(OR(X175="",N(R175)=0),"",X175/R175)</f>
        <v/>
      </c>
      <c r="Z175" s="30" t="str">
        <f aca="true">IF(O175="","",IF(T175="",TODAY(),T175)-O175)</f>
        <v/>
      </c>
      <c r="AA175" s="31" t="str">
        <f aca="false">IF(T175="","",TEXT(T175,"YYYY-MM"))</f>
        <v/>
      </c>
      <c r="AB175" s="27" t="str">
        <f aca="false">IF(X175="","",X175/2)</f>
        <v/>
      </c>
      <c r="AC175" s="21"/>
    </row>
    <row r="176" customFormat="false" ht="15" hidden="false" customHeight="false" outlineLevel="0" collapsed="false">
      <c r="A176" s="20"/>
      <c r="B176" s="21"/>
      <c r="C176" s="21"/>
      <c r="D176" s="21"/>
      <c r="E176" s="21"/>
      <c r="F176" s="21"/>
      <c r="G176" s="22"/>
      <c r="H176" s="21"/>
      <c r="I176" s="21"/>
      <c r="J176" s="21"/>
      <c r="K176" s="23"/>
      <c r="L176" s="24"/>
      <c r="M176" s="21"/>
      <c r="N176" s="21"/>
      <c r="O176" s="25"/>
      <c r="P176" s="26"/>
      <c r="Q176" s="27" t="str">
        <f aca="false">IF(A176="","",SUMIF(Expenses!$B$2:$B$3000,A176,Expenses!$E$2:$E$3000))</f>
        <v/>
      </c>
      <c r="R176" s="27" t="str">
        <f aca="false">IF(A176="","",N(P176)+N(Q176))</f>
        <v/>
      </c>
      <c r="S176" s="28"/>
      <c r="T176" s="25"/>
      <c r="U176" s="26"/>
      <c r="V176" s="26"/>
      <c r="W176" s="26"/>
      <c r="X176" s="27" t="str">
        <f aca="false">IF(B176&lt;&gt;"SOLD","",IF(C176="Consignment",N(W176)-R176,N(U176)-R176-N(V176)))</f>
        <v/>
      </c>
      <c r="Y176" s="29" t="str">
        <f aca="false">IF(OR(X176="",N(R176)=0),"",X176/R176)</f>
        <v/>
      </c>
      <c r="Z176" s="30" t="str">
        <f aca="true">IF(O176="","",IF(T176="",TODAY(),T176)-O176)</f>
        <v/>
      </c>
      <c r="AA176" s="31" t="str">
        <f aca="false">IF(T176="","",TEXT(T176,"YYYY-MM"))</f>
        <v/>
      </c>
      <c r="AB176" s="27" t="str">
        <f aca="false">IF(X176="","",X176/2)</f>
        <v/>
      </c>
      <c r="AC176" s="21"/>
    </row>
    <row r="177" customFormat="false" ht="15" hidden="false" customHeight="false" outlineLevel="0" collapsed="false">
      <c r="A177" s="20"/>
      <c r="B177" s="21"/>
      <c r="C177" s="21"/>
      <c r="D177" s="21"/>
      <c r="E177" s="21"/>
      <c r="F177" s="21"/>
      <c r="G177" s="22"/>
      <c r="H177" s="21"/>
      <c r="I177" s="21"/>
      <c r="J177" s="21"/>
      <c r="K177" s="23"/>
      <c r="L177" s="24"/>
      <c r="M177" s="21"/>
      <c r="N177" s="21"/>
      <c r="O177" s="25"/>
      <c r="P177" s="26"/>
      <c r="Q177" s="27" t="str">
        <f aca="false">IF(A177="","",SUMIF(Expenses!$B$2:$B$3000,A177,Expenses!$E$2:$E$3000))</f>
        <v/>
      </c>
      <c r="R177" s="27" t="str">
        <f aca="false">IF(A177="","",N(P177)+N(Q177))</f>
        <v/>
      </c>
      <c r="S177" s="28"/>
      <c r="T177" s="25"/>
      <c r="U177" s="26"/>
      <c r="V177" s="26"/>
      <c r="W177" s="26"/>
      <c r="X177" s="27" t="str">
        <f aca="false">IF(B177&lt;&gt;"SOLD","",IF(C177="Consignment",N(W177)-R177,N(U177)-R177-N(V177)))</f>
        <v/>
      </c>
      <c r="Y177" s="29" t="str">
        <f aca="false">IF(OR(X177="",N(R177)=0),"",X177/R177)</f>
        <v/>
      </c>
      <c r="Z177" s="30" t="str">
        <f aca="true">IF(O177="","",IF(T177="",TODAY(),T177)-O177)</f>
        <v/>
      </c>
      <c r="AA177" s="31" t="str">
        <f aca="false">IF(T177="","",TEXT(T177,"YYYY-MM"))</f>
        <v/>
      </c>
      <c r="AB177" s="27" t="str">
        <f aca="false">IF(X177="","",X177/2)</f>
        <v/>
      </c>
      <c r="AC177" s="21"/>
    </row>
    <row r="178" customFormat="false" ht="15" hidden="false" customHeight="false" outlineLevel="0" collapsed="false">
      <c r="A178" s="20"/>
      <c r="B178" s="21"/>
      <c r="C178" s="21"/>
      <c r="D178" s="21"/>
      <c r="E178" s="21"/>
      <c r="F178" s="21"/>
      <c r="G178" s="22"/>
      <c r="H178" s="21"/>
      <c r="I178" s="21"/>
      <c r="J178" s="21"/>
      <c r="K178" s="23"/>
      <c r="L178" s="24"/>
      <c r="M178" s="21"/>
      <c r="N178" s="21"/>
      <c r="O178" s="25"/>
      <c r="P178" s="26"/>
      <c r="Q178" s="27" t="str">
        <f aca="false">IF(A178="","",SUMIF(Expenses!$B$2:$B$3000,A178,Expenses!$E$2:$E$3000))</f>
        <v/>
      </c>
      <c r="R178" s="27" t="str">
        <f aca="false">IF(A178="","",N(P178)+N(Q178))</f>
        <v/>
      </c>
      <c r="S178" s="28"/>
      <c r="T178" s="25"/>
      <c r="U178" s="26"/>
      <c r="V178" s="26"/>
      <c r="W178" s="26"/>
      <c r="X178" s="27" t="str">
        <f aca="false">IF(B178&lt;&gt;"SOLD","",IF(C178="Consignment",N(W178)-R178,N(U178)-R178-N(V178)))</f>
        <v/>
      </c>
      <c r="Y178" s="29" t="str">
        <f aca="false">IF(OR(X178="",N(R178)=0),"",X178/R178)</f>
        <v/>
      </c>
      <c r="Z178" s="30" t="str">
        <f aca="true">IF(O178="","",IF(T178="",TODAY(),T178)-O178)</f>
        <v/>
      </c>
      <c r="AA178" s="31" t="str">
        <f aca="false">IF(T178="","",TEXT(T178,"YYYY-MM"))</f>
        <v/>
      </c>
      <c r="AB178" s="27" t="str">
        <f aca="false">IF(X178="","",X178/2)</f>
        <v/>
      </c>
      <c r="AC178" s="21"/>
    </row>
    <row r="179" customFormat="false" ht="15" hidden="false" customHeight="false" outlineLevel="0" collapsed="false">
      <c r="A179" s="20"/>
      <c r="B179" s="21"/>
      <c r="C179" s="21"/>
      <c r="D179" s="21"/>
      <c r="E179" s="21"/>
      <c r="F179" s="21"/>
      <c r="G179" s="22"/>
      <c r="H179" s="21"/>
      <c r="I179" s="21"/>
      <c r="J179" s="21"/>
      <c r="K179" s="23"/>
      <c r="L179" s="24"/>
      <c r="M179" s="21"/>
      <c r="N179" s="21"/>
      <c r="O179" s="25"/>
      <c r="P179" s="26"/>
      <c r="Q179" s="27" t="str">
        <f aca="false">IF(A179="","",SUMIF(Expenses!$B$2:$B$3000,A179,Expenses!$E$2:$E$3000))</f>
        <v/>
      </c>
      <c r="R179" s="27" t="str">
        <f aca="false">IF(A179="","",N(P179)+N(Q179))</f>
        <v/>
      </c>
      <c r="S179" s="28"/>
      <c r="T179" s="25"/>
      <c r="U179" s="26"/>
      <c r="V179" s="26"/>
      <c r="W179" s="26"/>
      <c r="X179" s="27" t="str">
        <f aca="false">IF(B179&lt;&gt;"SOLD","",IF(C179="Consignment",N(W179)-R179,N(U179)-R179-N(V179)))</f>
        <v/>
      </c>
      <c r="Y179" s="29" t="str">
        <f aca="false">IF(OR(X179="",N(R179)=0),"",X179/R179)</f>
        <v/>
      </c>
      <c r="Z179" s="30" t="str">
        <f aca="true">IF(O179="","",IF(T179="",TODAY(),T179)-O179)</f>
        <v/>
      </c>
      <c r="AA179" s="31" t="str">
        <f aca="false">IF(T179="","",TEXT(T179,"YYYY-MM"))</f>
        <v/>
      </c>
      <c r="AB179" s="27" t="str">
        <f aca="false">IF(X179="","",X179/2)</f>
        <v/>
      </c>
      <c r="AC179" s="21"/>
    </row>
    <row r="180" customFormat="false" ht="15" hidden="false" customHeight="false" outlineLevel="0" collapsed="false">
      <c r="A180" s="20"/>
      <c r="B180" s="21"/>
      <c r="C180" s="21"/>
      <c r="D180" s="21"/>
      <c r="E180" s="21"/>
      <c r="F180" s="21"/>
      <c r="G180" s="22"/>
      <c r="H180" s="21"/>
      <c r="I180" s="21"/>
      <c r="J180" s="21"/>
      <c r="K180" s="23"/>
      <c r="L180" s="24"/>
      <c r="M180" s="21"/>
      <c r="N180" s="21"/>
      <c r="O180" s="25"/>
      <c r="P180" s="26"/>
      <c r="Q180" s="27" t="str">
        <f aca="false">IF(A180="","",SUMIF(Expenses!$B$2:$B$3000,A180,Expenses!$E$2:$E$3000))</f>
        <v/>
      </c>
      <c r="R180" s="27" t="str">
        <f aca="false">IF(A180="","",N(P180)+N(Q180))</f>
        <v/>
      </c>
      <c r="S180" s="28"/>
      <c r="T180" s="25"/>
      <c r="U180" s="26"/>
      <c r="V180" s="26"/>
      <c r="W180" s="26"/>
      <c r="X180" s="27" t="str">
        <f aca="false">IF(B180&lt;&gt;"SOLD","",IF(C180="Consignment",N(W180)-R180,N(U180)-R180-N(V180)))</f>
        <v/>
      </c>
      <c r="Y180" s="29" t="str">
        <f aca="false">IF(OR(X180="",N(R180)=0),"",X180/R180)</f>
        <v/>
      </c>
      <c r="Z180" s="30" t="str">
        <f aca="true">IF(O180="","",IF(T180="",TODAY(),T180)-O180)</f>
        <v/>
      </c>
      <c r="AA180" s="31" t="str">
        <f aca="false">IF(T180="","",TEXT(T180,"YYYY-MM"))</f>
        <v/>
      </c>
      <c r="AB180" s="27" t="str">
        <f aca="false">IF(X180="","",X180/2)</f>
        <v/>
      </c>
      <c r="AC180" s="21"/>
    </row>
    <row r="181" customFormat="false" ht="15" hidden="false" customHeight="false" outlineLevel="0" collapsed="false">
      <c r="A181" s="20"/>
      <c r="B181" s="21"/>
      <c r="C181" s="21"/>
      <c r="D181" s="21"/>
      <c r="E181" s="21"/>
      <c r="F181" s="21"/>
      <c r="G181" s="22"/>
      <c r="H181" s="21"/>
      <c r="I181" s="21"/>
      <c r="J181" s="21"/>
      <c r="K181" s="23"/>
      <c r="L181" s="24"/>
      <c r="M181" s="21"/>
      <c r="N181" s="21"/>
      <c r="O181" s="25"/>
      <c r="P181" s="26"/>
      <c r="Q181" s="27" t="str">
        <f aca="false">IF(A181="","",SUMIF(Expenses!$B$2:$B$3000,A181,Expenses!$E$2:$E$3000))</f>
        <v/>
      </c>
      <c r="R181" s="27" t="str">
        <f aca="false">IF(A181="","",N(P181)+N(Q181))</f>
        <v/>
      </c>
      <c r="S181" s="28"/>
      <c r="T181" s="25"/>
      <c r="U181" s="26"/>
      <c r="V181" s="26"/>
      <c r="W181" s="26"/>
      <c r="X181" s="27" t="str">
        <f aca="false">IF(B181&lt;&gt;"SOLD","",IF(C181="Consignment",N(W181)-R181,N(U181)-R181-N(V181)))</f>
        <v/>
      </c>
      <c r="Y181" s="29" t="str">
        <f aca="false">IF(OR(X181="",N(R181)=0),"",X181/R181)</f>
        <v/>
      </c>
      <c r="Z181" s="30" t="str">
        <f aca="true">IF(O181="","",IF(T181="",TODAY(),T181)-O181)</f>
        <v/>
      </c>
      <c r="AA181" s="31" t="str">
        <f aca="false">IF(T181="","",TEXT(T181,"YYYY-MM"))</f>
        <v/>
      </c>
      <c r="AB181" s="27" t="str">
        <f aca="false">IF(X181="","",X181/2)</f>
        <v/>
      </c>
      <c r="AC181" s="21"/>
    </row>
    <row r="182" customFormat="false" ht="15" hidden="false" customHeight="false" outlineLevel="0" collapsed="false">
      <c r="A182" s="20"/>
      <c r="B182" s="21"/>
      <c r="C182" s="21"/>
      <c r="D182" s="21"/>
      <c r="E182" s="21"/>
      <c r="F182" s="21"/>
      <c r="G182" s="22"/>
      <c r="H182" s="21"/>
      <c r="I182" s="21"/>
      <c r="J182" s="21"/>
      <c r="K182" s="23"/>
      <c r="L182" s="24"/>
      <c r="M182" s="21"/>
      <c r="N182" s="21"/>
      <c r="O182" s="25"/>
      <c r="P182" s="26"/>
      <c r="Q182" s="27" t="str">
        <f aca="false">IF(A182="","",SUMIF(Expenses!$B$2:$B$3000,A182,Expenses!$E$2:$E$3000))</f>
        <v/>
      </c>
      <c r="R182" s="27" t="str">
        <f aca="false">IF(A182="","",N(P182)+N(Q182))</f>
        <v/>
      </c>
      <c r="S182" s="28"/>
      <c r="T182" s="25"/>
      <c r="U182" s="26"/>
      <c r="V182" s="26"/>
      <c r="W182" s="26"/>
      <c r="X182" s="27" t="str">
        <f aca="false">IF(B182&lt;&gt;"SOLD","",IF(C182="Consignment",N(W182)-R182,N(U182)-R182-N(V182)))</f>
        <v/>
      </c>
      <c r="Y182" s="29" t="str">
        <f aca="false">IF(OR(X182="",N(R182)=0),"",X182/R182)</f>
        <v/>
      </c>
      <c r="Z182" s="30" t="str">
        <f aca="true">IF(O182="","",IF(T182="",TODAY(),T182)-O182)</f>
        <v/>
      </c>
      <c r="AA182" s="31" t="str">
        <f aca="false">IF(T182="","",TEXT(T182,"YYYY-MM"))</f>
        <v/>
      </c>
      <c r="AB182" s="27" t="str">
        <f aca="false">IF(X182="","",X182/2)</f>
        <v/>
      </c>
      <c r="AC182" s="21"/>
    </row>
    <row r="183" customFormat="false" ht="15" hidden="false" customHeight="false" outlineLevel="0" collapsed="false">
      <c r="A183" s="20"/>
      <c r="B183" s="21"/>
      <c r="C183" s="21"/>
      <c r="D183" s="21"/>
      <c r="E183" s="21"/>
      <c r="F183" s="21"/>
      <c r="G183" s="22"/>
      <c r="H183" s="21"/>
      <c r="I183" s="21"/>
      <c r="J183" s="21"/>
      <c r="K183" s="23"/>
      <c r="L183" s="24"/>
      <c r="M183" s="21"/>
      <c r="N183" s="21"/>
      <c r="O183" s="25"/>
      <c r="P183" s="26"/>
      <c r="Q183" s="27" t="str">
        <f aca="false">IF(A183="","",SUMIF(Expenses!$B$2:$B$3000,A183,Expenses!$E$2:$E$3000))</f>
        <v/>
      </c>
      <c r="R183" s="27" t="str">
        <f aca="false">IF(A183="","",N(P183)+N(Q183))</f>
        <v/>
      </c>
      <c r="S183" s="28"/>
      <c r="T183" s="25"/>
      <c r="U183" s="26"/>
      <c r="V183" s="26"/>
      <c r="W183" s="26"/>
      <c r="X183" s="27" t="str">
        <f aca="false">IF(B183&lt;&gt;"SOLD","",IF(C183="Consignment",N(W183)-R183,N(U183)-R183-N(V183)))</f>
        <v/>
      </c>
      <c r="Y183" s="29" t="str">
        <f aca="false">IF(OR(X183="",N(R183)=0),"",X183/R183)</f>
        <v/>
      </c>
      <c r="Z183" s="30" t="str">
        <f aca="true">IF(O183="","",IF(T183="",TODAY(),T183)-O183)</f>
        <v/>
      </c>
      <c r="AA183" s="31" t="str">
        <f aca="false">IF(T183="","",TEXT(T183,"YYYY-MM"))</f>
        <v/>
      </c>
      <c r="AB183" s="27" t="str">
        <f aca="false">IF(X183="","",X183/2)</f>
        <v/>
      </c>
      <c r="AC183" s="21"/>
    </row>
    <row r="184" customFormat="false" ht="15" hidden="false" customHeight="false" outlineLevel="0" collapsed="false">
      <c r="A184" s="20"/>
      <c r="B184" s="21"/>
      <c r="C184" s="21"/>
      <c r="D184" s="21"/>
      <c r="E184" s="21"/>
      <c r="F184" s="21"/>
      <c r="G184" s="22"/>
      <c r="H184" s="21"/>
      <c r="I184" s="21"/>
      <c r="J184" s="21"/>
      <c r="K184" s="23"/>
      <c r="L184" s="24"/>
      <c r="M184" s="21"/>
      <c r="N184" s="21"/>
      <c r="O184" s="25"/>
      <c r="P184" s="26"/>
      <c r="Q184" s="27" t="str">
        <f aca="false">IF(A184="","",SUMIF(Expenses!$B$2:$B$3000,A184,Expenses!$E$2:$E$3000))</f>
        <v/>
      </c>
      <c r="R184" s="27" t="str">
        <f aca="false">IF(A184="","",N(P184)+N(Q184))</f>
        <v/>
      </c>
      <c r="S184" s="28"/>
      <c r="T184" s="25"/>
      <c r="U184" s="26"/>
      <c r="V184" s="26"/>
      <c r="W184" s="26"/>
      <c r="X184" s="27" t="str">
        <f aca="false">IF(B184&lt;&gt;"SOLD","",IF(C184="Consignment",N(W184)-R184,N(U184)-R184-N(V184)))</f>
        <v/>
      </c>
      <c r="Y184" s="29" t="str">
        <f aca="false">IF(OR(X184="",N(R184)=0),"",X184/R184)</f>
        <v/>
      </c>
      <c r="Z184" s="30" t="str">
        <f aca="true">IF(O184="","",IF(T184="",TODAY(),T184)-O184)</f>
        <v/>
      </c>
      <c r="AA184" s="31" t="str">
        <f aca="false">IF(T184="","",TEXT(T184,"YYYY-MM"))</f>
        <v/>
      </c>
      <c r="AB184" s="27" t="str">
        <f aca="false">IF(X184="","",X184/2)</f>
        <v/>
      </c>
      <c r="AC184" s="21"/>
    </row>
    <row r="185" customFormat="false" ht="15" hidden="false" customHeight="false" outlineLevel="0" collapsed="false">
      <c r="A185" s="20"/>
      <c r="B185" s="21"/>
      <c r="C185" s="21"/>
      <c r="D185" s="21"/>
      <c r="E185" s="21"/>
      <c r="F185" s="21"/>
      <c r="G185" s="22"/>
      <c r="H185" s="21"/>
      <c r="I185" s="21"/>
      <c r="J185" s="21"/>
      <c r="K185" s="23"/>
      <c r="L185" s="24"/>
      <c r="M185" s="21"/>
      <c r="N185" s="21"/>
      <c r="O185" s="25"/>
      <c r="P185" s="26"/>
      <c r="Q185" s="27" t="str">
        <f aca="false">IF(A185="","",SUMIF(Expenses!$B$2:$B$3000,A185,Expenses!$E$2:$E$3000))</f>
        <v/>
      </c>
      <c r="R185" s="27" t="str">
        <f aca="false">IF(A185="","",N(P185)+N(Q185))</f>
        <v/>
      </c>
      <c r="S185" s="28"/>
      <c r="T185" s="25"/>
      <c r="U185" s="26"/>
      <c r="V185" s="26"/>
      <c r="W185" s="26"/>
      <c r="X185" s="27" t="str">
        <f aca="false">IF(B185&lt;&gt;"SOLD","",IF(C185="Consignment",N(W185)-R185,N(U185)-R185-N(V185)))</f>
        <v/>
      </c>
      <c r="Y185" s="29" t="str">
        <f aca="false">IF(OR(X185="",N(R185)=0),"",X185/R185)</f>
        <v/>
      </c>
      <c r="Z185" s="30" t="str">
        <f aca="true">IF(O185="","",IF(T185="",TODAY(),T185)-O185)</f>
        <v/>
      </c>
      <c r="AA185" s="31" t="str">
        <f aca="false">IF(T185="","",TEXT(T185,"YYYY-MM"))</f>
        <v/>
      </c>
      <c r="AB185" s="27" t="str">
        <f aca="false">IF(X185="","",X185/2)</f>
        <v/>
      </c>
      <c r="AC185" s="21"/>
    </row>
    <row r="186" customFormat="false" ht="15" hidden="false" customHeight="false" outlineLevel="0" collapsed="false">
      <c r="A186" s="20"/>
      <c r="B186" s="21"/>
      <c r="C186" s="21"/>
      <c r="D186" s="21"/>
      <c r="E186" s="21"/>
      <c r="F186" s="21"/>
      <c r="G186" s="22"/>
      <c r="H186" s="21"/>
      <c r="I186" s="21"/>
      <c r="J186" s="21"/>
      <c r="K186" s="23"/>
      <c r="L186" s="24"/>
      <c r="M186" s="21"/>
      <c r="N186" s="21"/>
      <c r="O186" s="25"/>
      <c r="P186" s="26"/>
      <c r="Q186" s="27" t="str">
        <f aca="false">IF(A186="","",SUMIF(Expenses!$B$2:$B$3000,A186,Expenses!$E$2:$E$3000))</f>
        <v/>
      </c>
      <c r="R186" s="27" t="str">
        <f aca="false">IF(A186="","",N(P186)+N(Q186))</f>
        <v/>
      </c>
      <c r="S186" s="28"/>
      <c r="T186" s="25"/>
      <c r="U186" s="26"/>
      <c r="V186" s="26"/>
      <c r="W186" s="26"/>
      <c r="X186" s="27" t="str">
        <f aca="false">IF(B186&lt;&gt;"SOLD","",IF(C186="Consignment",N(W186)-R186,N(U186)-R186-N(V186)))</f>
        <v/>
      </c>
      <c r="Y186" s="29" t="str">
        <f aca="false">IF(OR(X186="",N(R186)=0),"",X186/R186)</f>
        <v/>
      </c>
      <c r="Z186" s="30" t="str">
        <f aca="true">IF(O186="","",IF(T186="",TODAY(),T186)-O186)</f>
        <v/>
      </c>
      <c r="AA186" s="31" t="str">
        <f aca="false">IF(T186="","",TEXT(T186,"YYYY-MM"))</f>
        <v/>
      </c>
      <c r="AB186" s="27" t="str">
        <f aca="false">IF(X186="","",X186/2)</f>
        <v/>
      </c>
      <c r="AC186" s="21"/>
    </row>
    <row r="187" customFormat="false" ht="15" hidden="false" customHeight="false" outlineLevel="0" collapsed="false">
      <c r="A187" s="20"/>
      <c r="B187" s="21"/>
      <c r="C187" s="21"/>
      <c r="D187" s="21"/>
      <c r="E187" s="21"/>
      <c r="F187" s="21"/>
      <c r="G187" s="22"/>
      <c r="H187" s="21"/>
      <c r="I187" s="21"/>
      <c r="J187" s="21"/>
      <c r="K187" s="23"/>
      <c r="L187" s="24"/>
      <c r="M187" s="21"/>
      <c r="N187" s="21"/>
      <c r="O187" s="25"/>
      <c r="P187" s="26"/>
      <c r="Q187" s="27" t="str">
        <f aca="false">IF(A187="","",SUMIF(Expenses!$B$2:$B$3000,A187,Expenses!$E$2:$E$3000))</f>
        <v/>
      </c>
      <c r="R187" s="27" t="str">
        <f aca="false">IF(A187="","",N(P187)+N(Q187))</f>
        <v/>
      </c>
      <c r="S187" s="28"/>
      <c r="T187" s="25"/>
      <c r="U187" s="26"/>
      <c r="V187" s="26"/>
      <c r="W187" s="26"/>
      <c r="X187" s="27" t="str">
        <f aca="false">IF(B187&lt;&gt;"SOLD","",IF(C187="Consignment",N(W187)-R187,N(U187)-R187-N(V187)))</f>
        <v/>
      </c>
      <c r="Y187" s="29" t="str">
        <f aca="false">IF(OR(X187="",N(R187)=0),"",X187/R187)</f>
        <v/>
      </c>
      <c r="Z187" s="30" t="str">
        <f aca="true">IF(O187="","",IF(T187="",TODAY(),T187)-O187)</f>
        <v/>
      </c>
      <c r="AA187" s="31" t="str">
        <f aca="false">IF(T187="","",TEXT(T187,"YYYY-MM"))</f>
        <v/>
      </c>
      <c r="AB187" s="27" t="str">
        <f aca="false">IF(X187="","",X187/2)</f>
        <v/>
      </c>
      <c r="AC187" s="21"/>
    </row>
    <row r="188" customFormat="false" ht="15" hidden="false" customHeight="false" outlineLevel="0" collapsed="false">
      <c r="A188" s="20"/>
      <c r="B188" s="21"/>
      <c r="C188" s="21"/>
      <c r="D188" s="21"/>
      <c r="E188" s="21"/>
      <c r="F188" s="21"/>
      <c r="G188" s="22"/>
      <c r="H188" s="21"/>
      <c r="I188" s="21"/>
      <c r="J188" s="21"/>
      <c r="K188" s="23"/>
      <c r="L188" s="24"/>
      <c r="M188" s="21"/>
      <c r="N188" s="21"/>
      <c r="O188" s="25"/>
      <c r="P188" s="26"/>
      <c r="Q188" s="27" t="str">
        <f aca="false">IF(A188="","",SUMIF(Expenses!$B$2:$B$3000,A188,Expenses!$E$2:$E$3000))</f>
        <v/>
      </c>
      <c r="R188" s="27" t="str">
        <f aca="false">IF(A188="","",N(P188)+N(Q188))</f>
        <v/>
      </c>
      <c r="S188" s="28"/>
      <c r="T188" s="25"/>
      <c r="U188" s="26"/>
      <c r="V188" s="26"/>
      <c r="W188" s="26"/>
      <c r="X188" s="27" t="str">
        <f aca="false">IF(B188&lt;&gt;"SOLD","",IF(C188="Consignment",N(W188)-R188,N(U188)-R188-N(V188)))</f>
        <v/>
      </c>
      <c r="Y188" s="29" t="str">
        <f aca="false">IF(OR(X188="",N(R188)=0),"",X188/R188)</f>
        <v/>
      </c>
      <c r="Z188" s="30" t="str">
        <f aca="true">IF(O188="","",IF(T188="",TODAY(),T188)-O188)</f>
        <v/>
      </c>
      <c r="AA188" s="31" t="str">
        <f aca="false">IF(T188="","",TEXT(T188,"YYYY-MM"))</f>
        <v/>
      </c>
      <c r="AB188" s="27" t="str">
        <f aca="false">IF(X188="","",X188/2)</f>
        <v/>
      </c>
      <c r="AC188" s="21"/>
    </row>
    <row r="189" customFormat="false" ht="15" hidden="false" customHeight="false" outlineLevel="0" collapsed="false">
      <c r="A189" s="20"/>
      <c r="B189" s="21"/>
      <c r="C189" s="21"/>
      <c r="D189" s="21"/>
      <c r="E189" s="21"/>
      <c r="F189" s="21"/>
      <c r="G189" s="22"/>
      <c r="H189" s="21"/>
      <c r="I189" s="21"/>
      <c r="J189" s="21"/>
      <c r="K189" s="23"/>
      <c r="L189" s="24"/>
      <c r="M189" s="21"/>
      <c r="N189" s="21"/>
      <c r="O189" s="25"/>
      <c r="P189" s="26"/>
      <c r="Q189" s="27" t="str">
        <f aca="false">IF(A189="","",SUMIF(Expenses!$B$2:$B$3000,A189,Expenses!$E$2:$E$3000))</f>
        <v/>
      </c>
      <c r="R189" s="27" t="str">
        <f aca="false">IF(A189="","",N(P189)+N(Q189))</f>
        <v/>
      </c>
      <c r="S189" s="28"/>
      <c r="T189" s="25"/>
      <c r="U189" s="26"/>
      <c r="V189" s="26"/>
      <c r="W189" s="26"/>
      <c r="X189" s="27" t="str">
        <f aca="false">IF(B189&lt;&gt;"SOLD","",IF(C189="Consignment",N(W189)-R189,N(U189)-R189-N(V189)))</f>
        <v/>
      </c>
      <c r="Y189" s="29" t="str">
        <f aca="false">IF(OR(X189="",N(R189)=0),"",X189/R189)</f>
        <v/>
      </c>
      <c r="Z189" s="30" t="str">
        <f aca="true">IF(O189="","",IF(T189="",TODAY(),T189)-O189)</f>
        <v/>
      </c>
      <c r="AA189" s="31" t="str">
        <f aca="false">IF(T189="","",TEXT(T189,"YYYY-MM"))</f>
        <v/>
      </c>
      <c r="AB189" s="27" t="str">
        <f aca="false">IF(X189="","",X189/2)</f>
        <v/>
      </c>
      <c r="AC189" s="21"/>
    </row>
    <row r="190" customFormat="false" ht="15" hidden="false" customHeight="false" outlineLevel="0" collapsed="false">
      <c r="A190" s="20"/>
      <c r="B190" s="21"/>
      <c r="C190" s="21"/>
      <c r="D190" s="21"/>
      <c r="E190" s="21"/>
      <c r="F190" s="21"/>
      <c r="G190" s="22"/>
      <c r="H190" s="21"/>
      <c r="I190" s="21"/>
      <c r="J190" s="21"/>
      <c r="K190" s="23"/>
      <c r="L190" s="24"/>
      <c r="M190" s="21"/>
      <c r="N190" s="21"/>
      <c r="O190" s="25"/>
      <c r="P190" s="26"/>
      <c r="Q190" s="27" t="str">
        <f aca="false">IF(A190="","",SUMIF(Expenses!$B$2:$B$3000,A190,Expenses!$E$2:$E$3000))</f>
        <v/>
      </c>
      <c r="R190" s="27" t="str">
        <f aca="false">IF(A190="","",N(P190)+N(Q190))</f>
        <v/>
      </c>
      <c r="S190" s="28"/>
      <c r="T190" s="25"/>
      <c r="U190" s="26"/>
      <c r="V190" s="26"/>
      <c r="W190" s="26"/>
      <c r="X190" s="27" t="str">
        <f aca="false">IF(B190&lt;&gt;"SOLD","",IF(C190="Consignment",N(W190)-R190,N(U190)-R190-N(V190)))</f>
        <v/>
      </c>
      <c r="Y190" s="29" t="str">
        <f aca="false">IF(OR(X190="",N(R190)=0),"",X190/R190)</f>
        <v/>
      </c>
      <c r="Z190" s="30" t="str">
        <f aca="true">IF(O190="","",IF(T190="",TODAY(),T190)-O190)</f>
        <v/>
      </c>
      <c r="AA190" s="31" t="str">
        <f aca="false">IF(T190="","",TEXT(T190,"YYYY-MM"))</f>
        <v/>
      </c>
      <c r="AB190" s="27" t="str">
        <f aca="false">IF(X190="","",X190/2)</f>
        <v/>
      </c>
      <c r="AC190" s="21"/>
    </row>
    <row r="191" customFormat="false" ht="15" hidden="false" customHeight="false" outlineLevel="0" collapsed="false">
      <c r="A191" s="20"/>
      <c r="B191" s="21"/>
      <c r="C191" s="21"/>
      <c r="D191" s="21"/>
      <c r="E191" s="21"/>
      <c r="F191" s="21"/>
      <c r="G191" s="22"/>
      <c r="H191" s="21"/>
      <c r="I191" s="21"/>
      <c r="J191" s="21"/>
      <c r="K191" s="23"/>
      <c r="L191" s="24"/>
      <c r="M191" s="21"/>
      <c r="N191" s="21"/>
      <c r="O191" s="25"/>
      <c r="P191" s="26"/>
      <c r="Q191" s="27" t="str">
        <f aca="false">IF(A191="","",SUMIF(Expenses!$B$2:$B$3000,A191,Expenses!$E$2:$E$3000))</f>
        <v/>
      </c>
      <c r="R191" s="27" t="str">
        <f aca="false">IF(A191="","",N(P191)+N(Q191))</f>
        <v/>
      </c>
      <c r="S191" s="28"/>
      <c r="T191" s="25"/>
      <c r="U191" s="26"/>
      <c r="V191" s="26"/>
      <c r="W191" s="26"/>
      <c r="X191" s="27" t="str">
        <f aca="false">IF(B191&lt;&gt;"SOLD","",IF(C191="Consignment",N(W191)-R191,N(U191)-R191-N(V191)))</f>
        <v/>
      </c>
      <c r="Y191" s="29" t="str">
        <f aca="false">IF(OR(X191="",N(R191)=0),"",X191/R191)</f>
        <v/>
      </c>
      <c r="Z191" s="30" t="str">
        <f aca="true">IF(O191="","",IF(T191="",TODAY(),T191)-O191)</f>
        <v/>
      </c>
      <c r="AA191" s="31" t="str">
        <f aca="false">IF(T191="","",TEXT(T191,"YYYY-MM"))</f>
        <v/>
      </c>
      <c r="AB191" s="27" t="str">
        <f aca="false">IF(X191="","",X191/2)</f>
        <v/>
      </c>
      <c r="AC191" s="21"/>
    </row>
    <row r="192" customFormat="false" ht="15" hidden="false" customHeight="false" outlineLevel="0" collapsed="false">
      <c r="A192" s="20"/>
      <c r="B192" s="21"/>
      <c r="C192" s="21"/>
      <c r="D192" s="21"/>
      <c r="E192" s="21"/>
      <c r="F192" s="21"/>
      <c r="G192" s="22"/>
      <c r="H192" s="21"/>
      <c r="I192" s="21"/>
      <c r="J192" s="21"/>
      <c r="K192" s="23"/>
      <c r="L192" s="24"/>
      <c r="M192" s="21"/>
      <c r="N192" s="21"/>
      <c r="O192" s="25"/>
      <c r="P192" s="26"/>
      <c r="Q192" s="27" t="str">
        <f aca="false">IF(A192="","",SUMIF(Expenses!$B$2:$B$3000,A192,Expenses!$E$2:$E$3000))</f>
        <v/>
      </c>
      <c r="R192" s="27" t="str">
        <f aca="false">IF(A192="","",N(P192)+N(Q192))</f>
        <v/>
      </c>
      <c r="S192" s="28"/>
      <c r="T192" s="25"/>
      <c r="U192" s="26"/>
      <c r="V192" s="26"/>
      <c r="W192" s="26"/>
      <c r="X192" s="27" t="str">
        <f aca="false">IF(B192&lt;&gt;"SOLD","",IF(C192="Consignment",N(W192)-R192,N(U192)-R192-N(V192)))</f>
        <v/>
      </c>
      <c r="Y192" s="29" t="str">
        <f aca="false">IF(OR(X192="",N(R192)=0),"",X192/R192)</f>
        <v/>
      </c>
      <c r="Z192" s="30" t="str">
        <f aca="true">IF(O192="","",IF(T192="",TODAY(),T192)-O192)</f>
        <v/>
      </c>
      <c r="AA192" s="31" t="str">
        <f aca="false">IF(T192="","",TEXT(T192,"YYYY-MM"))</f>
        <v/>
      </c>
      <c r="AB192" s="27" t="str">
        <f aca="false">IF(X192="","",X192/2)</f>
        <v/>
      </c>
      <c r="AC192" s="21"/>
    </row>
    <row r="193" customFormat="false" ht="15" hidden="false" customHeight="false" outlineLevel="0" collapsed="false">
      <c r="A193" s="20"/>
      <c r="B193" s="21"/>
      <c r="C193" s="21"/>
      <c r="D193" s="21"/>
      <c r="E193" s="21"/>
      <c r="F193" s="21"/>
      <c r="G193" s="22"/>
      <c r="H193" s="21"/>
      <c r="I193" s="21"/>
      <c r="J193" s="21"/>
      <c r="K193" s="23"/>
      <c r="L193" s="24"/>
      <c r="M193" s="21"/>
      <c r="N193" s="21"/>
      <c r="O193" s="25"/>
      <c r="P193" s="26"/>
      <c r="Q193" s="27" t="str">
        <f aca="false">IF(A193="","",SUMIF(Expenses!$B$2:$B$3000,A193,Expenses!$E$2:$E$3000))</f>
        <v/>
      </c>
      <c r="R193" s="27" t="str">
        <f aca="false">IF(A193="","",N(P193)+N(Q193))</f>
        <v/>
      </c>
      <c r="S193" s="28"/>
      <c r="T193" s="25"/>
      <c r="U193" s="26"/>
      <c r="V193" s="26"/>
      <c r="W193" s="26"/>
      <c r="X193" s="27" t="str">
        <f aca="false">IF(B193&lt;&gt;"SOLD","",IF(C193="Consignment",N(W193)-R193,N(U193)-R193-N(V193)))</f>
        <v/>
      </c>
      <c r="Y193" s="29" t="str">
        <f aca="false">IF(OR(X193="",N(R193)=0),"",X193/R193)</f>
        <v/>
      </c>
      <c r="Z193" s="30" t="str">
        <f aca="true">IF(O193="","",IF(T193="",TODAY(),T193)-O193)</f>
        <v/>
      </c>
      <c r="AA193" s="31" t="str">
        <f aca="false">IF(T193="","",TEXT(T193,"YYYY-MM"))</f>
        <v/>
      </c>
      <c r="AB193" s="27" t="str">
        <f aca="false">IF(X193="","",X193/2)</f>
        <v/>
      </c>
      <c r="AC193" s="21"/>
    </row>
    <row r="194" customFormat="false" ht="15" hidden="false" customHeight="false" outlineLevel="0" collapsed="false">
      <c r="A194" s="20"/>
      <c r="B194" s="21"/>
      <c r="C194" s="21"/>
      <c r="D194" s="21"/>
      <c r="E194" s="21"/>
      <c r="F194" s="21"/>
      <c r="G194" s="22"/>
      <c r="H194" s="21"/>
      <c r="I194" s="21"/>
      <c r="J194" s="21"/>
      <c r="K194" s="23"/>
      <c r="L194" s="24"/>
      <c r="M194" s="21"/>
      <c r="N194" s="21"/>
      <c r="O194" s="25"/>
      <c r="P194" s="26"/>
      <c r="Q194" s="27" t="str">
        <f aca="false">IF(A194="","",SUMIF(Expenses!$B$2:$B$3000,A194,Expenses!$E$2:$E$3000))</f>
        <v/>
      </c>
      <c r="R194" s="27" t="str">
        <f aca="false">IF(A194="","",N(P194)+N(Q194))</f>
        <v/>
      </c>
      <c r="S194" s="28"/>
      <c r="T194" s="25"/>
      <c r="U194" s="26"/>
      <c r="V194" s="26"/>
      <c r="W194" s="26"/>
      <c r="X194" s="27" t="str">
        <f aca="false">IF(B194&lt;&gt;"SOLD","",IF(C194="Consignment",N(W194)-R194,N(U194)-R194-N(V194)))</f>
        <v/>
      </c>
      <c r="Y194" s="29" t="str">
        <f aca="false">IF(OR(X194="",N(R194)=0),"",X194/R194)</f>
        <v/>
      </c>
      <c r="Z194" s="30" t="str">
        <f aca="true">IF(O194="","",IF(T194="",TODAY(),T194)-O194)</f>
        <v/>
      </c>
      <c r="AA194" s="31" t="str">
        <f aca="false">IF(T194="","",TEXT(T194,"YYYY-MM"))</f>
        <v/>
      </c>
      <c r="AB194" s="27" t="str">
        <f aca="false">IF(X194="","",X194/2)</f>
        <v/>
      </c>
      <c r="AC194" s="21"/>
    </row>
    <row r="195" customFormat="false" ht="15" hidden="false" customHeight="false" outlineLevel="0" collapsed="false">
      <c r="A195" s="20"/>
      <c r="B195" s="21"/>
      <c r="C195" s="21"/>
      <c r="D195" s="21"/>
      <c r="E195" s="21"/>
      <c r="F195" s="21"/>
      <c r="G195" s="22"/>
      <c r="H195" s="21"/>
      <c r="I195" s="21"/>
      <c r="J195" s="21"/>
      <c r="K195" s="23"/>
      <c r="L195" s="24"/>
      <c r="M195" s="21"/>
      <c r="N195" s="21"/>
      <c r="O195" s="25"/>
      <c r="P195" s="26"/>
      <c r="Q195" s="27" t="str">
        <f aca="false">IF(A195="","",SUMIF(Expenses!$B$2:$B$3000,A195,Expenses!$E$2:$E$3000))</f>
        <v/>
      </c>
      <c r="R195" s="27" t="str">
        <f aca="false">IF(A195="","",N(P195)+N(Q195))</f>
        <v/>
      </c>
      <c r="S195" s="28"/>
      <c r="T195" s="25"/>
      <c r="U195" s="26"/>
      <c r="V195" s="26"/>
      <c r="W195" s="26"/>
      <c r="X195" s="27" t="str">
        <f aca="false">IF(B195&lt;&gt;"SOLD","",IF(C195="Consignment",N(W195)-R195,N(U195)-R195-N(V195)))</f>
        <v/>
      </c>
      <c r="Y195" s="29" t="str">
        <f aca="false">IF(OR(X195="",N(R195)=0),"",X195/R195)</f>
        <v/>
      </c>
      <c r="Z195" s="30" t="str">
        <f aca="true">IF(O195="","",IF(T195="",TODAY(),T195)-O195)</f>
        <v/>
      </c>
      <c r="AA195" s="31" t="str">
        <f aca="false">IF(T195="","",TEXT(T195,"YYYY-MM"))</f>
        <v/>
      </c>
      <c r="AB195" s="27" t="str">
        <f aca="false">IF(X195="","",X195/2)</f>
        <v/>
      </c>
      <c r="AC195" s="21"/>
    </row>
    <row r="196" customFormat="false" ht="15" hidden="false" customHeight="false" outlineLevel="0" collapsed="false">
      <c r="A196" s="20"/>
      <c r="B196" s="21"/>
      <c r="C196" s="21"/>
      <c r="D196" s="21"/>
      <c r="E196" s="21"/>
      <c r="F196" s="21"/>
      <c r="G196" s="22"/>
      <c r="H196" s="21"/>
      <c r="I196" s="21"/>
      <c r="J196" s="21"/>
      <c r="K196" s="23"/>
      <c r="L196" s="24"/>
      <c r="M196" s="21"/>
      <c r="N196" s="21"/>
      <c r="O196" s="25"/>
      <c r="P196" s="26"/>
      <c r="Q196" s="27" t="str">
        <f aca="false">IF(A196="","",SUMIF(Expenses!$B$2:$B$3000,A196,Expenses!$E$2:$E$3000))</f>
        <v/>
      </c>
      <c r="R196" s="27" t="str">
        <f aca="false">IF(A196="","",N(P196)+N(Q196))</f>
        <v/>
      </c>
      <c r="S196" s="28"/>
      <c r="T196" s="25"/>
      <c r="U196" s="26"/>
      <c r="V196" s="26"/>
      <c r="W196" s="26"/>
      <c r="X196" s="27" t="str">
        <f aca="false">IF(B196&lt;&gt;"SOLD","",IF(C196="Consignment",N(W196)-R196,N(U196)-R196-N(V196)))</f>
        <v/>
      </c>
      <c r="Y196" s="29" t="str">
        <f aca="false">IF(OR(X196="",N(R196)=0),"",X196/R196)</f>
        <v/>
      </c>
      <c r="Z196" s="30" t="str">
        <f aca="true">IF(O196="","",IF(T196="",TODAY(),T196)-O196)</f>
        <v/>
      </c>
      <c r="AA196" s="31" t="str">
        <f aca="false">IF(T196="","",TEXT(T196,"YYYY-MM"))</f>
        <v/>
      </c>
      <c r="AB196" s="27" t="str">
        <f aca="false">IF(X196="","",X196/2)</f>
        <v/>
      </c>
      <c r="AC196" s="21"/>
    </row>
    <row r="197" customFormat="false" ht="15" hidden="false" customHeight="false" outlineLevel="0" collapsed="false">
      <c r="A197" s="20"/>
      <c r="B197" s="21"/>
      <c r="C197" s="21"/>
      <c r="D197" s="21"/>
      <c r="E197" s="21"/>
      <c r="F197" s="21"/>
      <c r="G197" s="22"/>
      <c r="H197" s="21"/>
      <c r="I197" s="21"/>
      <c r="J197" s="21"/>
      <c r="K197" s="23"/>
      <c r="L197" s="24"/>
      <c r="M197" s="21"/>
      <c r="N197" s="21"/>
      <c r="O197" s="25"/>
      <c r="P197" s="26"/>
      <c r="Q197" s="27" t="str">
        <f aca="false">IF(A197="","",SUMIF(Expenses!$B$2:$B$3000,A197,Expenses!$E$2:$E$3000))</f>
        <v/>
      </c>
      <c r="R197" s="27" t="str">
        <f aca="false">IF(A197="","",N(P197)+N(Q197))</f>
        <v/>
      </c>
      <c r="S197" s="28"/>
      <c r="T197" s="25"/>
      <c r="U197" s="26"/>
      <c r="V197" s="26"/>
      <c r="W197" s="26"/>
      <c r="X197" s="27" t="str">
        <f aca="false">IF(B197&lt;&gt;"SOLD","",IF(C197="Consignment",N(W197)-R197,N(U197)-R197-N(V197)))</f>
        <v/>
      </c>
      <c r="Y197" s="29" t="str">
        <f aca="false">IF(OR(X197="",N(R197)=0),"",X197/R197)</f>
        <v/>
      </c>
      <c r="Z197" s="30" t="str">
        <f aca="true">IF(O197="","",IF(T197="",TODAY(),T197)-O197)</f>
        <v/>
      </c>
      <c r="AA197" s="31" t="str">
        <f aca="false">IF(T197="","",TEXT(T197,"YYYY-MM"))</f>
        <v/>
      </c>
      <c r="AB197" s="27" t="str">
        <f aca="false">IF(X197="","",X197/2)</f>
        <v/>
      </c>
      <c r="AC197" s="21"/>
    </row>
    <row r="198" customFormat="false" ht="15" hidden="false" customHeight="false" outlineLevel="0" collapsed="false">
      <c r="A198" s="20"/>
      <c r="B198" s="21"/>
      <c r="C198" s="21"/>
      <c r="D198" s="21"/>
      <c r="E198" s="21"/>
      <c r="F198" s="21"/>
      <c r="G198" s="22"/>
      <c r="H198" s="21"/>
      <c r="I198" s="21"/>
      <c r="J198" s="21"/>
      <c r="K198" s="23"/>
      <c r="L198" s="24"/>
      <c r="M198" s="21"/>
      <c r="N198" s="21"/>
      <c r="O198" s="25"/>
      <c r="P198" s="26"/>
      <c r="Q198" s="27" t="str">
        <f aca="false">IF(A198="","",SUMIF(Expenses!$B$2:$B$3000,A198,Expenses!$E$2:$E$3000))</f>
        <v/>
      </c>
      <c r="R198" s="27" t="str">
        <f aca="false">IF(A198="","",N(P198)+N(Q198))</f>
        <v/>
      </c>
      <c r="S198" s="28"/>
      <c r="T198" s="25"/>
      <c r="U198" s="26"/>
      <c r="V198" s="26"/>
      <c r="W198" s="26"/>
      <c r="X198" s="27" t="str">
        <f aca="false">IF(B198&lt;&gt;"SOLD","",IF(C198="Consignment",N(W198)-R198,N(U198)-R198-N(V198)))</f>
        <v/>
      </c>
      <c r="Y198" s="29" t="str">
        <f aca="false">IF(OR(X198="",N(R198)=0),"",X198/R198)</f>
        <v/>
      </c>
      <c r="Z198" s="30" t="str">
        <f aca="true">IF(O198="","",IF(T198="",TODAY(),T198)-O198)</f>
        <v/>
      </c>
      <c r="AA198" s="31" t="str">
        <f aca="false">IF(T198="","",TEXT(T198,"YYYY-MM"))</f>
        <v/>
      </c>
      <c r="AB198" s="27" t="str">
        <f aca="false">IF(X198="","",X198/2)</f>
        <v/>
      </c>
      <c r="AC198" s="21"/>
    </row>
    <row r="199" customFormat="false" ht="15" hidden="false" customHeight="false" outlineLevel="0" collapsed="false">
      <c r="A199" s="20"/>
      <c r="B199" s="21"/>
      <c r="C199" s="21"/>
      <c r="D199" s="21"/>
      <c r="E199" s="21"/>
      <c r="F199" s="21"/>
      <c r="G199" s="22"/>
      <c r="H199" s="21"/>
      <c r="I199" s="21"/>
      <c r="J199" s="21"/>
      <c r="K199" s="23"/>
      <c r="L199" s="24"/>
      <c r="M199" s="21"/>
      <c r="N199" s="21"/>
      <c r="O199" s="25"/>
      <c r="P199" s="26"/>
      <c r="Q199" s="27" t="str">
        <f aca="false">IF(A199="","",SUMIF(Expenses!$B$2:$B$3000,A199,Expenses!$E$2:$E$3000))</f>
        <v/>
      </c>
      <c r="R199" s="27" t="str">
        <f aca="false">IF(A199="","",N(P199)+N(Q199))</f>
        <v/>
      </c>
      <c r="S199" s="28"/>
      <c r="T199" s="25"/>
      <c r="U199" s="26"/>
      <c r="V199" s="26"/>
      <c r="W199" s="26"/>
      <c r="X199" s="27" t="str">
        <f aca="false">IF(B199&lt;&gt;"SOLD","",IF(C199="Consignment",N(W199)-R199,N(U199)-R199-N(V199)))</f>
        <v/>
      </c>
      <c r="Y199" s="29" t="str">
        <f aca="false">IF(OR(X199="",N(R199)=0),"",X199/R199)</f>
        <v/>
      </c>
      <c r="Z199" s="30" t="str">
        <f aca="true">IF(O199="","",IF(T199="",TODAY(),T199)-O199)</f>
        <v/>
      </c>
      <c r="AA199" s="31" t="str">
        <f aca="false">IF(T199="","",TEXT(T199,"YYYY-MM"))</f>
        <v/>
      </c>
      <c r="AB199" s="27" t="str">
        <f aca="false">IF(X199="","",X199/2)</f>
        <v/>
      </c>
      <c r="AC199" s="21"/>
    </row>
    <row r="200" customFormat="false" ht="15" hidden="false" customHeight="false" outlineLevel="0" collapsed="false">
      <c r="A200" s="20"/>
      <c r="B200" s="21"/>
      <c r="C200" s="21"/>
      <c r="D200" s="21"/>
      <c r="E200" s="21"/>
      <c r="F200" s="21"/>
      <c r="G200" s="22"/>
      <c r="H200" s="21"/>
      <c r="I200" s="21"/>
      <c r="J200" s="21"/>
      <c r="K200" s="23"/>
      <c r="L200" s="24"/>
      <c r="M200" s="21"/>
      <c r="N200" s="21"/>
      <c r="O200" s="25"/>
      <c r="P200" s="26"/>
      <c r="Q200" s="27" t="str">
        <f aca="false">IF(A200="","",SUMIF(Expenses!$B$2:$B$3000,A200,Expenses!$E$2:$E$3000))</f>
        <v/>
      </c>
      <c r="R200" s="27" t="str">
        <f aca="false">IF(A200="","",N(P200)+N(Q200))</f>
        <v/>
      </c>
      <c r="S200" s="28"/>
      <c r="T200" s="25"/>
      <c r="U200" s="26"/>
      <c r="V200" s="26"/>
      <c r="W200" s="26"/>
      <c r="X200" s="27" t="str">
        <f aca="false">IF(B200&lt;&gt;"SOLD","",IF(C200="Consignment",N(W200)-R200,N(U200)-R200-N(V200)))</f>
        <v/>
      </c>
      <c r="Y200" s="29" t="str">
        <f aca="false">IF(OR(X200="",N(R200)=0),"",X200/R200)</f>
        <v/>
      </c>
      <c r="Z200" s="30" t="str">
        <f aca="true">IF(O200="","",IF(T200="",TODAY(),T200)-O200)</f>
        <v/>
      </c>
      <c r="AA200" s="31" t="str">
        <f aca="false">IF(T200="","",TEXT(T200,"YYYY-MM"))</f>
        <v/>
      </c>
      <c r="AB200" s="27" t="str">
        <f aca="false">IF(X200="","",X200/2)</f>
        <v/>
      </c>
      <c r="AC200" s="21"/>
    </row>
    <row r="201" customFormat="false" ht="15" hidden="false" customHeight="false" outlineLevel="0" collapsed="false">
      <c r="A201" s="20"/>
      <c r="B201" s="21"/>
      <c r="C201" s="21"/>
      <c r="D201" s="21"/>
      <c r="E201" s="21"/>
      <c r="F201" s="21"/>
      <c r="G201" s="22"/>
      <c r="H201" s="21"/>
      <c r="I201" s="21"/>
      <c r="J201" s="21"/>
      <c r="K201" s="23"/>
      <c r="L201" s="24"/>
      <c r="M201" s="21"/>
      <c r="N201" s="21"/>
      <c r="O201" s="25"/>
      <c r="P201" s="26"/>
      <c r="Q201" s="27" t="str">
        <f aca="false">IF(A201="","",SUMIF(Expenses!$B$2:$B$3000,A201,Expenses!$E$2:$E$3000))</f>
        <v/>
      </c>
      <c r="R201" s="27" t="str">
        <f aca="false">IF(A201="","",N(P201)+N(Q201))</f>
        <v/>
      </c>
      <c r="S201" s="28"/>
      <c r="T201" s="25"/>
      <c r="U201" s="26"/>
      <c r="V201" s="26"/>
      <c r="W201" s="26"/>
      <c r="X201" s="27" t="str">
        <f aca="false">IF(B201&lt;&gt;"SOLD","",IF(C201="Consignment",N(W201)-R201,N(U201)-R201-N(V201)))</f>
        <v/>
      </c>
      <c r="Y201" s="29" t="str">
        <f aca="false">IF(OR(X201="",N(R201)=0),"",X201/R201)</f>
        <v/>
      </c>
      <c r="Z201" s="30" t="str">
        <f aca="true">IF(O201="","",IF(T201="",TODAY(),T201)-O201)</f>
        <v/>
      </c>
      <c r="AA201" s="31" t="str">
        <f aca="false">IF(T201="","",TEXT(T201,"YYYY-MM"))</f>
        <v/>
      </c>
      <c r="AB201" s="27" t="str">
        <f aca="false">IF(X201="","",X201/2)</f>
        <v/>
      </c>
      <c r="AC201" s="21"/>
    </row>
    <row r="202" customFormat="false" ht="15" hidden="false" customHeight="false" outlineLevel="0" collapsed="false">
      <c r="A202" s="20"/>
      <c r="B202" s="21"/>
      <c r="C202" s="21"/>
      <c r="D202" s="21"/>
      <c r="E202" s="21"/>
      <c r="F202" s="21"/>
      <c r="G202" s="22"/>
      <c r="H202" s="21"/>
      <c r="I202" s="21"/>
      <c r="J202" s="21"/>
      <c r="K202" s="23"/>
      <c r="L202" s="24"/>
      <c r="M202" s="21"/>
      <c r="N202" s="21"/>
      <c r="O202" s="25"/>
      <c r="P202" s="26"/>
      <c r="Q202" s="27" t="str">
        <f aca="false">IF(A202="","",SUMIF(Expenses!$B$2:$B$3000,A202,Expenses!$E$2:$E$3000))</f>
        <v/>
      </c>
      <c r="R202" s="27" t="str">
        <f aca="false">IF(A202="","",N(P202)+N(Q202))</f>
        <v/>
      </c>
      <c r="S202" s="28"/>
      <c r="T202" s="25"/>
      <c r="U202" s="26"/>
      <c r="V202" s="26"/>
      <c r="W202" s="26"/>
      <c r="X202" s="27" t="str">
        <f aca="false">IF(B202&lt;&gt;"SOLD","",IF(C202="Consignment",N(W202)-R202,N(U202)-R202-N(V202)))</f>
        <v/>
      </c>
      <c r="Y202" s="29" t="str">
        <f aca="false">IF(OR(X202="",N(R202)=0),"",X202/R202)</f>
        <v/>
      </c>
      <c r="Z202" s="30" t="str">
        <f aca="true">IF(O202="","",IF(T202="",TODAY(),T202)-O202)</f>
        <v/>
      </c>
      <c r="AA202" s="31" t="str">
        <f aca="false">IF(T202="","",TEXT(T202,"YYYY-MM"))</f>
        <v/>
      </c>
      <c r="AB202" s="27" t="str">
        <f aca="false">IF(X202="","",X202/2)</f>
        <v/>
      </c>
      <c r="AC202" s="21"/>
    </row>
    <row r="203" customFormat="false" ht="15" hidden="false" customHeight="false" outlineLevel="0" collapsed="false">
      <c r="A203" s="20"/>
      <c r="B203" s="21"/>
      <c r="C203" s="21"/>
      <c r="D203" s="21"/>
      <c r="E203" s="21"/>
      <c r="F203" s="21"/>
      <c r="G203" s="22"/>
      <c r="H203" s="21"/>
      <c r="I203" s="21"/>
      <c r="J203" s="21"/>
      <c r="K203" s="23"/>
      <c r="L203" s="24"/>
      <c r="M203" s="21"/>
      <c r="N203" s="21"/>
      <c r="O203" s="25"/>
      <c r="P203" s="26"/>
      <c r="Q203" s="27" t="str">
        <f aca="false">IF(A203="","",SUMIF(Expenses!$B$2:$B$3000,A203,Expenses!$E$2:$E$3000))</f>
        <v/>
      </c>
      <c r="R203" s="27" t="str">
        <f aca="false">IF(A203="","",N(P203)+N(Q203))</f>
        <v/>
      </c>
      <c r="S203" s="28"/>
      <c r="T203" s="25"/>
      <c r="U203" s="26"/>
      <c r="V203" s="26"/>
      <c r="W203" s="26"/>
      <c r="X203" s="27" t="str">
        <f aca="false">IF(B203&lt;&gt;"SOLD","",IF(C203="Consignment",N(W203)-R203,N(U203)-R203-N(V203)))</f>
        <v/>
      </c>
      <c r="Y203" s="29" t="str">
        <f aca="false">IF(OR(X203="",N(R203)=0),"",X203/R203)</f>
        <v/>
      </c>
      <c r="Z203" s="30" t="str">
        <f aca="true">IF(O203="","",IF(T203="",TODAY(),T203)-O203)</f>
        <v/>
      </c>
      <c r="AA203" s="31" t="str">
        <f aca="false">IF(T203="","",TEXT(T203,"YYYY-MM"))</f>
        <v/>
      </c>
      <c r="AB203" s="27" t="str">
        <f aca="false">IF(X203="","",X203/2)</f>
        <v/>
      </c>
      <c r="AC203" s="21"/>
    </row>
    <row r="204" customFormat="false" ht="15" hidden="false" customHeight="false" outlineLevel="0" collapsed="false">
      <c r="A204" s="20"/>
      <c r="B204" s="21"/>
      <c r="C204" s="21"/>
      <c r="D204" s="21"/>
      <c r="E204" s="21"/>
      <c r="F204" s="21"/>
      <c r="G204" s="22"/>
      <c r="H204" s="21"/>
      <c r="I204" s="21"/>
      <c r="J204" s="21"/>
      <c r="K204" s="23"/>
      <c r="L204" s="24"/>
      <c r="M204" s="21"/>
      <c r="N204" s="21"/>
      <c r="O204" s="25"/>
      <c r="P204" s="26"/>
      <c r="Q204" s="27" t="str">
        <f aca="false">IF(A204="","",SUMIF(Expenses!$B$2:$B$3000,A204,Expenses!$E$2:$E$3000))</f>
        <v/>
      </c>
      <c r="R204" s="27" t="str">
        <f aca="false">IF(A204="","",N(P204)+N(Q204))</f>
        <v/>
      </c>
      <c r="S204" s="28"/>
      <c r="T204" s="25"/>
      <c r="U204" s="26"/>
      <c r="V204" s="26"/>
      <c r="W204" s="26"/>
      <c r="X204" s="27" t="str">
        <f aca="false">IF(B204&lt;&gt;"SOLD","",IF(C204="Consignment",N(W204)-R204,N(U204)-R204-N(V204)))</f>
        <v/>
      </c>
      <c r="Y204" s="29" t="str">
        <f aca="false">IF(OR(X204="",N(R204)=0),"",X204/R204)</f>
        <v/>
      </c>
      <c r="Z204" s="30" t="str">
        <f aca="true">IF(O204="","",IF(T204="",TODAY(),T204)-O204)</f>
        <v/>
      </c>
      <c r="AA204" s="31" t="str">
        <f aca="false">IF(T204="","",TEXT(T204,"YYYY-MM"))</f>
        <v/>
      </c>
      <c r="AB204" s="27" t="str">
        <f aca="false">IF(X204="","",X204/2)</f>
        <v/>
      </c>
      <c r="AC204" s="21"/>
    </row>
    <row r="205" customFormat="false" ht="15" hidden="false" customHeight="false" outlineLevel="0" collapsed="false">
      <c r="A205" s="20"/>
      <c r="B205" s="21"/>
      <c r="C205" s="21"/>
      <c r="D205" s="21"/>
      <c r="E205" s="21"/>
      <c r="F205" s="21"/>
      <c r="G205" s="22"/>
      <c r="H205" s="21"/>
      <c r="I205" s="21"/>
      <c r="J205" s="21"/>
      <c r="K205" s="23"/>
      <c r="L205" s="24"/>
      <c r="M205" s="21"/>
      <c r="N205" s="21"/>
      <c r="O205" s="25"/>
      <c r="P205" s="26"/>
      <c r="Q205" s="27" t="str">
        <f aca="false">IF(A205="","",SUMIF(Expenses!$B$2:$B$3000,A205,Expenses!$E$2:$E$3000))</f>
        <v/>
      </c>
      <c r="R205" s="27" t="str">
        <f aca="false">IF(A205="","",N(P205)+N(Q205))</f>
        <v/>
      </c>
      <c r="S205" s="28"/>
      <c r="T205" s="25"/>
      <c r="U205" s="26"/>
      <c r="V205" s="26"/>
      <c r="W205" s="26"/>
      <c r="X205" s="27" t="str">
        <f aca="false">IF(B205&lt;&gt;"SOLD","",IF(C205="Consignment",N(W205)-R205,N(U205)-R205-N(V205)))</f>
        <v/>
      </c>
      <c r="Y205" s="29" t="str">
        <f aca="false">IF(OR(X205="",N(R205)=0),"",X205/R205)</f>
        <v/>
      </c>
      <c r="Z205" s="30" t="str">
        <f aca="true">IF(O205="","",IF(T205="",TODAY(),T205)-O205)</f>
        <v/>
      </c>
      <c r="AA205" s="31" t="str">
        <f aca="false">IF(T205="","",TEXT(T205,"YYYY-MM"))</f>
        <v/>
      </c>
      <c r="AB205" s="27" t="str">
        <f aca="false">IF(X205="","",X205/2)</f>
        <v/>
      </c>
      <c r="AC205" s="21"/>
    </row>
    <row r="206" customFormat="false" ht="15" hidden="false" customHeight="false" outlineLevel="0" collapsed="false">
      <c r="A206" s="20"/>
      <c r="B206" s="21"/>
      <c r="C206" s="21"/>
      <c r="D206" s="21"/>
      <c r="E206" s="21"/>
      <c r="F206" s="21"/>
      <c r="G206" s="22"/>
      <c r="H206" s="21"/>
      <c r="I206" s="21"/>
      <c r="J206" s="21"/>
      <c r="K206" s="23"/>
      <c r="L206" s="24"/>
      <c r="M206" s="21"/>
      <c r="N206" s="21"/>
      <c r="O206" s="25"/>
      <c r="P206" s="26"/>
      <c r="Q206" s="27" t="str">
        <f aca="false">IF(A206="","",SUMIF(Expenses!$B$2:$B$3000,A206,Expenses!$E$2:$E$3000))</f>
        <v/>
      </c>
      <c r="R206" s="27" t="str">
        <f aca="false">IF(A206="","",N(P206)+N(Q206))</f>
        <v/>
      </c>
      <c r="S206" s="28"/>
      <c r="T206" s="25"/>
      <c r="U206" s="26"/>
      <c r="V206" s="26"/>
      <c r="W206" s="26"/>
      <c r="X206" s="27" t="str">
        <f aca="false">IF(B206&lt;&gt;"SOLD","",IF(C206="Consignment",N(W206)-R206,N(U206)-R206-N(V206)))</f>
        <v/>
      </c>
      <c r="Y206" s="29" t="str">
        <f aca="false">IF(OR(X206="",N(R206)=0),"",X206/R206)</f>
        <v/>
      </c>
      <c r="Z206" s="30" t="str">
        <f aca="true">IF(O206="","",IF(T206="",TODAY(),T206)-O206)</f>
        <v/>
      </c>
      <c r="AA206" s="31" t="str">
        <f aca="false">IF(T206="","",TEXT(T206,"YYYY-MM"))</f>
        <v/>
      </c>
      <c r="AB206" s="27" t="str">
        <f aca="false">IF(X206="","",X206/2)</f>
        <v/>
      </c>
      <c r="AC206" s="21"/>
    </row>
    <row r="207" customFormat="false" ht="15" hidden="false" customHeight="false" outlineLevel="0" collapsed="false">
      <c r="A207" s="20"/>
      <c r="B207" s="21"/>
      <c r="C207" s="21"/>
      <c r="D207" s="21"/>
      <c r="E207" s="21"/>
      <c r="F207" s="21"/>
      <c r="G207" s="22"/>
      <c r="H207" s="21"/>
      <c r="I207" s="21"/>
      <c r="J207" s="21"/>
      <c r="K207" s="23"/>
      <c r="L207" s="24"/>
      <c r="M207" s="21"/>
      <c r="N207" s="21"/>
      <c r="O207" s="25"/>
      <c r="P207" s="26"/>
      <c r="Q207" s="27" t="str">
        <f aca="false">IF(A207="","",SUMIF(Expenses!$B$2:$B$3000,A207,Expenses!$E$2:$E$3000))</f>
        <v/>
      </c>
      <c r="R207" s="27" t="str">
        <f aca="false">IF(A207="","",N(P207)+N(Q207))</f>
        <v/>
      </c>
      <c r="S207" s="28"/>
      <c r="T207" s="25"/>
      <c r="U207" s="26"/>
      <c r="V207" s="26"/>
      <c r="W207" s="26"/>
      <c r="X207" s="27" t="str">
        <f aca="false">IF(B207&lt;&gt;"SOLD","",IF(C207="Consignment",N(W207)-R207,N(U207)-R207-N(V207)))</f>
        <v/>
      </c>
      <c r="Y207" s="29" t="str">
        <f aca="false">IF(OR(X207="",N(R207)=0),"",X207/R207)</f>
        <v/>
      </c>
      <c r="Z207" s="30" t="str">
        <f aca="true">IF(O207="","",IF(T207="",TODAY(),T207)-O207)</f>
        <v/>
      </c>
      <c r="AA207" s="31" t="str">
        <f aca="false">IF(T207="","",TEXT(T207,"YYYY-MM"))</f>
        <v/>
      </c>
      <c r="AB207" s="27" t="str">
        <f aca="false">IF(X207="","",X207/2)</f>
        <v/>
      </c>
      <c r="AC207" s="21"/>
    </row>
    <row r="208" customFormat="false" ht="15" hidden="false" customHeight="false" outlineLevel="0" collapsed="false">
      <c r="A208" s="20"/>
      <c r="B208" s="21"/>
      <c r="C208" s="21"/>
      <c r="D208" s="21"/>
      <c r="E208" s="21"/>
      <c r="F208" s="21"/>
      <c r="G208" s="22"/>
      <c r="H208" s="21"/>
      <c r="I208" s="21"/>
      <c r="J208" s="21"/>
      <c r="K208" s="23"/>
      <c r="L208" s="24"/>
      <c r="M208" s="21"/>
      <c r="N208" s="21"/>
      <c r="O208" s="25"/>
      <c r="P208" s="26"/>
      <c r="Q208" s="27" t="str">
        <f aca="false">IF(A208="","",SUMIF(Expenses!$B$2:$B$3000,A208,Expenses!$E$2:$E$3000))</f>
        <v/>
      </c>
      <c r="R208" s="27" t="str">
        <f aca="false">IF(A208="","",N(P208)+N(Q208))</f>
        <v/>
      </c>
      <c r="S208" s="28"/>
      <c r="T208" s="25"/>
      <c r="U208" s="26"/>
      <c r="V208" s="26"/>
      <c r="W208" s="26"/>
      <c r="X208" s="27" t="str">
        <f aca="false">IF(B208&lt;&gt;"SOLD","",IF(C208="Consignment",N(W208)-R208,N(U208)-R208-N(V208)))</f>
        <v/>
      </c>
      <c r="Y208" s="29" t="str">
        <f aca="false">IF(OR(X208="",N(R208)=0),"",X208/R208)</f>
        <v/>
      </c>
      <c r="Z208" s="30" t="str">
        <f aca="true">IF(O208="","",IF(T208="",TODAY(),T208)-O208)</f>
        <v/>
      </c>
      <c r="AA208" s="31" t="str">
        <f aca="false">IF(T208="","",TEXT(T208,"YYYY-MM"))</f>
        <v/>
      </c>
      <c r="AB208" s="27" t="str">
        <f aca="false">IF(X208="","",X208/2)</f>
        <v/>
      </c>
      <c r="AC208" s="21"/>
    </row>
    <row r="209" customFormat="false" ht="15" hidden="false" customHeight="false" outlineLevel="0" collapsed="false">
      <c r="A209" s="20"/>
      <c r="B209" s="21"/>
      <c r="C209" s="21"/>
      <c r="D209" s="21"/>
      <c r="E209" s="21"/>
      <c r="F209" s="21"/>
      <c r="G209" s="22"/>
      <c r="H209" s="21"/>
      <c r="I209" s="21"/>
      <c r="J209" s="21"/>
      <c r="K209" s="23"/>
      <c r="L209" s="24"/>
      <c r="M209" s="21"/>
      <c r="N209" s="21"/>
      <c r="O209" s="25"/>
      <c r="P209" s="26"/>
      <c r="Q209" s="27" t="str">
        <f aca="false">IF(A209="","",SUMIF(Expenses!$B$2:$B$3000,A209,Expenses!$E$2:$E$3000))</f>
        <v/>
      </c>
      <c r="R209" s="27" t="str">
        <f aca="false">IF(A209="","",N(P209)+N(Q209))</f>
        <v/>
      </c>
      <c r="S209" s="28"/>
      <c r="T209" s="25"/>
      <c r="U209" s="26"/>
      <c r="V209" s="26"/>
      <c r="W209" s="26"/>
      <c r="X209" s="27" t="str">
        <f aca="false">IF(B209&lt;&gt;"SOLD","",IF(C209="Consignment",N(W209)-R209,N(U209)-R209-N(V209)))</f>
        <v/>
      </c>
      <c r="Y209" s="29" t="str">
        <f aca="false">IF(OR(X209="",N(R209)=0),"",X209/R209)</f>
        <v/>
      </c>
      <c r="Z209" s="30" t="str">
        <f aca="true">IF(O209="","",IF(T209="",TODAY(),T209)-O209)</f>
        <v/>
      </c>
      <c r="AA209" s="31" t="str">
        <f aca="false">IF(T209="","",TEXT(T209,"YYYY-MM"))</f>
        <v/>
      </c>
      <c r="AB209" s="27" t="str">
        <f aca="false">IF(X209="","",X209/2)</f>
        <v/>
      </c>
      <c r="AC209" s="21"/>
    </row>
    <row r="210" customFormat="false" ht="15" hidden="false" customHeight="false" outlineLevel="0" collapsed="false">
      <c r="A210" s="20"/>
      <c r="B210" s="21"/>
      <c r="C210" s="21"/>
      <c r="D210" s="21"/>
      <c r="E210" s="21"/>
      <c r="F210" s="21"/>
      <c r="G210" s="22"/>
      <c r="H210" s="21"/>
      <c r="I210" s="21"/>
      <c r="J210" s="21"/>
      <c r="K210" s="23"/>
      <c r="L210" s="24"/>
      <c r="M210" s="21"/>
      <c r="N210" s="21"/>
      <c r="O210" s="25"/>
      <c r="P210" s="26"/>
      <c r="Q210" s="27" t="str">
        <f aca="false">IF(A210="","",SUMIF(Expenses!$B$2:$B$3000,A210,Expenses!$E$2:$E$3000))</f>
        <v/>
      </c>
      <c r="R210" s="27" t="str">
        <f aca="false">IF(A210="","",N(P210)+N(Q210))</f>
        <v/>
      </c>
      <c r="S210" s="28"/>
      <c r="T210" s="25"/>
      <c r="U210" s="26"/>
      <c r="V210" s="26"/>
      <c r="W210" s="26"/>
      <c r="X210" s="27" t="str">
        <f aca="false">IF(B210&lt;&gt;"SOLD","",IF(C210="Consignment",N(W210)-R210,N(U210)-R210-N(V210)))</f>
        <v/>
      </c>
      <c r="Y210" s="29" t="str">
        <f aca="false">IF(OR(X210="",N(R210)=0),"",X210/R210)</f>
        <v/>
      </c>
      <c r="Z210" s="30" t="str">
        <f aca="true">IF(O210="","",IF(T210="",TODAY(),T210)-O210)</f>
        <v/>
      </c>
      <c r="AA210" s="31" t="str">
        <f aca="false">IF(T210="","",TEXT(T210,"YYYY-MM"))</f>
        <v/>
      </c>
      <c r="AB210" s="27" t="str">
        <f aca="false">IF(X210="","",X210/2)</f>
        <v/>
      </c>
      <c r="AC210" s="21"/>
    </row>
    <row r="211" customFormat="false" ht="15" hidden="false" customHeight="false" outlineLevel="0" collapsed="false">
      <c r="A211" s="20"/>
      <c r="B211" s="21"/>
      <c r="C211" s="21"/>
      <c r="D211" s="21"/>
      <c r="E211" s="21"/>
      <c r="F211" s="21"/>
      <c r="G211" s="22"/>
      <c r="H211" s="21"/>
      <c r="I211" s="21"/>
      <c r="J211" s="21"/>
      <c r="K211" s="23"/>
      <c r="L211" s="24"/>
      <c r="M211" s="21"/>
      <c r="N211" s="21"/>
      <c r="O211" s="25"/>
      <c r="P211" s="26"/>
      <c r="Q211" s="27" t="str">
        <f aca="false">IF(A211="","",SUMIF(Expenses!$B$2:$B$3000,A211,Expenses!$E$2:$E$3000))</f>
        <v/>
      </c>
      <c r="R211" s="27" t="str">
        <f aca="false">IF(A211="","",N(P211)+N(Q211))</f>
        <v/>
      </c>
      <c r="S211" s="28"/>
      <c r="T211" s="25"/>
      <c r="U211" s="26"/>
      <c r="V211" s="26"/>
      <c r="W211" s="26"/>
      <c r="X211" s="27" t="str">
        <f aca="false">IF(B211&lt;&gt;"SOLD","",IF(C211="Consignment",N(W211)-R211,N(U211)-R211-N(V211)))</f>
        <v/>
      </c>
      <c r="Y211" s="29" t="str">
        <f aca="false">IF(OR(X211="",N(R211)=0),"",X211/R211)</f>
        <v/>
      </c>
      <c r="Z211" s="30" t="str">
        <f aca="true">IF(O211="","",IF(T211="",TODAY(),T211)-O211)</f>
        <v/>
      </c>
      <c r="AA211" s="31" t="str">
        <f aca="false">IF(T211="","",TEXT(T211,"YYYY-MM"))</f>
        <v/>
      </c>
      <c r="AB211" s="27" t="str">
        <f aca="false">IF(X211="","",X211/2)</f>
        <v/>
      </c>
      <c r="AC211" s="21"/>
    </row>
    <row r="212" customFormat="false" ht="15" hidden="false" customHeight="false" outlineLevel="0" collapsed="false">
      <c r="A212" s="20"/>
      <c r="B212" s="21"/>
      <c r="C212" s="21"/>
      <c r="D212" s="21"/>
      <c r="E212" s="21"/>
      <c r="F212" s="21"/>
      <c r="G212" s="22"/>
      <c r="H212" s="21"/>
      <c r="I212" s="21"/>
      <c r="J212" s="21"/>
      <c r="K212" s="23"/>
      <c r="L212" s="24"/>
      <c r="M212" s="21"/>
      <c r="N212" s="21"/>
      <c r="O212" s="25"/>
      <c r="P212" s="26"/>
      <c r="Q212" s="27" t="str">
        <f aca="false">IF(A212="","",SUMIF(Expenses!$B$2:$B$3000,A212,Expenses!$E$2:$E$3000))</f>
        <v/>
      </c>
      <c r="R212" s="27" t="str">
        <f aca="false">IF(A212="","",N(P212)+N(Q212))</f>
        <v/>
      </c>
      <c r="S212" s="28"/>
      <c r="T212" s="25"/>
      <c r="U212" s="26"/>
      <c r="V212" s="26"/>
      <c r="W212" s="26"/>
      <c r="X212" s="27" t="str">
        <f aca="false">IF(B212&lt;&gt;"SOLD","",IF(C212="Consignment",N(W212)-R212,N(U212)-R212-N(V212)))</f>
        <v/>
      </c>
      <c r="Y212" s="29" t="str">
        <f aca="false">IF(OR(X212="",N(R212)=0),"",X212/R212)</f>
        <v/>
      </c>
      <c r="Z212" s="30" t="str">
        <f aca="true">IF(O212="","",IF(T212="",TODAY(),T212)-O212)</f>
        <v/>
      </c>
      <c r="AA212" s="31" t="str">
        <f aca="false">IF(T212="","",TEXT(T212,"YYYY-MM"))</f>
        <v/>
      </c>
      <c r="AB212" s="27" t="str">
        <f aca="false">IF(X212="","",X212/2)</f>
        <v/>
      </c>
      <c r="AC212" s="21"/>
    </row>
    <row r="213" customFormat="false" ht="15" hidden="false" customHeight="false" outlineLevel="0" collapsed="false">
      <c r="A213" s="20"/>
      <c r="B213" s="21"/>
      <c r="C213" s="21"/>
      <c r="D213" s="21"/>
      <c r="E213" s="21"/>
      <c r="F213" s="21"/>
      <c r="G213" s="22"/>
      <c r="H213" s="21"/>
      <c r="I213" s="21"/>
      <c r="J213" s="21"/>
      <c r="K213" s="23"/>
      <c r="L213" s="24"/>
      <c r="M213" s="21"/>
      <c r="N213" s="21"/>
      <c r="O213" s="25"/>
      <c r="P213" s="26"/>
      <c r="Q213" s="27" t="str">
        <f aca="false">IF(A213="","",SUMIF(Expenses!$B$2:$B$3000,A213,Expenses!$E$2:$E$3000))</f>
        <v/>
      </c>
      <c r="R213" s="27" t="str">
        <f aca="false">IF(A213="","",N(P213)+N(Q213))</f>
        <v/>
      </c>
      <c r="S213" s="28"/>
      <c r="T213" s="25"/>
      <c r="U213" s="26"/>
      <c r="V213" s="26"/>
      <c r="W213" s="26"/>
      <c r="X213" s="27" t="str">
        <f aca="false">IF(B213&lt;&gt;"SOLD","",IF(C213="Consignment",N(W213)-R213,N(U213)-R213-N(V213)))</f>
        <v/>
      </c>
      <c r="Y213" s="29" t="str">
        <f aca="false">IF(OR(X213="",N(R213)=0),"",X213/R213)</f>
        <v/>
      </c>
      <c r="Z213" s="30" t="str">
        <f aca="true">IF(O213="","",IF(T213="",TODAY(),T213)-O213)</f>
        <v/>
      </c>
      <c r="AA213" s="31" t="str">
        <f aca="false">IF(T213="","",TEXT(T213,"YYYY-MM"))</f>
        <v/>
      </c>
      <c r="AB213" s="27" t="str">
        <f aca="false">IF(X213="","",X213/2)</f>
        <v/>
      </c>
      <c r="AC213" s="21"/>
    </row>
    <row r="214" customFormat="false" ht="15" hidden="false" customHeight="false" outlineLevel="0" collapsed="false">
      <c r="A214" s="20"/>
      <c r="B214" s="21"/>
      <c r="C214" s="21"/>
      <c r="D214" s="21"/>
      <c r="E214" s="21"/>
      <c r="F214" s="21"/>
      <c r="G214" s="22"/>
      <c r="H214" s="21"/>
      <c r="I214" s="21"/>
      <c r="J214" s="21"/>
      <c r="K214" s="23"/>
      <c r="L214" s="24"/>
      <c r="M214" s="21"/>
      <c r="N214" s="21"/>
      <c r="O214" s="25"/>
      <c r="P214" s="26"/>
      <c r="Q214" s="27" t="str">
        <f aca="false">IF(A214="","",SUMIF(Expenses!$B$2:$B$3000,A214,Expenses!$E$2:$E$3000))</f>
        <v/>
      </c>
      <c r="R214" s="27" t="str">
        <f aca="false">IF(A214="","",N(P214)+N(Q214))</f>
        <v/>
      </c>
      <c r="S214" s="28"/>
      <c r="T214" s="25"/>
      <c r="U214" s="26"/>
      <c r="V214" s="26"/>
      <c r="W214" s="26"/>
      <c r="X214" s="27" t="str">
        <f aca="false">IF(B214&lt;&gt;"SOLD","",IF(C214="Consignment",N(W214)-R214,N(U214)-R214-N(V214)))</f>
        <v/>
      </c>
      <c r="Y214" s="29" t="str">
        <f aca="false">IF(OR(X214="",N(R214)=0),"",X214/R214)</f>
        <v/>
      </c>
      <c r="Z214" s="30" t="str">
        <f aca="true">IF(O214="","",IF(T214="",TODAY(),T214)-O214)</f>
        <v/>
      </c>
      <c r="AA214" s="31" t="str">
        <f aca="false">IF(T214="","",TEXT(T214,"YYYY-MM"))</f>
        <v/>
      </c>
      <c r="AB214" s="27" t="str">
        <f aca="false">IF(X214="","",X214/2)</f>
        <v/>
      </c>
      <c r="AC214" s="21"/>
    </row>
    <row r="215" customFormat="false" ht="15" hidden="false" customHeight="false" outlineLevel="0" collapsed="false">
      <c r="A215" s="20"/>
      <c r="B215" s="21"/>
      <c r="C215" s="21"/>
      <c r="D215" s="21"/>
      <c r="E215" s="21"/>
      <c r="F215" s="21"/>
      <c r="G215" s="22"/>
      <c r="H215" s="21"/>
      <c r="I215" s="21"/>
      <c r="J215" s="21"/>
      <c r="K215" s="23"/>
      <c r="L215" s="24"/>
      <c r="M215" s="21"/>
      <c r="N215" s="21"/>
      <c r="O215" s="25"/>
      <c r="P215" s="26"/>
      <c r="Q215" s="27" t="str">
        <f aca="false">IF(A215="","",SUMIF(Expenses!$B$2:$B$3000,A215,Expenses!$E$2:$E$3000))</f>
        <v/>
      </c>
      <c r="R215" s="27" t="str">
        <f aca="false">IF(A215="","",N(P215)+N(Q215))</f>
        <v/>
      </c>
      <c r="S215" s="28"/>
      <c r="T215" s="25"/>
      <c r="U215" s="26"/>
      <c r="V215" s="26"/>
      <c r="W215" s="26"/>
      <c r="X215" s="27" t="str">
        <f aca="false">IF(B215&lt;&gt;"SOLD","",IF(C215="Consignment",N(W215)-R215,N(U215)-R215-N(V215)))</f>
        <v/>
      </c>
      <c r="Y215" s="29" t="str">
        <f aca="false">IF(OR(X215="",N(R215)=0),"",X215/R215)</f>
        <v/>
      </c>
      <c r="Z215" s="30" t="str">
        <f aca="true">IF(O215="","",IF(T215="",TODAY(),T215)-O215)</f>
        <v/>
      </c>
      <c r="AA215" s="31" t="str">
        <f aca="false">IF(T215="","",TEXT(T215,"YYYY-MM"))</f>
        <v/>
      </c>
      <c r="AB215" s="27" t="str">
        <f aca="false">IF(X215="","",X215/2)</f>
        <v/>
      </c>
      <c r="AC215" s="21"/>
    </row>
    <row r="216" customFormat="false" ht="15" hidden="false" customHeight="false" outlineLevel="0" collapsed="false">
      <c r="A216" s="20"/>
      <c r="B216" s="21"/>
      <c r="C216" s="21"/>
      <c r="D216" s="21"/>
      <c r="E216" s="21"/>
      <c r="F216" s="21"/>
      <c r="G216" s="22"/>
      <c r="H216" s="21"/>
      <c r="I216" s="21"/>
      <c r="J216" s="21"/>
      <c r="K216" s="23"/>
      <c r="L216" s="24"/>
      <c r="M216" s="21"/>
      <c r="N216" s="21"/>
      <c r="O216" s="25"/>
      <c r="P216" s="26"/>
      <c r="Q216" s="27" t="str">
        <f aca="false">IF(A216="","",SUMIF(Expenses!$B$2:$B$3000,A216,Expenses!$E$2:$E$3000))</f>
        <v/>
      </c>
      <c r="R216" s="27" t="str">
        <f aca="false">IF(A216="","",N(P216)+N(Q216))</f>
        <v/>
      </c>
      <c r="S216" s="28"/>
      <c r="T216" s="25"/>
      <c r="U216" s="26"/>
      <c r="V216" s="26"/>
      <c r="W216" s="26"/>
      <c r="X216" s="27" t="str">
        <f aca="false">IF(B216&lt;&gt;"SOLD","",IF(C216="Consignment",N(W216)-R216,N(U216)-R216-N(V216)))</f>
        <v/>
      </c>
      <c r="Y216" s="29" t="str">
        <f aca="false">IF(OR(X216="",N(R216)=0),"",X216/R216)</f>
        <v/>
      </c>
      <c r="Z216" s="30" t="str">
        <f aca="true">IF(O216="","",IF(T216="",TODAY(),T216)-O216)</f>
        <v/>
      </c>
      <c r="AA216" s="31" t="str">
        <f aca="false">IF(T216="","",TEXT(T216,"YYYY-MM"))</f>
        <v/>
      </c>
      <c r="AB216" s="27" t="str">
        <f aca="false">IF(X216="","",X216/2)</f>
        <v/>
      </c>
      <c r="AC216" s="21"/>
    </row>
    <row r="217" customFormat="false" ht="15" hidden="false" customHeight="false" outlineLevel="0" collapsed="false">
      <c r="A217" s="20"/>
      <c r="B217" s="21"/>
      <c r="C217" s="21"/>
      <c r="D217" s="21"/>
      <c r="E217" s="21"/>
      <c r="F217" s="21"/>
      <c r="G217" s="22"/>
      <c r="H217" s="21"/>
      <c r="I217" s="21"/>
      <c r="J217" s="21"/>
      <c r="K217" s="23"/>
      <c r="L217" s="24"/>
      <c r="M217" s="21"/>
      <c r="N217" s="21"/>
      <c r="O217" s="25"/>
      <c r="P217" s="26"/>
      <c r="Q217" s="27" t="str">
        <f aca="false">IF(A217="","",SUMIF(Expenses!$B$2:$B$3000,A217,Expenses!$E$2:$E$3000))</f>
        <v/>
      </c>
      <c r="R217" s="27" t="str">
        <f aca="false">IF(A217="","",N(P217)+N(Q217))</f>
        <v/>
      </c>
      <c r="S217" s="28"/>
      <c r="T217" s="25"/>
      <c r="U217" s="26"/>
      <c r="V217" s="26"/>
      <c r="W217" s="26"/>
      <c r="X217" s="27" t="str">
        <f aca="false">IF(B217&lt;&gt;"SOLD","",IF(C217="Consignment",N(W217)-R217,N(U217)-R217-N(V217)))</f>
        <v/>
      </c>
      <c r="Y217" s="29" t="str">
        <f aca="false">IF(OR(X217="",N(R217)=0),"",X217/R217)</f>
        <v/>
      </c>
      <c r="Z217" s="30" t="str">
        <f aca="true">IF(O217="","",IF(T217="",TODAY(),T217)-O217)</f>
        <v/>
      </c>
      <c r="AA217" s="31" t="str">
        <f aca="false">IF(T217="","",TEXT(T217,"YYYY-MM"))</f>
        <v/>
      </c>
      <c r="AB217" s="27" t="str">
        <f aca="false">IF(X217="","",X217/2)</f>
        <v/>
      </c>
      <c r="AC217" s="21"/>
    </row>
    <row r="218" customFormat="false" ht="15" hidden="false" customHeight="false" outlineLevel="0" collapsed="false">
      <c r="A218" s="20"/>
      <c r="B218" s="21"/>
      <c r="C218" s="21"/>
      <c r="D218" s="21"/>
      <c r="E218" s="21"/>
      <c r="F218" s="21"/>
      <c r="G218" s="22"/>
      <c r="H218" s="21"/>
      <c r="I218" s="21"/>
      <c r="J218" s="21"/>
      <c r="K218" s="23"/>
      <c r="L218" s="24"/>
      <c r="M218" s="21"/>
      <c r="N218" s="21"/>
      <c r="O218" s="25"/>
      <c r="P218" s="26"/>
      <c r="Q218" s="27" t="str">
        <f aca="false">IF(A218="","",SUMIF(Expenses!$B$2:$B$3000,A218,Expenses!$E$2:$E$3000))</f>
        <v/>
      </c>
      <c r="R218" s="27" t="str">
        <f aca="false">IF(A218="","",N(P218)+N(Q218))</f>
        <v/>
      </c>
      <c r="S218" s="28"/>
      <c r="T218" s="25"/>
      <c r="U218" s="26"/>
      <c r="V218" s="26"/>
      <c r="W218" s="26"/>
      <c r="X218" s="27" t="str">
        <f aca="false">IF(B218&lt;&gt;"SOLD","",IF(C218="Consignment",N(W218)-R218,N(U218)-R218-N(V218)))</f>
        <v/>
      </c>
      <c r="Y218" s="29" t="str">
        <f aca="false">IF(OR(X218="",N(R218)=0),"",X218/R218)</f>
        <v/>
      </c>
      <c r="Z218" s="30" t="str">
        <f aca="true">IF(O218="","",IF(T218="",TODAY(),T218)-O218)</f>
        <v/>
      </c>
      <c r="AA218" s="31" t="str">
        <f aca="false">IF(T218="","",TEXT(T218,"YYYY-MM"))</f>
        <v/>
      </c>
      <c r="AB218" s="27" t="str">
        <f aca="false">IF(X218="","",X218/2)</f>
        <v/>
      </c>
      <c r="AC218" s="21"/>
    </row>
    <row r="219" customFormat="false" ht="15" hidden="false" customHeight="false" outlineLevel="0" collapsed="false">
      <c r="A219" s="20"/>
      <c r="B219" s="21"/>
      <c r="C219" s="21"/>
      <c r="D219" s="21"/>
      <c r="E219" s="21"/>
      <c r="F219" s="21"/>
      <c r="G219" s="22"/>
      <c r="H219" s="21"/>
      <c r="I219" s="21"/>
      <c r="J219" s="21"/>
      <c r="K219" s="23"/>
      <c r="L219" s="24"/>
      <c r="M219" s="21"/>
      <c r="N219" s="21"/>
      <c r="O219" s="25"/>
      <c r="P219" s="26"/>
      <c r="Q219" s="27" t="str">
        <f aca="false">IF(A219="","",SUMIF(Expenses!$B$2:$B$3000,A219,Expenses!$E$2:$E$3000))</f>
        <v/>
      </c>
      <c r="R219" s="27" t="str">
        <f aca="false">IF(A219="","",N(P219)+N(Q219))</f>
        <v/>
      </c>
      <c r="S219" s="28"/>
      <c r="T219" s="25"/>
      <c r="U219" s="26"/>
      <c r="V219" s="26"/>
      <c r="W219" s="26"/>
      <c r="X219" s="27" t="str">
        <f aca="false">IF(B219&lt;&gt;"SOLD","",IF(C219="Consignment",N(W219)-R219,N(U219)-R219-N(V219)))</f>
        <v/>
      </c>
      <c r="Y219" s="29" t="str">
        <f aca="false">IF(OR(X219="",N(R219)=0),"",X219/R219)</f>
        <v/>
      </c>
      <c r="Z219" s="30" t="str">
        <f aca="true">IF(O219="","",IF(T219="",TODAY(),T219)-O219)</f>
        <v/>
      </c>
      <c r="AA219" s="31" t="str">
        <f aca="false">IF(T219="","",TEXT(T219,"YYYY-MM"))</f>
        <v/>
      </c>
      <c r="AB219" s="27" t="str">
        <f aca="false">IF(X219="","",X219/2)</f>
        <v/>
      </c>
      <c r="AC219" s="21"/>
    </row>
    <row r="220" customFormat="false" ht="15" hidden="false" customHeight="false" outlineLevel="0" collapsed="false">
      <c r="A220" s="20"/>
      <c r="B220" s="21"/>
      <c r="C220" s="21"/>
      <c r="D220" s="21"/>
      <c r="E220" s="21"/>
      <c r="F220" s="21"/>
      <c r="G220" s="22"/>
      <c r="H220" s="21"/>
      <c r="I220" s="21"/>
      <c r="J220" s="21"/>
      <c r="K220" s="23"/>
      <c r="L220" s="24"/>
      <c r="M220" s="21"/>
      <c r="N220" s="21"/>
      <c r="O220" s="25"/>
      <c r="P220" s="26"/>
      <c r="Q220" s="27" t="str">
        <f aca="false">IF(A220="","",SUMIF(Expenses!$B$2:$B$3000,A220,Expenses!$E$2:$E$3000))</f>
        <v/>
      </c>
      <c r="R220" s="27" t="str">
        <f aca="false">IF(A220="","",N(P220)+N(Q220))</f>
        <v/>
      </c>
      <c r="S220" s="28"/>
      <c r="T220" s="25"/>
      <c r="U220" s="26"/>
      <c r="V220" s="26"/>
      <c r="W220" s="26"/>
      <c r="X220" s="27" t="str">
        <f aca="false">IF(B220&lt;&gt;"SOLD","",IF(C220="Consignment",N(W220)-R220,N(U220)-R220-N(V220)))</f>
        <v/>
      </c>
      <c r="Y220" s="29" t="str">
        <f aca="false">IF(OR(X220="",N(R220)=0),"",X220/R220)</f>
        <v/>
      </c>
      <c r="Z220" s="30" t="str">
        <f aca="true">IF(O220="","",IF(T220="",TODAY(),T220)-O220)</f>
        <v/>
      </c>
      <c r="AA220" s="31" t="str">
        <f aca="false">IF(T220="","",TEXT(T220,"YYYY-MM"))</f>
        <v/>
      </c>
      <c r="AB220" s="27" t="str">
        <f aca="false">IF(X220="","",X220/2)</f>
        <v/>
      </c>
      <c r="AC220" s="21"/>
    </row>
    <row r="221" customFormat="false" ht="15" hidden="false" customHeight="false" outlineLevel="0" collapsed="false">
      <c r="A221" s="20"/>
      <c r="B221" s="21"/>
      <c r="C221" s="21"/>
      <c r="D221" s="21"/>
      <c r="E221" s="21"/>
      <c r="F221" s="21"/>
      <c r="G221" s="22"/>
      <c r="H221" s="21"/>
      <c r="I221" s="21"/>
      <c r="J221" s="21"/>
      <c r="K221" s="23"/>
      <c r="L221" s="24"/>
      <c r="M221" s="21"/>
      <c r="N221" s="21"/>
      <c r="O221" s="25"/>
      <c r="P221" s="26"/>
      <c r="Q221" s="27" t="str">
        <f aca="false">IF(A221="","",SUMIF(Expenses!$B$2:$B$3000,A221,Expenses!$E$2:$E$3000))</f>
        <v/>
      </c>
      <c r="R221" s="27" t="str">
        <f aca="false">IF(A221="","",N(P221)+N(Q221))</f>
        <v/>
      </c>
      <c r="S221" s="28"/>
      <c r="T221" s="25"/>
      <c r="U221" s="26"/>
      <c r="V221" s="26"/>
      <c r="W221" s="26"/>
      <c r="X221" s="27" t="str">
        <f aca="false">IF(B221&lt;&gt;"SOLD","",IF(C221="Consignment",N(W221)-R221,N(U221)-R221-N(V221)))</f>
        <v/>
      </c>
      <c r="Y221" s="29" t="str">
        <f aca="false">IF(OR(X221="",N(R221)=0),"",X221/R221)</f>
        <v/>
      </c>
      <c r="Z221" s="30" t="str">
        <f aca="true">IF(O221="","",IF(T221="",TODAY(),T221)-O221)</f>
        <v/>
      </c>
      <c r="AA221" s="31" t="str">
        <f aca="false">IF(T221="","",TEXT(T221,"YYYY-MM"))</f>
        <v/>
      </c>
      <c r="AB221" s="27" t="str">
        <f aca="false">IF(X221="","",X221/2)</f>
        <v/>
      </c>
      <c r="AC221" s="21"/>
    </row>
    <row r="222" customFormat="false" ht="15" hidden="false" customHeight="false" outlineLevel="0" collapsed="false">
      <c r="A222" s="20"/>
      <c r="B222" s="21"/>
      <c r="C222" s="21"/>
      <c r="D222" s="21"/>
      <c r="E222" s="21"/>
      <c r="F222" s="21"/>
      <c r="G222" s="22"/>
      <c r="H222" s="21"/>
      <c r="I222" s="21"/>
      <c r="J222" s="21"/>
      <c r="K222" s="23"/>
      <c r="L222" s="24"/>
      <c r="M222" s="21"/>
      <c r="N222" s="21"/>
      <c r="O222" s="25"/>
      <c r="P222" s="26"/>
      <c r="Q222" s="27" t="str">
        <f aca="false">IF(A222="","",SUMIF(Expenses!$B$2:$B$3000,A222,Expenses!$E$2:$E$3000))</f>
        <v/>
      </c>
      <c r="R222" s="27" t="str">
        <f aca="false">IF(A222="","",N(P222)+N(Q222))</f>
        <v/>
      </c>
      <c r="S222" s="28"/>
      <c r="T222" s="25"/>
      <c r="U222" s="26"/>
      <c r="V222" s="26"/>
      <c r="W222" s="26"/>
      <c r="X222" s="27" t="str">
        <f aca="false">IF(B222&lt;&gt;"SOLD","",IF(C222="Consignment",N(W222)-R222,N(U222)-R222-N(V222)))</f>
        <v/>
      </c>
      <c r="Y222" s="29" t="str">
        <f aca="false">IF(OR(X222="",N(R222)=0),"",X222/R222)</f>
        <v/>
      </c>
      <c r="Z222" s="30" t="str">
        <f aca="true">IF(O222="","",IF(T222="",TODAY(),T222)-O222)</f>
        <v/>
      </c>
      <c r="AA222" s="31" t="str">
        <f aca="false">IF(T222="","",TEXT(T222,"YYYY-MM"))</f>
        <v/>
      </c>
      <c r="AB222" s="27" t="str">
        <f aca="false">IF(X222="","",X222/2)</f>
        <v/>
      </c>
      <c r="AC222" s="21"/>
    </row>
    <row r="223" customFormat="false" ht="15" hidden="false" customHeight="false" outlineLevel="0" collapsed="false">
      <c r="A223" s="20"/>
      <c r="B223" s="21"/>
      <c r="C223" s="21"/>
      <c r="D223" s="21"/>
      <c r="E223" s="21"/>
      <c r="F223" s="21"/>
      <c r="G223" s="22"/>
      <c r="H223" s="21"/>
      <c r="I223" s="21"/>
      <c r="J223" s="21"/>
      <c r="K223" s="23"/>
      <c r="L223" s="24"/>
      <c r="M223" s="21"/>
      <c r="N223" s="21"/>
      <c r="O223" s="25"/>
      <c r="P223" s="26"/>
      <c r="Q223" s="27" t="str">
        <f aca="false">IF(A223="","",SUMIF(Expenses!$B$2:$B$3000,A223,Expenses!$E$2:$E$3000))</f>
        <v/>
      </c>
      <c r="R223" s="27" t="str">
        <f aca="false">IF(A223="","",N(P223)+N(Q223))</f>
        <v/>
      </c>
      <c r="S223" s="28"/>
      <c r="T223" s="25"/>
      <c r="U223" s="26"/>
      <c r="V223" s="26"/>
      <c r="W223" s="26"/>
      <c r="X223" s="27" t="str">
        <f aca="false">IF(B223&lt;&gt;"SOLD","",IF(C223="Consignment",N(W223)-R223,N(U223)-R223-N(V223)))</f>
        <v/>
      </c>
      <c r="Y223" s="29" t="str">
        <f aca="false">IF(OR(X223="",N(R223)=0),"",X223/R223)</f>
        <v/>
      </c>
      <c r="Z223" s="30" t="str">
        <f aca="true">IF(O223="","",IF(T223="",TODAY(),T223)-O223)</f>
        <v/>
      </c>
      <c r="AA223" s="31" t="str">
        <f aca="false">IF(T223="","",TEXT(T223,"YYYY-MM"))</f>
        <v/>
      </c>
      <c r="AB223" s="27" t="str">
        <f aca="false">IF(X223="","",X223/2)</f>
        <v/>
      </c>
      <c r="AC223" s="21"/>
    </row>
    <row r="224" customFormat="false" ht="15" hidden="false" customHeight="false" outlineLevel="0" collapsed="false">
      <c r="A224" s="20"/>
      <c r="B224" s="21"/>
      <c r="C224" s="21"/>
      <c r="D224" s="21"/>
      <c r="E224" s="21"/>
      <c r="F224" s="21"/>
      <c r="G224" s="22"/>
      <c r="H224" s="21"/>
      <c r="I224" s="21"/>
      <c r="J224" s="21"/>
      <c r="K224" s="23"/>
      <c r="L224" s="24"/>
      <c r="M224" s="21"/>
      <c r="N224" s="21"/>
      <c r="O224" s="25"/>
      <c r="P224" s="26"/>
      <c r="Q224" s="27" t="str">
        <f aca="false">IF(A224="","",SUMIF(Expenses!$B$2:$B$3000,A224,Expenses!$E$2:$E$3000))</f>
        <v/>
      </c>
      <c r="R224" s="27" t="str">
        <f aca="false">IF(A224="","",N(P224)+N(Q224))</f>
        <v/>
      </c>
      <c r="S224" s="28"/>
      <c r="T224" s="25"/>
      <c r="U224" s="26"/>
      <c r="V224" s="26"/>
      <c r="W224" s="26"/>
      <c r="X224" s="27" t="str">
        <f aca="false">IF(B224&lt;&gt;"SOLD","",IF(C224="Consignment",N(W224)-R224,N(U224)-R224-N(V224)))</f>
        <v/>
      </c>
      <c r="Y224" s="29" t="str">
        <f aca="false">IF(OR(X224="",N(R224)=0),"",X224/R224)</f>
        <v/>
      </c>
      <c r="Z224" s="30" t="str">
        <f aca="true">IF(O224="","",IF(T224="",TODAY(),T224)-O224)</f>
        <v/>
      </c>
      <c r="AA224" s="31" t="str">
        <f aca="false">IF(T224="","",TEXT(T224,"YYYY-MM"))</f>
        <v/>
      </c>
      <c r="AB224" s="27" t="str">
        <f aca="false">IF(X224="","",X224/2)</f>
        <v/>
      </c>
      <c r="AC224" s="21"/>
    </row>
    <row r="225" customFormat="false" ht="15" hidden="false" customHeight="false" outlineLevel="0" collapsed="false">
      <c r="A225" s="20"/>
      <c r="B225" s="21"/>
      <c r="C225" s="21"/>
      <c r="D225" s="21"/>
      <c r="E225" s="21"/>
      <c r="F225" s="21"/>
      <c r="G225" s="22"/>
      <c r="H225" s="21"/>
      <c r="I225" s="21"/>
      <c r="J225" s="21"/>
      <c r="K225" s="23"/>
      <c r="L225" s="24"/>
      <c r="M225" s="21"/>
      <c r="N225" s="21"/>
      <c r="O225" s="25"/>
      <c r="P225" s="26"/>
      <c r="Q225" s="27" t="str">
        <f aca="false">IF(A225="","",SUMIF(Expenses!$B$2:$B$3000,A225,Expenses!$E$2:$E$3000))</f>
        <v/>
      </c>
      <c r="R225" s="27" t="str">
        <f aca="false">IF(A225="","",N(P225)+N(Q225))</f>
        <v/>
      </c>
      <c r="S225" s="28"/>
      <c r="T225" s="25"/>
      <c r="U225" s="26"/>
      <c r="V225" s="26"/>
      <c r="W225" s="26"/>
      <c r="X225" s="27" t="str">
        <f aca="false">IF(B225&lt;&gt;"SOLD","",IF(C225="Consignment",N(W225)-R225,N(U225)-R225-N(V225)))</f>
        <v/>
      </c>
      <c r="Y225" s="29" t="str">
        <f aca="false">IF(OR(X225="",N(R225)=0),"",X225/R225)</f>
        <v/>
      </c>
      <c r="Z225" s="30" t="str">
        <f aca="true">IF(O225="","",IF(T225="",TODAY(),T225)-O225)</f>
        <v/>
      </c>
      <c r="AA225" s="31" t="str">
        <f aca="false">IF(T225="","",TEXT(T225,"YYYY-MM"))</f>
        <v/>
      </c>
      <c r="AB225" s="27" t="str">
        <f aca="false">IF(X225="","",X225/2)</f>
        <v/>
      </c>
      <c r="AC225" s="21"/>
    </row>
    <row r="226" customFormat="false" ht="15" hidden="false" customHeight="false" outlineLevel="0" collapsed="false">
      <c r="A226" s="20"/>
      <c r="B226" s="21"/>
      <c r="C226" s="21"/>
      <c r="D226" s="21"/>
      <c r="E226" s="21"/>
      <c r="F226" s="21"/>
      <c r="G226" s="22"/>
      <c r="H226" s="21"/>
      <c r="I226" s="21"/>
      <c r="J226" s="21"/>
      <c r="K226" s="23"/>
      <c r="L226" s="24"/>
      <c r="M226" s="21"/>
      <c r="N226" s="21"/>
      <c r="O226" s="25"/>
      <c r="P226" s="26"/>
      <c r="Q226" s="27" t="str">
        <f aca="false">IF(A226="","",SUMIF(Expenses!$B$2:$B$3000,A226,Expenses!$E$2:$E$3000))</f>
        <v/>
      </c>
      <c r="R226" s="27" t="str">
        <f aca="false">IF(A226="","",N(P226)+N(Q226))</f>
        <v/>
      </c>
      <c r="S226" s="28"/>
      <c r="T226" s="25"/>
      <c r="U226" s="26"/>
      <c r="V226" s="26"/>
      <c r="W226" s="26"/>
      <c r="X226" s="27" t="str">
        <f aca="false">IF(B226&lt;&gt;"SOLD","",IF(C226="Consignment",N(W226)-R226,N(U226)-R226-N(V226)))</f>
        <v/>
      </c>
      <c r="Y226" s="29" t="str">
        <f aca="false">IF(OR(X226="",N(R226)=0),"",X226/R226)</f>
        <v/>
      </c>
      <c r="Z226" s="30" t="str">
        <f aca="true">IF(O226="","",IF(T226="",TODAY(),T226)-O226)</f>
        <v/>
      </c>
      <c r="AA226" s="31" t="str">
        <f aca="false">IF(T226="","",TEXT(T226,"YYYY-MM"))</f>
        <v/>
      </c>
      <c r="AB226" s="27" t="str">
        <f aca="false">IF(X226="","",X226/2)</f>
        <v/>
      </c>
      <c r="AC226" s="21"/>
    </row>
    <row r="227" customFormat="false" ht="15" hidden="false" customHeight="false" outlineLevel="0" collapsed="false">
      <c r="A227" s="20"/>
      <c r="B227" s="21"/>
      <c r="C227" s="21"/>
      <c r="D227" s="21"/>
      <c r="E227" s="21"/>
      <c r="F227" s="21"/>
      <c r="G227" s="22"/>
      <c r="H227" s="21"/>
      <c r="I227" s="21"/>
      <c r="J227" s="21"/>
      <c r="K227" s="23"/>
      <c r="L227" s="24"/>
      <c r="M227" s="21"/>
      <c r="N227" s="21"/>
      <c r="O227" s="25"/>
      <c r="P227" s="26"/>
      <c r="Q227" s="27" t="str">
        <f aca="false">IF(A227="","",SUMIF(Expenses!$B$2:$B$3000,A227,Expenses!$E$2:$E$3000))</f>
        <v/>
      </c>
      <c r="R227" s="27" t="str">
        <f aca="false">IF(A227="","",N(P227)+N(Q227))</f>
        <v/>
      </c>
      <c r="S227" s="28"/>
      <c r="T227" s="25"/>
      <c r="U227" s="26"/>
      <c r="V227" s="26"/>
      <c r="W227" s="26"/>
      <c r="X227" s="27" t="str">
        <f aca="false">IF(B227&lt;&gt;"SOLD","",IF(C227="Consignment",N(W227)-R227,N(U227)-R227-N(V227)))</f>
        <v/>
      </c>
      <c r="Y227" s="29" t="str">
        <f aca="false">IF(OR(X227="",N(R227)=0),"",X227/R227)</f>
        <v/>
      </c>
      <c r="Z227" s="30" t="str">
        <f aca="true">IF(O227="","",IF(T227="",TODAY(),T227)-O227)</f>
        <v/>
      </c>
      <c r="AA227" s="31" t="str">
        <f aca="false">IF(T227="","",TEXT(T227,"YYYY-MM"))</f>
        <v/>
      </c>
      <c r="AB227" s="27" t="str">
        <f aca="false">IF(X227="","",X227/2)</f>
        <v/>
      </c>
      <c r="AC227" s="21"/>
    </row>
    <row r="228" customFormat="false" ht="15" hidden="false" customHeight="false" outlineLevel="0" collapsed="false">
      <c r="A228" s="20"/>
      <c r="B228" s="21"/>
      <c r="C228" s="21"/>
      <c r="D228" s="21"/>
      <c r="E228" s="21"/>
      <c r="F228" s="21"/>
      <c r="G228" s="22"/>
      <c r="H228" s="21"/>
      <c r="I228" s="21"/>
      <c r="J228" s="21"/>
      <c r="K228" s="23"/>
      <c r="L228" s="24"/>
      <c r="M228" s="21"/>
      <c r="N228" s="21"/>
      <c r="O228" s="25"/>
      <c r="P228" s="26"/>
      <c r="Q228" s="27" t="str">
        <f aca="false">IF(A228="","",SUMIF(Expenses!$B$2:$B$3000,A228,Expenses!$E$2:$E$3000))</f>
        <v/>
      </c>
      <c r="R228" s="27" t="str">
        <f aca="false">IF(A228="","",N(P228)+N(Q228))</f>
        <v/>
      </c>
      <c r="S228" s="28"/>
      <c r="T228" s="25"/>
      <c r="U228" s="26"/>
      <c r="V228" s="26"/>
      <c r="W228" s="26"/>
      <c r="X228" s="27" t="str">
        <f aca="false">IF(B228&lt;&gt;"SOLD","",IF(C228="Consignment",N(W228)-R228,N(U228)-R228-N(V228)))</f>
        <v/>
      </c>
      <c r="Y228" s="29" t="str">
        <f aca="false">IF(OR(X228="",N(R228)=0),"",X228/R228)</f>
        <v/>
      </c>
      <c r="Z228" s="30" t="str">
        <f aca="true">IF(O228="","",IF(T228="",TODAY(),T228)-O228)</f>
        <v/>
      </c>
      <c r="AA228" s="31" t="str">
        <f aca="false">IF(T228="","",TEXT(T228,"YYYY-MM"))</f>
        <v/>
      </c>
      <c r="AB228" s="27" t="str">
        <f aca="false">IF(X228="","",X228/2)</f>
        <v/>
      </c>
      <c r="AC228" s="21"/>
    </row>
    <row r="229" customFormat="false" ht="15" hidden="false" customHeight="false" outlineLevel="0" collapsed="false">
      <c r="A229" s="20"/>
      <c r="B229" s="21"/>
      <c r="C229" s="21"/>
      <c r="D229" s="21"/>
      <c r="E229" s="21"/>
      <c r="F229" s="21"/>
      <c r="G229" s="22"/>
      <c r="H229" s="21"/>
      <c r="I229" s="21"/>
      <c r="J229" s="21"/>
      <c r="K229" s="23"/>
      <c r="L229" s="24"/>
      <c r="M229" s="21"/>
      <c r="N229" s="21"/>
      <c r="O229" s="25"/>
      <c r="P229" s="26"/>
      <c r="Q229" s="27" t="str">
        <f aca="false">IF(A229="","",SUMIF(Expenses!$B$2:$B$3000,A229,Expenses!$E$2:$E$3000))</f>
        <v/>
      </c>
      <c r="R229" s="27" t="str">
        <f aca="false">IF(A229="","",N(P229)+N(Q229))</f>
        <v/>
      </c>
      <c r="S229" s="28"/>
      <c r="T229" s="25"/>
      <c r="U229" s="26"/>
      <c r="V229" s="26"/>
      <c r="W229" s="26"/>
      <c r="X229" s="27" t="str">
        <f aca="false">IF(B229&lt;&gt;"SOLD","",IF(C229="Consignment",N(W229)-R229,N(U229)-R229-N(V229)))</f>
        <v/>
      </c>
      <c r="Y229" s="29" t="str">
        <f aca="false">IF(OR(X229="",N(R229)=0),"",X229/R229)</f>
        <v/>
      </c>
      <c r="Z229" s="30" t="str">
        <f aca="true">IF(O229="","",IF(T229="",TODAY(),T229)-O229)</f>
        <v/>
      </c>
      <c r="AA229" s="31" t="str">
        <f aca="false">IF(T229="","",TEXT(T229,"YYYY-MM"))</f>
        <v/>
      </c>
      <c r="AB229" s="27" t="str">
        <f aca="false">IF(X229="","",X229/2)</f>
        <v/>
      </c>
      <c r="AC229" s="21"/>
    </row>
    <row r="230" customFormat="false" ht="15" hidden="false" customHeight="false" outlineLevel="0" collapsed="false">
      <c r="A230" s="20"/>
      <c r="B230" s="21"/>
      <c r="C230" s="21"/>
      <c r="D230" s="21"/>
      <c r="E230" s="21"/>
      <c r="F230" s="21"/>
      <c r="G230" s="22"/>
      <c r="H230" s="21"/>
      <c r="I230" s="21"/>
      <c r="J230" s="21"/>
      <c r="K230" s="23"/>
      <c r="L230" s="24"/>
      <c r="M230" s="21"/>
      <c r="N230" s="21"/>
      <c r="O230" s="25"/>
      <c r="P230" s="26"/>
      <c r="Q230" s="27" t="str">
        <f aca="false">IF(A230="","",SUMIF(Expenses!$B$2:$B$3000,A230,Expenses!$E$2:$E$3000))</f>
        <v/>
      </c>
      <c r="R230" s="27" t="str">
        <f aca="false">IF(A230="","",N(P230)+N(Q230))</f>
        <v/>
      </c>
      <c r="S230" s="28"/>
      <c r="T230" s="25"/>
      <c r="U230" s="26"/>
      <c r="V230" s="26"/>
      <c r="W230" s="26"/>
      <c r="X230" s="27" t="str">
        <f aca="false">IF(B230&lt;&gt;"SOLD","",IF(C230="Consignment",N(W230)-R230,N(U230)-R230-N(V230)))</f>
        <v/>
      </c>
      <c r="Y230" s="29" t="str">
        <f aca="false">IF(OR(X230="",N(R230)=0),"",X230/R230)</f>
        <v/>
      </c>
      <c r="Z230" s="30" t="str">
        <f aca="true">IF(O230="","",IF(T230="",TODAY(),T230)-O230)</f>
        <v/>
      </c>
      <c r="AA230" s="31" t="str">
        <f aca="false">IF(T230="","",TEXT(T230,"YYYY-MM"))</f>
        <v/>
      </c>
      <c r="AB230" s="27" t="str">
        <f aca="false">IF(X230="","",X230/2)</f>
        <v/>
      </c>
      <c r="AC230" s="21"/>
    </row>
    <row r="231" customFormat="false" ht="15" hidden="false" customHeight="false" outlineLevel="0" collapsed="false">
      <c r="A231" s="20"/>
      <c r="B231" s="21"/>
      <c r="C231" s="21"/>
      <c r="D231" s="21"/>
      <c r="E231" s="21"/>
      <c r="F231" s="21"/>
      <c r="G231" s="22"/>
      <c r="H231" s="21"/>
      <c r="I231" s="21"/>
      <c r="J231" s="21"/>
      <c r="K231" s="23"/>
      <c r="L231" s="24"/>
      <c r="M231" s="21"/>
      <c r="N231" s="21"/>
      <c r="O231" s="25"/>
      <c r="P231" s="26"/>
      <c r="Q231" s="27" t="str">
        <f aca="false">IF(A231="","",SUMIF(Expenses!$B$2:$B$3000,A231,Expenses!$E$2:$E$3000))</f>
        <v/>
      </c>
      <c r="R231" s="27" t="str">
        <f aca="false">IF(A231="","",N(P231)+N(Q231))</f>
        <v/>
      </c>
      <c r="S231" s="28"/>
      <c r="T231" s="25"/>
      <c r="U231" s="26"/>
      <c r="V231" s="26"/>
      <c r="W231" s="26"/>
      <c r="X231" s="27" t="str">
        <f aca="false">IF(B231&lt;&gt;"SOLD","",IF(C231="Consignment",N(W231)-R231,N(U231)-R231-N(V231)))</f>
        <v/>
      </c>
      <c r="Y231" s="29" t="str">
        <f aca="false">IF(OR(X231="",N(R231)=0),"",X231/R231)</f>
        <v/>
      </c>
      <c r="Z231" s="30" t="str">
        <f aca="true">IF(O231="","",IF(T231="",TODAY(),T231)-O231)</f>
        <v/>
      </c>
      <c r="AA231" s="31" t="str">
        <f aca="false">IF(T231="","",TEXT(T231,"YYYY-MM"))</f>
        <v/>
      </c>
      <c r="AB231" s="27" t="str">
        <f aca="false">IF(X231="","",X231/2)</f>
        <v/>
      </c>
      <c r="AC231" s="21"/>
    </row>
    <row r="232" customFormat="false" ht="15" hidden="false" customHeight="false" outlineLevel="0" collapsed="false">
      <c r="A232" s="20"/>
      <c r="B232" s="21"/>
      <c r="C232" s="21"/>
      <c r="D232" s="21"/>
      <c r="E232" s="21"/>
      <c r="F232" s="21"/>
      <c r="G232" s="22"/>
      <c r="H232" s="21"/>
      <c r="I232" s="21"/>
      <c r="J232" s="21"/>
      <c r="K232" s="23"/>
      <c r="L232" s="24"/>
      <c r="M232" s="21"/>
      <c r="N232" s="21"/>
      <c r="O232" s="25"/>
      <c r="P232" s="26"/>
      <c r="Q232" s="27" t="str">
        <f aca="false">IF(A232="","",SUMIF(Expenses!$B$2:$B$3000,A232,Expenses!$E$2:$E$3000))</f>
        <v/>
      </c>
      <c r="R232" s="27" t="str">
        <f aca="false">IF(A232="","",N(P232)+N(Q232))</f>
        <v/>
      </c>
      <c r="S232" s="28"/>
      <c r="T232" s="25"/>
      <c r="U232" s="26"/>
      <c r="V232" s="26"/>
      <c r="W232" s="26"/>
      <c r="X232" s="27" t="str">
        <f aca="false">IF(B232&lt;&gt;"SOLD","",IF(C232="Consignment",N(W232)-R232,N(U232)-R232-N(V232)))</f>
        <v/>
      </c>
      <c r="Y232" s="29" t="str">
        <f aca="false">IF(OR(X232="",N(R232)=0),"",X232/R232)</f>
        <v/>
      </c>
      <c r="Z232" s="30" t="str">
        <f aca="true">IF(O232="","",IF(T232="",TODAY(),T232)-O232)</f>
        <v/>
      </c>
      <c r="AA232" s="31" t="str">
        <f aca="false">IF(T232="","",TEXT(T232,"YYYY-MM"))</f>
        <v/>
      </c>
      <c r="AB232" s="27" t="str">
        <f aca="false">IF(X232="","",X232/2)</f>
        <v/>
      </c>
      <c r="AC232" s="21"/>
    </row>
    <row r="233" customFormat="false" ht="15" hidden="false" customHeight="false" outlineLevel="0" collapsed="false">
      <c r="A233" s="20"/>
      <c r="B233" s="21"/>
      <c r="C233" s="21"/>
      <c r="D233" s="21"/>
      <c r="E233" s="21"/>
      <c r="F233" s="21"/>
      <c r="G233" s="22"/>
      <c r="H233" s="21"/>
      <c r="I233" s="21"/>
      <c r="J233" s="21"/>
      <c r="K233" s="23"/>
      <c r="L233" s="24"/>
      <c r="M233" s="21"/>
      <c r="N233" s="21"/>
      <c r="O233" s="25"/>
      <c r="P233" s="26"/>
      <c r="Q233" s="27" t="str">
        <f aca="false">IF(A233="","",SUMIF(Expenses!$B$2:$B$3000,A233,Expenses!$E$2:$E$3000))</f>
        <v/>
      </c>
      <c r="R233" s="27" t="str">
        <f aca="false">IF(A233="","",N(P233)+N(Q233))</f>
        <v/>
      </c>
      <c r="S233" s="28"/>
      <c r="T233" s="25"/>
      <c r="U233" s="26"/>
      <c r="V233" s="26"/>
      <c r="W233" s="26"/>
      <c r="X233" s="27" t="str">
        <f aca="false">IF(B233&lt;&gt;"SOLD","",IF(C233="Consignment",N(W233)-R233,N(U233)-R233-N(V233)))</f>
        <v/>
      </c>
      <c r="Y233" s="29" t="str">
        <f aca="false">IF(OR(X233="",N(R233)=0),"",X233/R233)</f>
        <v/>
      </c>
      <c r="Z233" s="30" t="str">
        <f aca="true">IF(O233="","",IF(T233="",TODAY(),T233)-O233)</f>
        <v/>
      </c>
      <c r="AA233" s="31" t="str">
        <f aca="false">IF(T233="","",TEXT(T233,"YYYY-MM"))</f>
        <v/>
      </c>
      <c r="AB233" s="27" t="str">
        <f aca="false">IF(X233="","",X233/2)</f>
        <v/>
      </c>
      <c r="AC233" s="21"/>
    </row>
    <row r="234" customFormat="false" ht="15" hidden="false" customHeight="false" outlineLevel="0" collapsed="false">
      <c r="A234" s="20"/>
      <c r="B234" s="21"/>
      <c r="C234" s="21"/>
      <c r="D234" s="21"/>
      <c r="E234" s="21"/>
      <c r="F234" s="21"/>
      <c r="G234" s="22"/>
      <c r="H234" s="21"/>
      <c r="I234" s="21"/>
      <c r="J234" s="21"/>
      <c r="K234" s="23"/>
      <c r="L234" s="24"/>
      <c r="M234" s="21"/>
      <c r="N234" s="21"/>
      <c r="O234" s="25"/>
      <c r="P234" s="26"/>
      <c r="Q234" s="27" t="str">
        <f aca="false">IF(A234="","",SUMIF(Expenses!$B$2:$B$3000,A234,Expenses!$E$2:$E$3000))</f>
        <v/>
      </c>
      <c r="R234" s="27" t="str">
        <f aca="false">IF(A234="","",N(P234)+N(Q234))</f>
        <v/>
      </c>
      <c r="S234" s="28"/>
      <c r="T234" s="25"/>
      <c r="U234" s="26"/>
      <c r="V234" s="26"/>
      <c r="W234" s="26"/>
      <c r="X234" s="27" t="str">
        <f aca="false">IF(B234&lt;&gt;"SOLD","",IF(C234="Consignment",N(W234)-R234,N(U234)-R234-N(V234)))</f>
        <v/>
      </c>
      <c r="Y234" s="29" t="str">
        <f aca="false">IF(OR(X234="",N(R234)=0),"",X234/R234)</f>
        <v/>
      </c>
      <c r="Z234" s="30" t="str">
        <f aca="true">IF(O234="","",IF(T234="",TODAY(),T234)-O234)</f>
        <v/>
      </c>
      <c r="AA234" s="31" t="str">
        <f aca="false">IF(T234="","",TEXT(T234,"YYYY-MM"))</f>
        <v/>
      </c>
      <c r="AB234" s="27" t="str">
        <f aca="false">IF(X234="","",X234/2)</f>
        <v/>
      </c>
      <c r="AC234" s="21"/>
    </row>
    <row r="235" customFormat="false" ht="15" hidden="false" customHeight="false" outlineLevel="0" collapsed="false">
      <c r="A235" s="20"/>
      <c r="B235" s="21"/>
      <c r="C235" s="21"/>
      <c r="D235" s="21"/>
      <c r="E235" s="21"/>
      <c r="F235" s="21"/>
      <c r="G235" s="22"/>
      <c r="H235" s="21"/>
      <c r="I235" s="21"/>
      <c r="J235" s="21"/>
      <c r="K235" s="23"/>
      <c r="L235" s="24"/>
      <c r="M235" s="21"/>
      <c r="N235" s="21"/>
      <c r="O235" s="25"/>
      <c r="P235" s="26"/>
      <c r="Q235" s="27" t="str">
        <f aca="false">IF(A235="","",SUMIF(Expenses!$B$2:$B$3000,A235,Expenses!$E$2:$E$3000))</f>
        <v/>
      </c>
      <c r="R235" s="27" t="str">
        <f aca="false">IF(A235="","",N(P235)+N(Q235))</f>
        <v/>
      </c>
      <c r="S235" s="28"/>
      <c r="T235" s="25"/>
      <c r="U235" s="26"/>
      <c r="V235" s="26"/>
      <c r="W235" s="26"/>
      <c r="X235" s="27" t="str">
        <f aca="false">IF(B235&lt;&gt;"SOLD","",IF(C235="Consignment",N(W235)-R235,N(U235)-R235-N(V235)))</f>
        <v/>
      </c>
      <c r="Y235" s="29" t="str">
        <f aca="false">IF(OR(X235="",N(R235)=0),"",X235/R235)</f>
        <v/>
      </c>
      <c r="Z235" s="30" t="str">
        <f aca="true">IF(O235="","",IF(T235="",TODAY(),T235)-O235)</f>
        <v/>
      </c>
      <c r="AA235" s="31" t="str">
        <f aca="false">IF(T235="","",TEXT(T235,"YYYY-MM"))</f>
        <v/>
      </c>
      <c r="AB235" s="27" t="str">
        <f aca="false">IF(X235="","",X235/2)</f>
        <v/>
      </c>
      <c r="AC235" s="21"/>
    </row>
    <row r="236" customFormat="false" ht="15" hidden="false" customHeight="false" outlineLevel="0" collapsed="false">
      <c r="A236" s="20"/>
      <c r="B236" s="21"/>
      <c r="C236" s="21"/>
      <c r="D236" s="21"/>
      <c r="E236" s="21"/>
      <c r="F236" s="21"/>
      <c r="G236" s="22"/>
      <c r="H236" s="21"/>
      <c r="I236" s="21"/>
      <c r="J236" s="21"/>
      <c r="K236" s="23"/>
      <c r="L236" s="24"/>
      <c r="M236" s="21"/>
      <c r="N236" s="21"/>
      <c r="O236" s="25"/>
      <c r="P236" s="26"/>
      <c r="Q236" s="27" t="str">
        <f aca="false">IF(A236="","",SUMIF(Expenses!$B$2:$B$3000,A236,Expenses!$E$2:$E$3000))</f>
        <v/>
      </c>
      <c r="R236" s="27" t="str">
        <f aca="false">IF(A236="","",N(P236)+N(Q236))</f>
        <v/>
      </c>
      <c r="S236" s="28"/>
      <c r="T236" s="25"/>
      <c r="U236" s="26"/>
      <c r="V236" s="26"/>
      <c r="W236" s="26"/>
      <c r="X236" s="27" t="str">
        <f aca="false">IF(B236&lt;&gt;"SOLD","",IF(C236="Consignment",N(W236)-R236,N(U236)-R236-N(V236)))</f>
        <v/>
      </c>
      <c r="Y236" s="29" t="str">
        <f aca="false">IF(OR(X236="",N(R236)=0),"",X236/R236)</f>
        <v/>
      </c>
      <c r="Z236" s="30" t="str">
        <f aca="true">IF(O236="","",IF(T236="",TODAY(),T236)-O236)</f>
        <v/>
      </c>
      <c r="AA236" s="31" t="str">
        <f aca="false">IF(T236="","",TEXT(T236,"YYYY-MM"))</f>
        <v/>
      </c>
      <c r="AB236" s="27" t="str">
        <f aca="false">IF(X236="","",X236/2)</f>
        <v/>
      </c>
      <c r="AC236" s="21"/>
    </row>
    <row r="237" customFormat="false" ht="15" hidden="false" customHeight="false" outlineLevel="0" collapsed="false">
      <c r="A237" s="20"/>
      <c r="B237" s="21"/>
      <c r="C237" s="21"/>
      <c r="D237" s="21"/>
      <c r="E237" s="21"/>
      <c r="F237" s="21"/>
      <c r="G237" s="22"/>
      <c r="H237" s="21"/>
      <c r="I237" s="21"/>
      <c r="J237" s="21"/>
      <c r="K237" s="23"/>
      <c r="L237" s="24"/>
      <c r="M237" s="21"/>
      <c r="N237" s="21"/>
      <c r="O237" s="25"/>
      <c r="P237" s="26"/>
      <c r="Q237" s="27" t="str">
        <f aca="false">IF(A237="","",SUMIF(Expenses!$B$2:$B$3000,A237,Expenses!$E$2:$E$3000))</f>
        <v/>
      </c>
      <c r="R237" s="27" t="str">
        <f aca="false">IF(A237="","",N(P237)+N(Q237))</f>
        <v/>
      </c>
      <c r="S237" s="28"/>
      <c r="T237" s="25"/>
      <c r="U237" s="26"/>
      <c r="V237" s="26"/>
      <c r="W237" s="26"/>
      <c r="X237" s="27" t="str">
        <f aca="false">IF(B237&lt;&gt;"SOLD","",IF(C237="Consignment",N(W237)-R237,N(U237)-R237-N(V237)))</f>
        <v/>
      </c>
      <c r="Y237" s="29" t="str">
        <f aca="false">IF(OR(X237="",N(R237)=0),"",X237/R237)</f>
        <v/>
      </c>
      <c r="Z237" s="30" t="str">
        <f aca="true">IF(O237="","",IF(T237="",TODAY(),T237)-O237)</f>
        <v/>
      </c>
      <c r="AA237" s="31" t="str">
        <f aca="false">IF(T237="","",TEXT(T237,"YYYY-MM"))</f>
        <v/>
      </c>
      <c r="AB237" s="27" t="str">
        <f aca="false">IF(X237="","",X237/2)</f>
        <v/>
      </c>
      <c r="AC237" s="21"/>
    </row>
    <row r="238" customFormat="false" ht="15" hidden="false" customHeight="false" outlineLevel="0" collapsed="false">
      <c r="A238" s="20"/>
      <c r="B238" s="21"/>
      <c r="C238" s="21"/>
      <c r="D238" s="21"/>
      <c r="E238" s="21"/>
      <c r="F238" s="21"/>
      <c r="G238" s="22"/>
      <c r="H238" s="21"/>
      <c r="I238" s="21"/>
      <c r="J238" s="21"/>
      <c r="K238" s="23"/>
      <c r="L238" s="24"/>
      <c r="M238" s="21"/>
      <c r="N238" s="21"/>
      <c r="O238" s="25"/>
      <c r="P238" s="26"/>
      <c r="Q238" s="27" t="str">
        <f aca="false">IF(A238="","",SUMIF(Expenses!$B$2:$B$3000,A238,Expenses!$E$2:$E$3000))</f>
        <v/>
      </c>
      <c r="R238" s="27" t="str">
        <f aca="false">IF(A238="","",N(P238)+N(Q238))</f>
        <v/>
      </c>
      <c r="S238" s="28"/>
      <c r="T238" s="25"/>
      <c r="U238" s="26"/>
      <c r="V238" s="26"/>
      <c r="W238" s="26"/>
      <c r="X238" s="27" t="str">
        <f aca="false">IF(B238&lt;&gt;"SOLD","",IF(C238="Consignment",N(W238)-R238,N(U238)-R238-N(V238)))</f>
        <v/>
      </c>
      <c r="Y238" s="29" t="str">
        <f aca="false">IF(OR(X238="",N(R238)=0),"",X238/R238)</f>
        <v/>
      </c>
      <c r="Z238" s="30" t="str">
        <f aca="true">IF(O238="","",IF(T238="",TODAY(),T238)-O238)</f>
        <v/>
      </c>
      <c r="AA238" s="31" t="str">
        <f aca="false">IF(T238="","",TEXT(T238,"YYYY-MM"))</f>
        <v/>
      </c>
      <c r="AB238" s="27" t="str">
        <f aca="false">IF(X238="","",X238/2)</f>
        <v/>
      </c>
      <c r="AC238" s="21"/>
    </row>
    <row r="239" customFormat="false" ht="15" hidden="false" customHeight="false" outlineLevel="0" collapsed="false">
      <c r="A239" s="20"/>
      <c r="B239" s="21"/>
      <c r="C239" s="21"/>
      <c r="D239" s="21"/>
      <c r="E239" s="21"/>
      <c r="F239" s="21"/>
      <c r="G239" s="22"/>
      <c r="H239" s="21"/>
      <c r="I239" s="21"/>
      <c r="J239" s="21"/>
      <c r="K239" s="23"/>
      <c r="L239" s="24"/>
      <c r="M239" s="21"/>
      <c r="N239" s="21"/>
      <c r="O239" s="25"/>
      <c r="P239" s="26"/>
      <c r="Q239" s="27" t="str">
        <f aca="false">IF(A239="","",SUMIF(Expenses!$B$2:$B$3000,A239,Expenses!$E$2:$E$3000))</f>
        <v/>
      </c>
      <c r="R239" s="27" t="str">
        <f aca="false">IF(A239="","",N(P239)+N(Q239))</f>
        <v/>
      </c>
      <c r="S239" s="28"/>
      <c r="T239" s="25"/>
      <c r="U239" s="26"/>
      <c r="V239" s="26"/>
      <c r="W239" s="26"/>
      <c r="X239" s="27" t="str">
        <f aca="false">IF(B239&lt;&gt;"SOLD","",IF(C239="Consignment",N(W239)-R239,N(U239)-R239-N(V239)))</f>
        <v/>
      </c>
      <c r="Y239" s="29" t="str">
        <f aca="false">IF(OR(X239="",N(R239)=0),"",X239/R239)</f>
        <v/>
      </c>
      <c r="Z239" s="30" t="str">
        <f aca="true">IF(O239="","",IF(T239="",TODAY(),T239)-O239)</f>
        <v/>
      </c>
      <c r="AA239" s="31" t="str">
        <f aca="false">IF(T239="","",TEXT(T239,"YYYY-MM"))</f>
        <v/>
      </c>
      <c r="AB239" s="27" t="str">
        <f aca="false">IF(X239="","",X239/2)</f>
        <v/>
      </c>
      <c r="AC239" s="21"/>
    </row>
    <row r="240" customFormat="false" ht="15" hidden="false" customHeight="false" outlineLevel="0" collapsed="false">
      <c r="A240" s="20"/>
      <c r="B240" s="21"/>
      <c r="C240" s="21"/>
      <c r="D240" s="21"/>
      <c r="E240" s="21"/>
      <c r="F240" s="21"/>
      <c r="G240" s="22"/>
      <c r="H240" s="21"/>
      <c r="I240" s="21"/>
      <c r="J240" s="21"/>
      <c r="K240" s="23"/>
      <c r="L240" s="24"/>
      <c r="M240" s="21"/>
      <c r="N240" s="21"/>
      <c r="O240" s="25"/>
      <c r="P240" s="26"/>
      <c r="Q240" s="27" t="str">
        <f aca="false">IF(A240="","",SUMIF(Expenses!$B$2:$B$3000,A240,Expenses!$E$2:$E$3000))</f>
        <v/>
      </c>
      <c r="R240" s="27" t="str">
        <f aca="false">IF(A240="","",N(P240)+N(Q240))</f>
        <v/>
      </c>
      <c r="S240" s="28"/>
      <c r="T240" s="25"/>
      <c r="U240" s="26"/>
      <c r="V240" s="26"/>
      <c r="W240" s="26"/>
      <c r="X240" s="27" t="str">
        <f aca="false">IF(B240&lt;&gt;"SOLD","",IF(C240="Consignment",N(W240)-R240,N(U240)-R240-N(V240)))</f>
        <v/>
      </c>
      <c r="Y240" s="29" t="str">
        <f aca="false">IF(OR(X240="",N(R240)=0),"",X240/R240)</f>
        <v/>
      </c>
      <c r="Z240" s="30" t="str">
        <f aca="true">IF(O240="","",IF(T240="",TODAY(),T240)-O240)</f>
        <v/>
      </c>
      <c r="AA240" s="31" t="str">
        <f aca="false">IF(T240="","",TEXT(T240,"YYYY-MM"))</f>
        <v/>
      </c>
      <c r="AB240" s="27" t="str">
        <f aca="false">IF(X240="","",X240/2)</f>
        <v/>
      </c>
      <c r="AC240" s="21"/>
    </row>
    <row r="241" customFormat="false" ht="15" hidden="false" customHeight="false" outlineLevel="0" collapsed="false">
      <c r="A241" s="20"/>
      <c r="B241" s="21"/>
      <c r="C241" s="21"/>
      <c r="D241" s="21"/>
      <c r="E241" s="21"/>
      <c r="F241" s="21"/>
      <c r="G241" s="22"/>
      <c r="H241" s="21"/>
      <c r="I241" s="21"/>
      <c r="J241" s="21"/>
      <c r="K241" s="23"/>
      <c r="L241" s="24"/>
      <c r="M241" s="21"/>
      <c r="N241" s="21"/>
      <c r="O241" s="25"/>
      <c r="P241" s="26"/>
      <c r="Q241" s="27" t="str">
        <f aca="false">IF(A241="","",SUMIF(Expenses!$B$2:$B$3000,A241,Expenses!$E$2:$E$3000))</f>
        <v/>
      </c>
      <c r="R241" s="27" t="str">
        <f aca="false">IF(A241="","",N(P241)+N(Q241))</f>
        <v/>
      </c>
      <c r="S241" s="28"/>
      <c r="T241" s="25"/>
      <c r="U241" s="26"/>
      <c r="V241" s="26"/>
      <c r="W241" s="26"/>
      <c r="X241" s="27" t="str">
        <f aca="false">IF(B241&lt;&gt;"SOLD","",IF(C241="Consignment",N(W241)-R241,N(U241)-R241-N(V241)))</f>
        <v/>
      </c>
      <c r="Y241" s="29" t="str">
        <f aca="false">IF(OR(X241="",N(R241)=0),"",X241/R241)</f>
        <v/>
      </c>
      <c r="Z241" s="30" t="str">
        <f aca="true">IF(O241="","",IF(T241="",TODAY(),T241)-O241)</f>
        <v/>
      </c>
      <c r="AA241" s="31" t="str">
        <f aca="false">IF(T241="","",TEXT(T241,"YYYY-MM"))</f>
        <v/>
      </c>
      <c r="AB241" s="27" t="str">
        <f aca="false">IF(X241="","",X241/2)</f>
        <v/>
      </c>
      <c r="AC241" s="21"/>
    </row>
    <row r="242" customFormat="false" ht="15" hidden="false" customHeight="false" outlineLevel="0" collapsed="false">
      <c r="A242" s="20"/>
      <c r="B242" s="21"/>
      <c r="C242" s="21"/>
      <c r="D242" s="21"/>
      <c r="E242" s="21"/>
      <c r="F242" s="21"/>
      <c r="G242" s="22"/>
      <c r="H242" s="21"/>
      <c r="I242" s="21"/>
      <c r="J242" s="21"/>
      <c r="K242" s="23"/>
      <c r="L242" s="24"/>
      <c r="M242" s="21"/>
      <c r="N242" s="21"/>
      <c r="O242" s="25"/>
      <c r="P242" s="26"/>
      <c r="Q242" s="27" t="str">
        <f aca="false">IF(A242="","",SUMIF(Expenses!$B$2:$B$3000,A242,Expenses!$E$2:$E$3000))</f>
        <v/>
      </c>
      <c r="R242" s="27" t="str">
        <f aca="false">IF(A242="","",N(P242)+N(Q242))</f>
        <v/>
      </c>
      <c r="S242" s="28"/>
      <c r="T242" s="25"/>
      <c r="U242" s="26"/>
      <c r="V242" s="26"/>
      <c r="W242" s="26"/>
      <c r="X242" s="27" t="str">
        <f aca="false">IF(B242&lt;&gt;"SOLD","",IF(C242="Consignment",N(W242)-R242,N(U242)-R242-N(V242)))</f>
        <v/>
      </c>
      <c r="Y242" s="29" t="str">
        <f aca="false">IF(OR(X242="",N(R242)=0),"",X242/R242)</f>
        <v/>
      </c>
      <c r="Z242" s="30" t="str">
        <f aca="true">IF(O242="","",IF(T242="",TODAY(),T242)-O242)</f>
        <v/>
      </c>
      <c r="AA242" s="31" t="str">
        <f aca="false">IF(T242="","",TEXT(T242,"YYYY-MM"))</f>
        <v/>
      </c>
      <c r="AB242" s="27" t="str">
        <f aca="false">IF(X242="","",X242/2)</f>
        <v/>
      </c>
      <c r="AC242" s="21"/>
    </row>
    <row r="243" customFormat="false" ht="15" hidden="false" customHeight="false" outlineLevel="0" collapsed="false">
      <c r="A243" s="20"/>
      <c r="B243" s="21"/>
      <c r="C243" s="21"/>
      <c r="D243" s="21"/>
      <c r="E243" s="21"/>
      <c r="F243" s="21"/>
      <c r="G243" s="22"/>
      <c r="H243" s="21"/>
      <c r="I243" s="21"/>
      <c r="J243" s="21"/>
      <c r="K243" s="23"/>
      <c r="L243" s="24"/>
      <c r="M243" s="21"/>
      <c r="N243" s="21"/>
      <c r="O243" s="25"/>
      <c r="P243" s="26"/>
      <c r="Q243" s="27" t="str">
        <f aca="false">IF(A243="","",SUMIF(Expenses!$B$2:$B$3000,A243,Expenses!$E$2:$E$3000))</f>
        <v/>
      </c>
      <c r="R243" s="27" t="str">
        <f aca="false">IF(A243="","",N(P243)+N(Q243))</f>
        <v/>
      </c>
      <c r="S243" s="28"/>
      <c r="T243" s="25"/>
      <c r="U243" s="26"/>
      <c r="V243" s="26"/>
      <c r="W243" s="26"/>
      <c r="X243" s="27" t="str">
        <f aca="false">IF(B243&lt;&gt;"SOLD","",IF(C243="Consignment",N(W243)-R243,N(U243)-R243-N(V243)))</f>
        <v/>
      </c>
      <c r="Y243" s="29" t="str">
        <f aca="false">IF(OR(X243="",N(R243)=0),"",X243/R243)</f>
        <v/>
      </c>
      <c r="Z243" s="30" t="str">
        <f aca="true">IF(O243="","",IF(T243="",TODAY(),T243)-O243)</f>
        <v/>
      </c>
      <c r="AA243" s="31" t="str">
        <f aca="false">IF(T243="","",TEXT(T243,"YYYY-MM"))</f>
        <v/>
      </c>
      <c r="AB243" s="27" t="str">
        <f aca="false">IF(X243="","",X243/2)</f>
        <v/>
      </c>
      <c r="AC243" s="21"/>
    </row>
    <row r="244" customFormat="false" ht="15" hidden="false" customHeight="false" outlineLevel="0" collapsed="false">
      <c r="A244" s="20"/>
      <c r="B244" s="21"/>
      <c r="C244" s="21"/>
      <c r="D244" s="21"/>
      <c r="E244" s="21"/>
      <c r="F244" s="21"/>
      <c r="G244" s="22"/>
      <c r="H244" s="21"/>
      <c r="I244" s="21"/>
      <c r="J244" s="21"/>
      <c r="K244" s="23"/>
      <c r="L244" s="24"/>
      <c r="M244" s="21"/>
      <c r="N244" s="21"/>
      <c r="O244" s="25"/>
      <c r="P244" s="26"/>
      <c r="Q244" s="27" t="str">
        <f aca="false">IF(A244="","",SUMIF(Expenses!$B$2:$B$3000,A244,Expenses!$E$2:$E$3000))</f>
        <v/>
      </c>
      <c r="R244" s="27" t="str">
        <f aca="false">IF(A244="","",N(P244)+N(Q244))</f>
        <v/>
      </c>
      <c r="S244" s="28"/>
      <c r="T244" s="25"/>
      <c r="U244" s="26"/>
      <c r="V244" s="26"/>
      <c r="W244" s="26"/>
      <c r="X244" s="27" t="str">
        <f aca="false">IF(B244&lt;&gt;"SOLD","",IF(C244="Consignment",N(W244)-R244,N(U244)-R244-N(V244)))</f>
        <v/>
      </c>
      <c r="Y244" s="29" t="str">
        <f aca="false">IF(OR(X244="",N(R244)=0),"",X244/R244)</f>
        <v/>
      </c>
      <c r="Z244" s="30" t="str">
        <f aca="true">IF(O244="","",IF(T244="",TODAY(),T244)-O244)</f>
        <v/>
      </c>
      <c r="AA244" s="31" t="str">
        <f aca="false">IF(T244="","",TEXT(T244,"YYYY-MM"))</f>
        <v/>
      </c>
      <c r="AB244" s="27" t="str">
        <f aca="false">IF(X244="","",X244/2)</f>
        <v/>
      </c>
      <c r="AC244" s="21"/>
    </row>
    <row r="245" customFormat="false" ht="15" hidden="false" customHeight="false" outlineLevel="0" collapsed="false">
      <c r="A245" s="20"/>
      <c r="B245" s="21"/>
      <c r="C245" s="21"/>
      <c r="D245" s="21"/>
      <c r="E245" s="21"/>
      <c r="F245" s="21"/>
      <c r="G245" s="22"/>
      <c r="H245" s="21"/>
      <c r="I245" s="21"/>
      <c r="J245" s="21"/>
      <c r="K245" s="23"/>
      <c r="L245" s="24"/>
      <c r="M245" s="21"/>
      <c r="N245" s="21"/>
      <c r="O245" s="25"/>
      <c r="P245" s="26"/>
      <c r="Q245" s="27" t="str">
        <f aca="false">IF(A245="","",SUMIF(Expenses!$B$2:$B$3000,A245,Expenses!$E$2:$E$3000))</f>
        <v/>
      </c>
      <c r="R245" s="27" t="str">
        <f aca="false">IF(A245="","",N(P245)+N(Q245))</f>
        <v/>
      </c>
      <c r="S245" s="28"/>
      <c r="T245" s="25"/>
      <c r="U245" s="26"/>
      <c r="V245" s="26"/>
      <c r="W245" s="26"/>
      <c r="X245" s="27" t="str">
        <f aca="false">IF(B245&lt;&gt;"SOLD","",IF(C245="Consignment",N(W245)-R245,N(U245)-R245-N(V245)))</f>
        <v/>
      </c>
      <c r="Y245" s="29" t="str">
        <f aca="false">IF(OR(X245="",N(R245)=0),"",X245/R245)</f>
        <v/>
      </c>
      <c r="Z245" s="30" t="str">
        <f aca="true">IF(O245="","",IF(T245="",TODAY(),T245)-O245)</f>
        <v/>
      </c>
      <c r="AA245" s="31" t="str">
        <f aca="false">IF(T245="","",TEXT(T245,"YYYY-MM"))</f>
        <v/>
      </c>
      <c r="AB245" s="27" t="str">
        <f aca="false">IF(X245="","",X245/2)</f>
        <v/>
      </c>
      <c r="AC245" s="21"/>
    </row>
    <row r="246" customFormat="false" ht="15" hidden="false" customHeight="false" outlineLevel="0" collapsed="false">
      <c r="A246" s="20"/>
      <c r="B246" s="21"/>
      <c r="C246" s="21"/>
      <c r="D246" s="21"/>
      <c r="E246" s="21"/>
      <c r="F246" s="21"/>
      <c r="G246" s="22"/>
      <c r="H246" s="21"/>
      <c r="I246" s="21"/>
      <c r="J246" s="21"/>
      <c r="K246" s="23"/>
      <c r="L246" s="24"/>
      <c r="M246" s="21"/>
      <c r="N246" s="21"/>
      <c r="O246" s="25"/>
      <c r="P246" s="26"/>
      <c r="Q246" s="27" t="str">
        <f aca="false">IF(A246="","",SUMIF(Expenses!$B$2:$B$3000,A246,Expenses!$E$2:$E$3000))</f>
        <v/>
      </c>
      <c r="R246" s="27" t="str">
        <f aca="false">IF(A246="","",N(P246)+N(Q246))</f>
        <v/>
      </c>
      <c r="S246" s="28"/>
      <c r="T246" s="25"/>
      <c r="U246" s="26"/>
      <c r="V246" s="26"/>
      <c r="W246" s="26"/>
      <c r="X246" s="27" t="str">
        <f aca="false">IF(B246&lt;&gt;"SOLD","",IF(C246="Consignment",N(W246)-R246,N(U246)-R246-N(V246)))</f>
        <v/>
      </c>
      <c r="Y246" s="29" t="str">
        <f aca="false">IF(OR(X246="",N(R246)=0),"",X246/R246)</f>
        <v/>
      </c>
      <c r="Z246" s="30" t="str">
        <f aca="true">IF(O246="","",IF(T246="",TODAY(),T246)-O246)</f>
        <v/>
      </c>
      <c r="AA246" s="31" t="str">
        <f aca="false">IF(T246="","",TEXT(T246,"YYYY-MM"))</f>
        <v/>
      </c>
      <c r="AB246" s="27" t="str">
        <f aca="false">IF(X246="","",X246/2)</f>
        <v/>
      </c>
      <c r="AC246" s="21"/>
    </row>
    <row r="247" customFormat="false" ht="15" hidden="false" customHeight="false" outlineLevel="0" collapsed="false">
      <c r="A247" s="20"/>
      <c r="B247" s="21"/>
      <c r="C247" s="21"/>
      <c r="D247" s="21"/>
      <c r="E247" s="21"/>
      <c r="F247" s="21"/>
      <c r="G247" s="22"/>
      <c r="H247" s="21"/>
      <c r="I247" s="21"/>
      <c r="J247" s="21"/>
      <c r="K247" s="23"/>
      <c r="L247" s="24"/>
      <c r="M247" s="21"/>
      <c r="N247" s="21"/>
      <c r="O247" s="25"/>
      <c r="P247" s="26"/>
      <c r="Q247" s="27" t="str">
        <f aca="false">IF(A247="","",SUMIF(Expenses!$B$2:$B$3000,A247,Expenses!$E$2:$E$3000))</f>
        <v/>
      </c>
      <c r="R247" s="27" t="str">
        <f aca="false">IF(A247="","",N(P247)+N(Q247))</f>
        <v/>
      </c>
      <c r="S247" s="28"/>
      <c r="T247" s="25"/>
      <c r="U247" s="26"/>
      <c r="V247" s="26"/>
      <c r="W247" s="26"/>
      <c r="X247" s="27" t="str">
        <f aca="false">IF(B247&lt;&gt;"SOLD","",IF(C247="Consignment",N(W247)-R247,N(U247)-R247-N(V247)))</f>
        <v/>
      </c>
      <c r="Y247" s="29" t="str">
        <f aca="false">IF(OR(X247="",N(R247)=0),"",X247/R247)</f>
        <v/>
      </c>
      <c r="Z247" s="30" t="str">
        <f aca="true">IF(O247="","",IF(T247="",TODAY(),T247)-O247)</f>
        <v/>
      </c>
      <c r="AA247" s="31" t="str">
        <f aca="false">IF(T247="","",TEXT(T247,"YYYY-MM"))</f>
        <v/>
      </c>
      <c r="AB247" s="27" t="str">
        <f aca="false">IF(X247="","",X247/2)</f>
        <v/>
      </c>
      <c r="AC247" s="21"/>
    </row>
    <row r="248" customFormat="false" ht="15" hidden="false" customHeight="false" outlineLevel="0" collapsed="false">
      <c r="A248" s="20"/>
      <c r="B248" s="21"/>
      <c r="C248" s="21"/>
      <c r="D248" s="21"/>
      <c r="E248" s="21"/>
      <c r="F248" s="21"/>
      <c r="G248" s="22"/>
      <c r="H248" s="21"/>
      <c r="I248" s="21"/>
      <c r="J248" s="21"/>
      <c r="K248" s="23"/>
      <c r="L248" s="24"/>
      <c r="M248" s="21"/>
      <c r="N248" s="21"/>
      <c r="O248" s="25"/>
      <c r="P248" s="26"/>
      <c r="Q248" s="27" t="str">
        <f aca="false">IF(A248="","",SUMIF(Expenses!$B$2:$B$3000,A248,Expenses!$E$2:$E$3000))</f>
        <v/>
      </c>
      <c r="R248" s="27" t="str">
        <f aca="false">IF(A248="","",N(P248)+N(Q248))</f>
        <v/>
      </c>
      <c r="S248" s="28"/>
      <c r="T248" s="25"/>
      <c r="U248" s="26"/>
      <c r="V248" s="26"/>
      <c r="W248" s="26"/>
      <c r="X248" s="27" t="str">
        <f aca="false">IF(B248&lt;&gt;"SOLD","",IF(C248="Consignment",N(W248)-R248,N(U248)-R248-N(V248)))</f>
        <v/>
      </c>
      <c r="Y248" s="29" t="str">
        <f aca="false">IF(OR(X248="",N(R248)=0),"",X248/R248)</f>
        <v/>
      </c>
      <c r="Z248" s="30" t="str">
        <f aca="true">IF(O248="","",IF(T248="",TODAY(),T248)-O248)</f>
        <v/>
      </c>
      <c r="AA248" s="31" t="str">
        <f aca="false">IF(T248="","",TEXT(T248,"YYYY-MM"))</f>
        <v/>
      </c>
      <c r="AB248" s="27" t="str">
        <f aca="false">IF(X248="","",X248/2)</f>
        <v/>
      </c>
      <c r="AC248" s="21"/>
    </row>
    <row r="249" customFormat="false" ht="15" hidden="false" customHeight="false" outlineLevel="0" collapsed="false">
      <c r="A249" s="20"/>
      <c r="B249" s="21"/>
      <c r="C249" s="21"/>
      <c r="D249" s="21"/>
      <c r="E249" s="21"/>
      <c r="F249" s="21"/>
      <c r="G249" s="22"/>
      <c r="H249" s="21"/>
      <c r="I249" s="21"/>
      <c r="J249" s="21"/>
      <c r="K249" s="23"/>
      <c r="L249" s="24"/>
      <c r="M249" s="21"/>
      <c r="N249" s="21"/>
      <c r="O249" s="25"/>
      <c r="P249" s="26"/>
      <c r="Q249" s="27" t="str">
        <f aca="false">IF(A249="","",SUMIF(Expenses!$B$2:$B$3000,A249,Expenses!$E$2:$E$3000))</f>
        <v/>
      </c>
      <c r="R249" s="27" t="str">
        <f aca="false">IF(A249="","",N(P249)+N(Q249))</f>
        <v/>
      </c>
      <c r="S249" s="28"/>
      <c r="T249" s="25"/>
      <c r="U249" s="26"/>
      <c r="V249" s="26"/>
      <c r="W249" s="26"/>
      <c r="X249" s="27" t="str">
        <f aca="false">IF(B249&lt;&gt;"SOLD","",IF(C249="Consignment",N(W249)-R249,N(U249)-R249-N(V249)))</f>
        <v/>
      </c>
      <c r="Y249" s="29" t="str">
        <f aca="false">IF(OR(X249="",N(R249)=0),"",X249/R249)</f>
        <v/>
      </c>
      <c r="Z249" s="30" t="str">
        <f aca="true">IF(O249="","",IF(T249="",TODAY(),T249)-O249)</f>
        <v/>
      </c>
      <c r="AA249" s="31" t="str">
        <f aca="false">IF(T249="","",TEXT(T249,"YYYY-MM"))</f>
        <v/>
      </c>
      <c r="AB249" s="27" t="str">
        <f aca="false">IF(X249="","",X249/2)</f>
        <v/>
      </c>
      <c r="AC249" s="21"/>
    </row>
    <row r="250" customFormat="false" ht="15" hidden="false" customHeight="false" outlineLevel="0" collapsed="false">
      <c r="A250" s="20"/>
      <c r="B250" s="21"/>
      <c r="C250" s="21"/>
      <c r="D250" s="21"/>
      <c r="E250" s="21"/>
      <c r="F250" s="21"/>
      <c r="G250" s="22"/>
      <c r="H250" s="21"/>
      <c r="I250" s="21"/>
      <c r="J250" s="21"/>
      <c r="K250" s="23"/>
      <c r="L250" s="24"/>
      <c r="M250" s="21"/>
      <c r="N250" s="21"/>
      <c r="O250" s="25"/>
      <c r="P250" s="26"/>
      <c r="Q250" s="27" t="str">
        <f aca="false">IF(A250="","",SUMIF(Expenses!$B$2:$B$3000,A250,Expenses!$E$2:$E$3000))</f>
        <v/>
      </c>
      <c r="R250" s="27" t="str">
        <f aca="false">IF(A250="","",N(P250)+N(Q250))</f>
        <v/>
      </c>
      <c r="S250" s="28"/>
      <c r="T250" s="25"/>
      <c r="U250" s="26"/>
      <c r="V250" s="26"/>
      <c r="W250" s="26"/>
      <c r="X250" s="27" t="str">
        <f aca="false">IF(B250&lt;&gt;"SOLD","",IF(C250="Consignment",N(W250)-R250,N(U250)-R250-N(V250)))</f>
        <v/>
      </c>
      <c r="Y250" s="29" t="str">
        <f aca="false">IF(OR(X250="",N(R250)=0),"",X250/R250)</f>
        <v/>
      </c>
      <c r="Z250" s="30" t="str">
        <f aca="true">IF(O250="","",IF(T250="",TODAY(),T250)-O250)</f>
        <v/>
      </c>
      <c r="AA250" s="31" t="str">
        <f aca="false">IF(T250="","",TEXT(T250,"YYYY-MM"))</f>
        <v/>
      </c>
      <c r="AB250" s="27" t="str">
        <f aca="false">IF(X250="","",X250/2)</f>
        <v/>
      </c>
      <c r="AC250" s="21"/>
    </row>
    <row r="251" customFormat="false" ht="15" hidden="false" customHeight="false" outlineLevel="0" collapsed="false">
      <c r="A251" s="20"/>
      <c r="B251" s="21"/>
      <c r="C251" s="21"/>
      <c r="D251" s="21"/>
      <c r="E251" s="21"/>
      <c r="F251" s="21"/>
      <c r="G251" s="22"/>
      <c r="H251" s="21"/>
      <c r="I251" s="21"/>
      <c r="J251" s="21"/>
      <c r="K251" s="23"/>
      <c r="L251" s="24"/>
      <c r="M251" s="21"/>
      <c r="N251" s="21"/>
      <c r="O251" s="25"/>
      <c r="P251" s="26"/>
      <c r="Q251" s="27" t="str">
        <f aca="false">IF(A251="","",SUMIF(Expenses!$B$2:$B$3000,A251,Expenses!$E$2:$E$3000))</f>
        <v/>
      </c>
      <c r="R251" s="27" t="str">
        <f aca="false">IF(A251="","",N(P251)+N(Q251))</f>
        <v/>
      </c>
      <c r="S251" s="28"/>
      <c r="T251" s="25"/>
      <c r="U251" s="26"/>
      <c r="V251" s="26"/>
      <c r="W251" s="26"/>
      <c r="X251" s="27" t="str">
        <f aca="false">IF(B251&lt;&gt;"SOLD","",IF(C251="Consignment",N(W251)-R251,N(U251)-R251-N(V251)))</f>
        <v/>
      </c>
      <c r="Y251" s="29" t="str">
        <f aca="false">IF(OR(X251="",N(R251)=0),"",X251/R251)</f>
        <v/>
      </c>
      <c r="Z251" s="30" t="str">
        <f aca="true">IF(O251="","",IF(T251="",TODAY(),T251)-O251)</f>
        <v/>
      </c>
      <c r="AA251" s="31" t="str">
        <f aca="false">IF(T251="","",TEXT(T251,"YYYY-MM"))</f>
        <v/>
      </c>
      <c r="AB251" s="27" t="str">
        <f aca="false">IF(X251="","",X251/2)</f>
        <v/>
      </c>
      <c r="AC251" s="21"/>
    </row>
    <row r="252" customFormat="false" ht="15" hidden="false" customHeight="false" outlineLevel="0" collapsed="false">
      <c r="A252" s="20"/>
      <c r="B252" s="21"/>
      <c r="C252" s="21"/>
      <c r="D252" s="21"/>
      <c r="E252" s="21"/>
      <c r="F252" s="21"/>
      <c r="G252" s="22"/>
      <c r="H252" s="21"/>
      <c r="I252" s="21"/>
      <c r="J252" s="21"/>
      <c r="K252" s="23"/>
      <c r="L252" s="24"/>
      <c r="M252" s="21"/>
      <c r="N252" s="21"/>
      <c r="O252" s="25"/>
      <c r="P252" s="26"/>
      <c r="Q252" s="27" t="str">
        <f aca="false">IF(A252="","",SUMIF(Expenses!$B$2:$B$3000,A252,Expenses!$E$2:$E$3000))</f>
        <v/>
      </c>
      <c r="R252" s="27" t="str">
        <f aca="false">IF(A252="","",N(P252)+N(Q252))</f>
        <v/>
      </c>
      <c r="S252" s="28"/>
      <c r="T252" s="25"/>
      <c r="U252" s="26"/>
      <c r="V252" s="26"/>
      <c r="W252" s="26"/>
      <c r="X252" s="27" t="str">
        <f aca="false">IF(B252&lt;&gt;"SOLD","",IF(C252="Consignment",N(W252)-R252,N(U252)-R252-N(V252)))</f>
        <v/>
      </c>
      <c r="Y252" s="29" t="str">
        <f aca="false">IF(OR(X252="",N(R252)=0),"",X252/R252)</f>
        <v/>
      </c>
      <c r="Z252" s="30" t="str">
        <f aca="true">IF(O252="","",IF(T252="",TODAY(),T252)-O252)</f>
        <v/>
      </c>
      <c r="AA252" s="31" t="str">
        <f aca="false">IF(T252="","",TEXT(T252,"YYYY-MM"))</f>
        <v/>
      </c>
      <c r="AB252" s="27" t="str">
        <f aca="false">IF(X252="","",X252/2)</f>
        <v/>
      </c>
      <c r="AC252" s="21"/>
    </row>
    <row r="253" customFormat="false" ht="15" hidden="false" customHeight="false" outlineLevel="0" collapsed="false">
      <c r="A253" s="20"/>
      <c r="B253" s="21"/>
      <c r="C253" s="21"/>
      <c r="D253" s="21"/>
      <c r="E253" s="21"/>
      <c r="F253" s="21"/>
      <c r="G253" s="22"/>
      <c r="H253" s="21"/>
      <c r="I253" s="21"/>
      <c r="J253" s="21"/>
      <c r="K253" s="23"/>
      <c r="L253" s="24"/>
      <c r="M253" s="21"/>
      <c r="N253" s="21"/>
      <c r="O253" s="25"/>
      <c r="P253" s="26"/>
      <c r="Q253" s="27" t="str">
        <f aca="false">IF(A253="","",SUMIF(Expenses!$B$2:$B$3000,A253,Expenses!$E$2:$E$3000))</f>
        <v/>
      </c>
      <c r="R253" s="27" t="str">
        <f aca="false">IF(A253="","",N(P253)+N(Q253))</f>
        <v/>
      </c>
      <c r="S253" s="28"/>
      <c r="T253" s="25"/>
      <c r="U253" s="26"/>
      <c r="V253" s="26"/>
      <c r="W253" s="26"/>
      <c r="X253" s="27" t="str">
        <f aca="false">IF(B253&lt;&gt;"SOLD","",IF(C253="Consignment",N(W253)-R253,N(U253)-R253-N(V253)))</f>
        <v/>
      </c>
      <c r="Y253" s="29" t="str">
        <f aca="false">IF(OR(X253="",N(R253)=0),"",X253/R253)</f>
        <v/>
      </c>
      <c r="Z253" s="30" t="str">
        <f aca="true">IF(O253="","",IF(T253="",TODAY(),T253)-O253)</f>
        <v/>
      </c>
      <c r="AA253" s="31" t="str">
        <f aca="false">IF(T253="","",TEXT(T253,"YYYY-MM"))</f>
        <v/>
      </c>
      <c r="AB253" s="27" t="str">
        <f aca="false">IF(X253="","",X253/2)</f>
        <v/>
      </c>
      <c r="AC253" s="21"/>
    </row>
    <row r="254" customFormat="false" ht="15" hidden="false" customHeight="false" outlineLevel="0" collapsed="false">
      <c r="A254" s="20"/>
      <c r="B254" s="21"/>
      <c r="C254" s="21"/>
      <c r="D254" s="21"/>
      <c r="E254" s="21"/>
      <c r="F254" s="21"/>
      <c r="G254" s="22"/>
      <c r="H254" s="21"/>
      <c r="I254" s="21"/>
      <c r="J254" s="21"/>
      <c r="K254" s="23"/>
      <c r="L254" s="24"/>
      <c r="M254" s="21"/>
      <c r="N254" s="21"/>
      <c r="O254" s="25"/>
      <c r="P254" s="26"/>
      <c r="Q254" s="27" t="str">
        <f aca="false">IF(A254="","",SUMIF(Expenses!$B$2:$B$3000,A254,Expenses!$E$2:$E$3000))</f>
        <v/>
      </c>
      <c r="R254" s="27" t="str">
        <f aca="false">IF(A254="","",N(P254)+N(Q254))</f>
        <v/>
      </c>
      <c r="S254" s="28"/>
      <c r="T254" s="25"/>
      <c r="U254" s="26"/>
      <c r="V254" s="26"/>
      <c r="W254" s="26"/>
      <c r="X254" s="27" t="str">
        <f aca="false">IF(B254&lt;&gt;"SOLD","",IF(C254="Consignment",N(W254)-R254,N(U254)-R254-N(V254)))</f>
        <v/>
      </c>
      <c r="Y254" s="29" t="str">
        <f aca="false">IF(OR(X254="",N(R254)=0),"",X254/R254)</f>
        <v/>
      </c>
      <c r="Z254" s="30" t="str">
        <f aca="true">IF(O254="","",IF(T254="",TODAY(),T254)-O254)</f>
        <v/>
      </c>
      <c r="AA254" s="31" t="str">
        <f aca="false">IF(T254="","",TEXT(T254,"YYYY-MM"))</f>
        <v/>
      </c>
      <c r="AB254" s="27" t="str">
        <f aca="false">IF(X254="","",X254/2)</f>
        <v/>
      </c>
      <c r="AC254" s="21"/>
    </row>
    <row r="255" customFormat="false" ht="15" hidden="false" customHeight="false" outlineLevel="0" collapsed="false">
      <c r="A255" s="20"/>
      <c r="B255" s="21"/>
      <c r="C255" s="21"/>
      <c r="D255" s="21"/>
      <c r="E255" s="21"/>
      <c r="F255" s="21"/>
      <c r="G255" s="22"/>
      <c r="H255" s="21"/>
      <c r="I255" s="21"/>
      <c r="J255" s="21"/>
      <c r="K255" s="23"/>
      <c r="L255" s="24"/>
      <c r="M255" s="21"/>
      <c r="N255" s="21"/>
      <c r="O255" s="25"/>
      <c r="P255" s="26"/>
      <c r="Q255" s="27" t="str">
        <f aca="false">IF(A255="","",SUMIF(Expenses!$B$2:$B$3000,A255,Expenses!$E$2:$E$3000))</f>
        <v/>
      </c>
      <c r="R255" s="27" t="str">
        <f aca="false">IF(A255="","",N(P255)+N(Q255))</f>
        <v/>
      </c>
      <c r="S255" s="28"/>
      <c r="T255" s="25"/>
      <c r="U255" s="26"/>
      <c r="V255" s="26"/>
      <c r="W255" s="26"/>
      <c r="X255" s="27" t="str">
        <f aca="false">IF(B255&lt;&gt;"SOLD","",IF(C255="Consignment",N(W255)-R255,N(U255)-R255-N(V255)))</f>
        <v/>
      </c>
      <c r="Y255" s="29" t="str">
        <f aca="false">IF(OR(X255="",N(R255)=0),"",X255/R255)</f>
        <v/>
      </c>
      <c r="Z255" s="30" t="str">
        <f aca="true">IF(O255="","",IF(T255="",TODAY(),T255)-O255)</f>
        <v/>
      </c>
      <c r="AA255" s="31" t="str">
        <f aca="false">IF(T255="","",TEXT(T255,"YYYY-MM"))</f>
        <v/>
      </c>
      <c r="AB255" s="27" t="str">
        <f aca="false">IF(X255="","",X255/2)</f>
        <v/>
      </c>
      <c r="AC255" s="21"/>
    </row>
    <row r="256" customFormat="false" ht="15" hidden="false" customHeight="false" outlineLevel="0" collapsed="false">
      <c r="A256" s="20"/>
      <c r="B256" s="21"/>
      <c r="C256" s="21"/>
      <c r="D256" s="21"/>
      <c r="E256" s="21"/>
      <c r="F256" s="21"/>
      <c r="G256" s="22"/>
      <c r="H256" s="21"/>
      <c r="I256" s="21"/>
      <c r="J256" s="21"/>
      <c r="K256" s="23"/>
      <c r="L256" s="24"/>
      <c r="M256" s="21"/>
      <c r="N256" s="21"/>
      <c r="O256" s="25"/>
      <c r="P256" s="26"/>
      <c r="Q256" s="27" t="str">
        <f aca="false">IF(A256="","",SUMIF(Expenses!$B$2:$B$3000,A256,Expenses!$E$2:$E$3000))</f>
        <v/>
      </c>
      <c r="R256" s="27" t="str">
        <f aca="false">IF(A256="","",N(P256)+N(Q256))</f>
        <v/>
      </c>
      <c r="S256" s="28"/>
      <c r="T256" s="25"/>
      <c r="U256" s="26"/>
      <c r="V256" s="26"/>
      <c r="W256" s="26"/>
      <c r="X256" s="27" t="str">
        <f aca="false">IF(B256&lt;&gt;"SOLD","",IF(C256="Consignment",N(W256)-R256,N(U256)-R256-N(V256)))</f>
        <v/>
      </c>
      <c r="Y256" s="29" t="str">
        <f aca="false">IF(OR(X256="",N(R256)=0),"",X256/R256)</f>
        <v/>
      </c>
      <c r="Z256" s="30" t="str">
        <f aca="true">IF(O256="","",IF(T256="",TODAY(),T256)-O256)</f>
        <v/>
      </c>
      <c r="AA256" s="31" t="str">
        <f aca="false">IF(T256="","",TEXT(T256,"YYYY-MM"))</f>
        <v/>
      </c>
      <c r="AB256" s="27" t="str">
        <f aca="false">IF(X256="","",X256/2)</f>
        <v/>
      </c>
      <c r="AC256" s="21"/>
    </row>
    <row r="257" customFormat="false" ht="15" hidden="false" customHeight="false" outlineLevel="0" collapsed="false">
      <c r="A257" s="20"/>
      <c r="B257" s="21"/>
      <c r="C257" s="21"/>
      <c r="D257" s="21"/>
      <c r="E257" s="21"/>
      <c r="F257" s="21"/>
      <c r="G257" s="22"/>
      <c r="H257" s="21"/>
      <c r="I257" s="21"/>
      <c r="J257" s="21"/>
      <c r="K257" s="23"/>
      <c r="L257" s="24"/>
      <c r="M257" s="21"/>
      <c r="N257" s="21"/>
      <c r="O257" s="25"/>
      <c r="P257" s="26"/>
      <c r="Q257" s="27" t="str">
        <f aca="false">IF(A257="","",SUMIF(Expenses!$B$2:$B$3000,A257,Expenses!$E$2:$E$3000))</f>
        <v/>
      </c>
      <c r="R257" s="27" t="str">
        <f aca="false">IF(A257="","",N(P257)+N(Q257))</f>
        <v/>
      </c>
      <c r="S257" s="28"/>
      <c r="T257" s="25"/>
      <c r="U257" s="26"/>
      <c r="V257" s="26"/>
      <c r="W257" s="26"/>
      <c r="X257" s="27" t="str">
        <f aca="false">IF(B257&lt;&gt;"SOLD","",IF(C257="Consignment",N(W257)-R257,N(U257)-R257-N(V257)))</f>
        <v/>
      </c>
      <c r="Y257" s="29" t="str">
        <f aca="false">IF(OR(X257="",N(R257)=0),"",X257/R257)</f>
        <v/>
      </c>
      <c r="Z257" s="30" t="str">
        <f aca="true">IF(O257="","",IF(T257="",TODAY(),T257)-O257)</f>
        <v/>
      </c>
      <c r="AA257" s="31" t="str">
        <f aca="false">IF(T257="","",TEXT(T257,"YYYY-MM"))</f>
        <v/>
      </c>
      <c r="AB257" s="27" t="str">
        <f aca="false">IF(X257="","",X257/2)</f>
        <v/>
      </c>
      <c r="AC257" s="21"/>
    </row>
    <row r="258" customFormat="false" ht="15" hidden="false" customHeight="false" outlineLevel="0" collapsed="false">
      <c r="A258" s="20"/>
      <c r="B258" s="21"/>
      <c r="C258" s="21"/>
      <c r="D258" s="21"/>
      <c r="E258" s="21"/>
      <c r="F258" s="21"/>
      <c r="G258" s="22"/>
      <c r="H258" s="21"/>
      <c r="I258" s="21"/>
      <c r="J258" s="21"/>
      <c r="K258" s="23"/>
      <c r="L258" s="24"/>
      <c r="M258" s="21"/>
      <c r="N258" s="21"/>
      <c r="O258" s="25"/>
      <c r="P258" s="26"/>
      <c r="Q258" s="27" t="str">
        <f aca="false">IF(A258="","",SUMIF(Expenses!$B$2:$B$3000,A258,Expenses!$E$2:$E$3000))</f>
        <v/>
      </c>
      <c r="R258" s="27" t="str">
        <f aca="false">IF(A258="","",N(P258)+N(Q258))</f>
        <v/>
      </c>
      <c r="S258" s="28"/>
      <c r="T258" s="25"/>
      <c r="U258" s="26"/>
      <c r="V258" s="26"/>
      <c r="W258" s="26"/>
      <c r="X258" s="27" t="str">
        <f aca="false">IF(B258&lt;&gt;"SOLD","",IF(C258="Consignment",N(W258)-R258,N(U258)-R258-N(V258)))</f>
        <v/>
      </c>
      <c r="Y258" s="29" t="str">
        <f aca="false">IF(OR(X258="",N(R258)=0),"",X258/R258)</f>
        <v/>
      </c>
      <c r="Z258" s="30" t="str">
        <f aca="true">IF(O258="","",IF(T258="",TODAY(),T258)-O258)</f>
        <v/>
      </c>
      <c r="AA258" s="31" t="str">
        <f aca="false">IF(T258="","",TEXT(T258,"YYYY-MM"))</f>
        <v/>
      </c>
      <c r="AB258" s="27" t="str">
        <f aca="false">IF(X258="","",X258/2)</f>
        <v/>
      </c>
      <c r="AC258" s="21"/>
    </row>
    <row r="259" customFormat="false" ht="15" hidden="false" customHeight="false" outlineLevel="0" collapsed="false">
      <c r="A259" s="20"/>
      <c r="B259" s="21"/>
      <c r="C259" s="21"/>
      <c r="D259" s="21"/>
      <c r="E259" s="21"/>
      <c r="F259" s="21"/>
      <c r="G259" s="22"/>
      <c r="H259" s="21"/>
      <c r="I259" s="21"/>
      <c r="J259" s="21"/>
      <c r="K259" s="23"/>
      <c r="L259" s="24"/>
      <c r="M259" s="21"/>
      <c r="N259" s="21"/>
      <c r="O259" s="25"/>
      <c r="P259" s="26"/>
      <c r="Q259" s="27" t="str">
        <f aca="false">IF(A259="","",SUMIF(Expenses!$B$2:$B$3000,A259,Expenses!$E$2:$E$3000))</f>
        <v/>
      </c>
      <c r="R259" s="27" t="str">
        <f aca="false">IF(A259="","",N(P259)+N(Q259))</f>
        <v/>
      </c>
      <c r="S259" s="28"/>
      <c r="T259" s="25"/>
      <c r="U259" s="26"/>
      <c r="V259" s="26"/>
      <c r="W259" s="26"/>
      <c r="X259" s="27" t="str">
        <f aca="false">IF(B259&lt;&gt;"SOLD","",IF(C259="Consignment",N(W259)-R259,N(U259)-R259-N(V259)))</f>
        <v/>
      </c>
      <c r="Y259" s="29" t="str">
        <f aca="false">IF(OR(X259="",N(R259)=0),"",X259/R259)</f>
        <v/>
      </c>
      <c r="Z259" s="30" t="str">
        <f aca="true">IF(O259="","",IF(T259="",TODAY(),T259)-O259)</f>
        <v/>
      </c>
      <c r="AA259" s="31" t="str">
        <f aca="false">IF(T259="","",TEXT(T259,"YYYY-MM"))</f>
        <v/>
      </c>
      <c r="AB259" s="27" t="str">
        <f aca="false">IF(X259="","",X259/2)</f>
        <v/>
      </c>
      <c r="AC259" s="21"/>
    </row>
    <row r="260" customFormat="false" ht="15" hidden="false" customHeight="false" outlineLevel="0" collapsed="false">
      <c r="A260" s="20"/>
      <c r="B260" s="21"/>
      <c r="C260" s="21"/>
      <c r="D260" s="21"/>
      <c r="E260" s="21"/>
      <c r="F260" s="21"/>
      <c r="G260" s="22"/>
      <c r="H260" s="21"/>
      <c r="I260" s="21"/>
      <c r="J260" s="21"/>
      <c r="K260" s="23"/>
      <c r="L260" s="24"/>
      <c r="M260" s="21"/>
      <c r="N260" s="21"/>
      <c r="O260" s="25"/>
      <c r="P260" s="26"/>
      <c r="Q260" s="27" t="str">
        <f aca="false">IF(A260="","",SUMIF(Expenses!$B$2:$B$3000,A260,Expenses!$E$2:$E$3000))</f>
        <v/>
      </c>
      <c r="R260" s="27" t="str">
        <f aca="false">IF(A260="","",N(P260)+N(Q260))</f>
        <v/>
      </c>
      <c r="S260" s="28"/>
      <c r="T260" s="25"/>
      <c r="U260" s="26"/>
      <c r="V260" s="26"/>
      <c r="W260" s="26"/>
      <c r="X260" s="27" t="str">
        <f aca="false">IF(B260&lt;&gt;"SOLD","",IF(C260="Consignment",N(W260)-R260,N(U260)-R260-N(V260)))</f>
        <v/>
      </c>
      <c r="Y260" s="29" t="str">
        <f aca="false">IF(OR(X260="",N(R260)=0),"",X260/R260)</f>
        <v/>
      </c>
      <c r="Z260" s="30" t="str">
        <f aca="true">IF(O260="","",IF(T260="",TODAY(),T260)-O260)</f>
        <v/>
      </c>
      <c r="AA260" s="31" t="str">
        <f aca="false">IF(T260="","",TEXT(T260,"YYYY-MM"))</f>
        <v/>
      </c>
      <c r="AB260" s="27" t="str">
        <f aca="false">IF(X260="","",X260/2)</f>
        <v/>
      </c>
      <c r="AC260" s="21"/>
    </row>
    <row r="261" customFormat="false" ht="15" hidden="false" customHeight="false" outlineLevel="0" collapsed="false">
      <c r="A261" s="20"/>
      <c r="B261" s="21"/>
      <c r="C261" s="21"/>
      <c r="D261" s="21"/>
      <c r="E261" s="21"/>
      <c r="F261" s="21"/>
      <c r="G261" s="22"/>
      <c r="H261" s="21"/>
      <c r="I261" s="21"/>
      <c r="J261" s="21"/>
      <c r="K261" s="23"/>
      <c r="L261" s="24"/>
      <c r="M261" s="21"/>
      <c r="N261" s="21"/>
      <c r="O261" s="25"/>
      <c r="P261" s="26"/>
      <c r="Q261" s="27" t="str">
        <f aca="false">IF(A261="","",SUMIF(Expenses!$B$2:$B$3000,A261,Expenses!$E$2:$E$3000))</f>
        <v/>
      </c>
      <c r="R261" s="27" t="str">
        <f aca="false">IF(A261="","",N(P261)+N(Q261))</f>
        <v/>
      </c>
      <c r="S261" s="28"/>
      <c r="T261" s="25"/>
      <c r="U261" s="26"/>
      <c r="V261" s="26"/>
      <c r="W261" s="26"/>
      <c r="X261" s="27" t="str">
        <f aca="false">IF(B261&lt;&gt;"SOLD","",IF(C261="Consignment",N(W261)-R261,N(U261)-R261-N(V261)))</f>
        <v/>
      </c>
      <c r="Y261" s="29" t="str">
        <f aca="false">IF(OR(X261="",N(R261)=0),"",X261/R261)</f>
        <v/>
      </c>
      <c r="Z261" s="30" t="str">
        <f aca="true">IF(O261="","",IF(T261="",TODAY(),T261)-O261)</f>
        <v/>
      </c>
      <c r="AA261" s="31" t="str">
        <f aca="false">IF(T261="","",TEXT(T261,"YYYY-MM"))</f>
        <v/>
      </c>
      <c r="AB261" s="27" t="str">
        <f aca="false">IF(X261="","",X261/2)</f>
        <v/>
      </c>
      <c r="AC261" s="21"/>
    </row>
    <row r="262" customFormat="false" ht="15" hidden="false" customHeight="false" outlineLevel="0" collapsed="false">
      <c r="A262" s="20"/>
      <c r="B262" s="21"/>
      <c r="C262" s="21"/>
      <c r="D262" s="21"/>
      <c r="E262" s="21"/>
      <c r="F262" s="21"/>
      <c r="G262" s="22"/>
      <c r="H262" s="21"/>
      <c r="I262" s="21"/>
      <c r="J262" s="21"/>
      <c r="K262" s="23"/>
      <c r="L262" s="24"/>
      <c r="M262" s="21"/>
      <c r="N262" s="21"/>
      <c r="O262" s="25"/>
      <c r="P262" s="26"/>
      <c r="Q262" s="27" t="str">
        <f aca="false">IF(A262="","",SUMIF(Expenses!$B$2:$B$3000,A262,Expenses!$E$2:$E$3000))</f>
        <v/>
      </c>
      <c r="R262" s="27" t="str">
        <f aca="false">IF(A262="","",N(P262)+N(Q262))</f>
        <v/>
      </c>
      <c r="S262" s="28"/>
      <c r="T262" s="25"/>
      <c r="U262" s="26"/>
      <c r="V262" s="26"/>
      <c r="W262" s="26"/>
      <c r="X262" s="27" t="str">
        <f aca="false">IF(B262&lt;&gt;"SOLD","",IF(C262="Consignment",N(W262)-R262,N(U262)-R262-N(V262)))</f>
        <v/>
      </c>
      <c r="Y262" s="29" t="str">
        <f aca="false">IF(OR(X262="",N(R262)=0),"",X262/R262)</f>
        <v/>
      </c>
      <c r="Z262" s="30" t="str">
        <f aca="true">IF(O262="","",IF(T262="",TODAY(),T262)-O262)</f>
        <v/>
      </c>
      <c r="AA262" s="31" t="str">
        <f aca="false">IF(T262="","",TEXT(T262,"YYYY-MM"))</f>
        <v/>
      </c>
      <c r="AB262" s="27" t="str">
        <f aca="false">IF(X262="","",X262/2)</f>
        <v/>
      </c>
      <c r="AC262" s="21"/>
    </row>
    <row r="263" customFormat="false" ht="15" hidden="false" customHeight="false" outlineLevel="0" collapsed="false">
      <c r="A263" s="20"/>
      <c r="B263" s="21"/>
      <c r="C263" s="21"/>
      <c r="D263" s="21"/>
      <c r="E263" s="21"/>
      <c r="F263" s="21"/>
      <c r="G263" s="22"/>
      <c r="H263" s="21"/>
      <c r="I263" s="21"/>
      <c r="J263" s="21"/>
      <c r="K263" s="23"/>
      <c r="L263" s="24"/>
      <c r="M263" s="21"/>
      <c r="N263" s="21"/>
      <c r="O263" s="25"/>
      <c r="P263" s="26"/>
      <c r="Q263" s="27" t="str">
        <f aca="false">IF(A263="","",SUMIF(Expenses!$B$2:$B$3000,A263,Expenses!$E$2:$E$3000))</f>
        <v/>
      </c>
      <c r="R263" s="27" t="str">
        <f aca="false">IF(A263="","",N(P263)+N(Q263))</f>
        <v/>
      </c>
      <c r="S263" s="28"/>
      <c r="T263" s="25"/>
      <c r="U263" s="26"/>
      <c r="V263" s="26"/>
      <c r="W263" s="26"/>
      <c r="X263" s="27" t="str">
        <f aca="false">IF(B263&lt;&gt;"SOLD","",IF(C263="Consignment",N(W263)-R263,N(U263)-R263-N(V263)))</f>
        <v/>
      </c>
      <c r="Y263" s="29" t="str">
        <f aca="false">IF(OR(X263="",N(R263)=0),"",X263/R263)</f>
        <v/>
      </c>
      <c r="Z263" s="30" t="str">
        <f aca="true">IF(O263="","",IF(T263="",TODAY(),T263)-O263)</f>
        <v/>
      </c>
      <c r="AA263" s="31" t="str">
        <f aca="false">IF(T263="","",TEXT(T263,"YYYY-MM"))</f>
        <v/>
      </c>
      <c r="AB263" s="27" t="str">
        <f aca="false">IF(X263="","",X263/2)</f>
        <v/>
      </c>
      <c r="AC263" s="21"/>
    </row>
    <row r="264" customFormat="false" ht="15" hidden="false" customHeight="false" outlineLevel="0" collapsed="false">
      <c r="A264" s="20"/>
      <c r="B264" s="21"/>
      <c r="C264" s="21"/>
      <c r="D264" s="21"/>
      <c r="E264" s="21"/>
      <c r="F264" s="21"/>
      <c r="G264" s="22"/>
      <c r="H264" s="21"/>
      <c r="I264" s="21"/>
      <c r="J264" s="21"/>
      <c r="K264" s="23"/>
      <c r="L264" s="24"/>
      <c r="M264" s="21"/>
      <c r="N264" s="21"/>
      <c r="O264" s="25"/>
      <c r="P264" s="26"/>
      <c r="Q264" s="27" t="str">
        <f aca="false">IF(A264="","",SUMIF(Expenses!$B$2:$B$3000,A264,Expenses!$E$2:$E$3000))</f>
        <v/>
      </c>
      <c r="R264" s="27" t="str">
        <f aca="false">IF(A264="","",N(P264)+N(Q264))</f>
        <v/>
      </c>
      <c r="S264" s="28"/>
      <c r="T264" s="25"/>
      <c r="U264" s="26"/>
      <c r="V264" s="26"/>
      <c r="W264" s="26"/>
      <c r="X264" s="27" t="str">
        <f aca="false">IF(B264&lt;&gt;"SOLD","",IF(C264="Consignment",N(W264)-R264,N(U264)-R264-N(V264)))</f>
        <v/>
      </c>
      <c r="Y264" s="29" t="str">
        <f aca="false">IF(OR(X264="",N(R264)=0),"",X264/R264)</f>
        <v/>
      </c>
      <c r="Z264" s="30" t="str">
        <f aca="true">IF(O264="","",IF(T264="",TODAY(),T264)-O264)</f>
        <v/>
      </c>
      <c r="AA264" s="31" t="str">
        <f aca="false">IF(T264="","",TEXT(T264,"YYYY-MM"))</f>
        <v/>
      </c>
      <c r="AB264" s="27" t="str">
        <f aca="false">IF(X264="","",X264/2)</f>
        <v/>
      </c>
      <c r="AC264" s="21"/>
    </row>
    <row r="265" customFormat="false" ht="15" hidden="false" customHeight="false" outlineLevel="0" collapsed="false">
      <c r="A265" s="20"/>
      <c r="B265" s="21"/>
      <c r="C265" s="21"/>
      <c r="D265" s="21"/>
      <c r="E265" s="21"/>
      <c r="F265" s="21"/>
      <c r="G265" s="22"/>
      <c r="H265" s="21"/>
      <c r="I265" s="21"/>
      <c r="J265" s="21"/>
      <c r="K265" s="23"/>
      <c r="L265" s="24"/>
      <c r="M265" s="21"/>
      <c r="N265" s="21"/>
      <c r="O265" s="25"/>
      <c r="P265" s="26"/>
      <c r="Q265" s="27" t="str">
        <f aca="false">IF(A265="","",SUMIF(Expenses!$B$2:$B$3000,A265,Expenses!$E$2:$E$3000))</f>
        <v/>
      </c>
      <c r="R265" s="27" t="str">
        <f aca="false">IF(A265="","",N(P265)+N(Q265))</f>
        <v/>
      </c>
      <c r="S265" s="28"/>
      <c r="T265" s="25"/>
      <c r="U265" s="26"/>
      <c r="V265" s="26"/>
      <c r="W265" s="26"/>
      <c r="X265" s="27" t="str">
        <f aca="false">IF(B265&lt;&gt;"SOLD","",IF(C265="Consignment",N(W265)-R265,N(U265)-R265-N(V265)))</f>
        <v/>
      </c>
      <c r="Y265" s="29" t="str">
        <f aca="false">IF(OR(X265="",N(R265)=0),"",X265/R265)</f>
        <v/>
      </c>
      <c r="Z265" s="30" t="str">
        <f aca="true">IF(O265="","",IF(T265="",TODAY(),T265)-O265)</f>
        <v/>
      </c>
      <c r="AA265" s="31" t="str">
        <f aca="false">IF(T265="","",TEXT(T265,"YYYY-MM"))</f>
        <v/>
      </c>
      <c r="AB265" s="27" t="str">
        <f aca="false">IF(X265="","",X265/2)</f>
        <v/>
      </c>
      <c r="AC265" s="21"/>
    </row>
    <row r="266" customFormat="false" ht="15" hidden="false" customHeight="false" outlineLevel="0" collapsed="false">
      <c r="A266" s="20"/>
      <c r="B266" s="21"/>
      <c r="C266" s="21"/>
      <c r="D266" s="21"/>
      <c r="E266" s="21"/>
      <c r="F266" s="21"/>
      <c r="G266" s="22"/>
      <c r="H266" s="21"/>
      <c r="I266" s="21"/>
      <c r="J266" s="21"/>
      <c r="K266" s="23"/>
      <c r="L266" s="24"/>
      <c r="M266" s="21"/>
      <c r="N266" s="21"/>
      <c r="O266" s="25"/>
      <c r="P266" s="26"/>
      <c r="Q266" s="27" t="str">
        <f aca="false">IF(A266="","",SUMIF(Expenses!$B$2:$B$3000,A266,Expenses!$E$2:$E$3000))</f>
        <v/>
      </c>
      <c r="R266" s="27" t="str">
        <f aca="false">IF(A266="","",N(P266)+N(Q266))</f>
        <v/>
      </c>
      <c r="S266" s="28"/>
      <c r="T266" s="25"/>
      <c r="U266" s="26"/>
      <c r="V266" s="26"/>
      <c r="W266" s="26"/>
      <c r="X266" s="27" t="str">
        <f aca="false">IF(B266&lt;&gt;"SOLD","",IF(C266="Consignment",N(W266)-R266,N(U266)-R266-N(V266)))</f>
        <v/>
      </c>
      <c r="Y266" s="29" t="str">
        <f aca="false">IF(OR(X266="",N(R266)=0),"",X266/R266)</f>
        <v/>
      </c>
      <c r="Z266" s="30" t="str">
        <f aca="true">IF(O266="","",IF(T266="",TODAY(),T266)-O266)</f>
        <v/>
      </c>
      <c r="AA266" s="31" t="str">
        <f aca="false">IF(T266="","",TEXT(T266,"YYYY-MM"))</f>
        <v/>
      </c>
      <c r="AB266" s="27" t="str">
        <f aca="false">IF(X266="","",X266/2)</f>
        <v/>
      </c>
      <c r="AC266" s="21"/>
    </row>
    <row r="267" customFormat="false" ht="15" hidden="false" customHeight="false" outlineLevel="0" collapsed="false">
      <c r="A267" s="20"/>
      <c r="B267" s="21"/>
      <c r="C267" s="21"/>
      <c r="D267" s="21"/>
      <c r="E267" s="21"/>
      <c r="F267" s="21"/>
      <c r="G267" s="22"/>
      <c r="H267" s="21"/>
      <c r="I267" s="21"/>
      <c r="J267" s="21"/>
      <c r="K267" s="23"/>
      <c r="L267" s="24"/>
      <c r="M267" s="21"/>
      <c r="N267" s="21"/>
      <c r="O267" s="25"/>
      <c r="P267" s="26"/>
      <c r="Q267" s="27" t="str">
        <f aca="false">IF(A267="","",SUMIF(Expenses!$B$2:$B$3000,A267,Expenses!$E$2:$E$3000))</f>
        <v/>
      </c>
      <c r="R267" s="27" t="str">
        <f aca="false">IF(A267="","",N(P267)+N(Q267))</f>
        <v/>
      </c>
      <c r="S267" s="28"/>
      <c r="T267" s="25"/>
      <c r="U267" s="26"/>
      <c r="V267" s="26"/>
      <c r="W267" s="26"/>
      <c r="X267" s="27" t="str">
        <f aca="false">IF(B267&lt;&gt;"SOLD","",IF(C267="Consignment",N(W267)-R267,N(U267)-R267-N(V267)))</f>
        <v/>
      </c>
      <c r="Y267" s="29" t="str">
        <f aca="false">IF(OR(X267="",N(R267)=0),"",X267/R267)</f>
        <v/>
      </c>
      <c r="Z267" s="30" t="str">
        <f aca="true">IF(O267="","",IF(T267="",TODAY(),T267)-O267)</f>
        <v/>
      </c>
      <c r="AA267" s="31" t="str">
        <f aca="false">IF(T267="","",TEXT(T267,"YYYY-MM"))</f>
        <v/>
      </c>
      <c r="AB267" s="27" t="str">
        <f aca="false">IF(X267="","",X267/2)</f>
        <v/>
      </c>
      <c r="AC267" s="21"/>
    </row>
    <row r="268" customFormat="false" ht="15" hidden="false" customHeight="false" outlineLevel="0" collapsed="false">
      <c r="A268" s="20"/>
      <c r="B268" s="21"/>
      <c r="C268" s="21"/>
      <c r="D268" s="21"/>
      <c r="E268" s="21"/>
      <c r="F268" s="21"/>
      <c r="G268" s="22"/>
      <c r="H268" s="21"/>
      <c r="I268" s="21"/>
      <c r="J268" s="21"/>
      <c r="K268" s="23"/>
      <c r="L268" s="24"/>
      <c r="M268" s="21"/>
      <c r="N268" s="21"/>
      <c r="O268" s="25"/>
      <c r="P268" s="26"/>
      <c r="Q268" s="27" t="str">
        <f aca="false">IF(A268="","",SUMIF(Expenses!$B$2:$B$3000,A268,Expenses!$E$2:$E$3000))</f>
        <v/>
      </c>
      <c r="R268" s="27" t="str">
        <f aca="false">IF(A268="","",N(P268)+N(Q268))</f>
        <v/>
      </c>
      <c r="S268" s="28"/>
      <c r="T268" s="25"/>
      <c r="U268" s="26"/>
      <c r="V268" s="26"/>
      <c r="W268" s="26"/>
      <c r="X268" s="27" t="str">
        <f aca="false">IF(B268&lt;&gt;"SOLD","",IF(C268="Consignment",N(W268)-R268,N(U268)-R268-N(V268)))</f>
        <v/>
      </c>
      <c r="Y268" s="29" t="str">
        <f aca="false">IF(OR(X268="",N(R268)=0),"",X268/R268)</f>
        <v/>
      </c>
      <c r="Z268" s="30" t="str">
        <f aca="true">IF(O268="","",IF(T268="",TODAY(),T268)-O268)</f>
        <v/>
      </c>
      <c r="AA268" s="31" t="str">
        <f aca="false">IF(T268="","",TEXT(T268,"YYYY-MM"))</f>
        <v/>
      </c>
      <c r="AB268" s="27" t="str">
        <f aca="false">IF(X268="","",X268/2)</f>
        <v/>
      </c>
      <c r="AC268" s="21"/>
    </row>
    <row r="269" customFormat="false" ht="15" hidden="false" customHeight="false" outlineLevel="0" collapsed="false">
      <c r="A269" s="20"/>
      <c r="B269" s="21"/>
      <c r="C269" s="21"/>
      <c r="D269" s="21"/>
      <c r="E269" s="21"/>
      <c r="F269" s="21"/>
      <c r="G269" s="22"/>
      <c r="H269" s="21"/>
      <c r="I269" s="21"/>
      <c r="J269" s="21"/>
      <c r="K269" s="23"/>
      <c r="L269" s="24"/>
      <c r="M269" s="21"/>
      <c r="N269" s="21"/>
      <c r="O269" s="25"/>
      <c r="P269" s="26"/>
      <c r="Q269" s="27" t="str">
        <f aca="false">IF(A269="","",SUMIF(Expenses!$B$2:$B$3000,A269,Expenses!$E$2:$E$3000))</f>
        <v/>
      </c>
      <c r="R269" s="27" t="str">
        <f aca="false">IF(A269="","",N(P269)+N(Q269))</f>
        <v/>
      </c>
      <c r="S269" s="28"/>
      <c r="T269" s="25"/>
      <c r="U269" s="26"/>
      <c r="V269" s="26"/>
      <c r="W269" s="26"/>
      <c r="X269" s="27" t="str">
        <f aca="false">IF(B269&lt;&gt;"SOLD","",IF(C269="Consignment",N(W269)-R269,N(U269)-R269-N(V269)))</f>
        <v/>
      </c>
      <c r="Y269" s="29" t="str">
        <f aca="false">IF(OR(X269="",N(R269)=0),"",X269/R269)</f>
        <v/>
      </c>
      <c r="Z269" s="30" t="str">
        <f aca="true">IF(O269="","",IF(T269="",TODAY(),T269)-O269)</f>
        <v/>
      </c>
      <c r="AA269" s="31" t="str">
        <f aca="false">IF(T269="","",TEXT(T269,"YYYY-MM"))</f>
        <v/>
      </c>
      <c r="AB269" s="27" t="str">
        <f aca="false">IF(X269="","",X269/2)</f>
        <v/>
      </c>
      <c r="AC269" s="21"/>
    </row>
    <row r="270" customFormat="false" ht="15" hidden="false" customHeight="false" outlineLevel="0" collapsed="false">
      <c r="A270" s="20"/>
      <c r="B270" s="21"/>
      <c r="C270" s="21"/>
      <c r="D270" s="21"/>
      <c r="E270" s="21"/>
      <c r="F270" s="21"/>
      <c r="G270" s="22"/>
      <c r="H270" s="21"/>
      <c r="I270" s="21"/>
      <c r="J270" s="21"/>
      <c r="K270" s="23"/>
      <c r="L270" s="24"/>
      <c r="M270" s="21"/>
      <c r="N270" s="21"/>
      <c r="O270" s="25"/>
      <c r="P270" s="26"/>
      <c r="Q270" s="27" t="str">
        <f aca="false">IF(A270="","",SUMIF(Expenses!$B$2:$B$3000,A270,Expenses!$E$2:$E$3000))</f>
        <v/>
      </c>
      <c r="R270" s="27" t="str">
        <f aca="false">IF(A270="","",N(P270)+N(Q270))</f>
        <v/>
      </c>
      <c r="S270" s="28"/>
      <c r="T270" s="25"/>
      <c r="U270" s="26"/>
      <c r="V270" s="26"/>
      <c r="W270" s="26"/>
      <c r="X270" s="27" t="str">
        <f aca="false">IF(B270&lt;&gt;"SOLD","",IF(C270="Consignment",N(W270)-R270,N(U270)-R270-N(V270)))</f>
        <v/>
      </c>
      <c r="Y270" s="29" t="str">
        <f aca="false">IF(OR(X270="",N(R270)=0),"",X270/R270)</f>
        <v/>
      </c>
      <c r="Z270" s="30" t="str">
        <f aca="true">IF(O270="","",IF(T270="",TODAY(),T270)-O270)</f>
        <v/>
      </c>
      <c r="AA270" s="31" t="str">
        <f aca="false">IF(T270="","",TEXT(T270,"YYYY-MM"))</f>
        <v/>
      </c>
      <c r="AB270" s="27" t="str">
        <f aca="false">IF(X270="","",X270/2)</f>
        <v/>
      </c>
      <c r="AC270" s="21"/>
    </row>
    <row r="271" customFormat="false" ht="15" hidden="false" customHeight="false" outlineLevel="0" collapsed="false">
      <c r="A271" s="20"/>
      <c r="B271" s="21"/>
      <c r="C271" s="21"/>
      <c r="D271" s="21"/>
      <c r="E271" s="21"/>
      <c r="F271" s="21"/>
      <c r="G271" s="22"/>
      <c r="H271" s="21"/>
      <c r="I271" s="21"/>
      <c r="J271" s="21"/>
      <c r="K271" s="23"/>
      <c r="L271" s="24"/>
      <c r="M271" s="21"/>
      <c r="N271" s="21"/>
      <c r="O271" s="25"/>
      <c r="P271" s="26"/>
      <c r="Q271" s="27" t="str">
        <f aca="false">IF(A271="","",SUMIF(Expenses!$B$2:$B$3000,A271,Expenses!$E$2:$E$3000))</f>
        <v/>
      </c>
      <c r="R271" s="27" t="str">
        <f aca="false">IF(A271="","",N(P271)+N(Q271))</f>
        <v/>
      </c>
      <c r="S271" s="28"/>
      <c r="T271" s="25"/>
      <c r="U271" s="26"/>
      <c r="V271" s="26"/>
      <c r="W271" s="26"/>
      <c r="X271" s="27" t="str">
        <f aca="false">IF(B271&lt;&gt;"SOLD","",IF(C271="Consignment",N(W271)-R271,N(U271)-R271-N(V271)))</f>
        <v/>
      </c>
      <c r="Y271" s="29" t="str">
        <f aca="false">IF(OR(X271="",N(R271)=0),"",X271/R271)</f>
        <v/>
      </c>
      <c r="Z271" s="30" t="str">
        <f aca="true">IF(O271="","",IF(T271="",TODAY(),T271)-O271)</f>
        <v/>
      </c>
      <c r="AA271" s="31" t="str">
        <f aca="false">IF(T271="","",TEXT(T271,"YYYY-MM"))</f>
        <v/>
      </c>
      <c r="AB271" s="27" t="str">
        <f aca="false">IF(X271="","",X271/2)</f>
        <v/>
      </c>
      <c r="AC271" s="21"/>
    </row>
    <row r="272" customFormat="false" ht="15" hidden="false" customHeight="false" outlineLevel="0" collapsed="false">
      <c r="A272" s="20"/>
      <c r="B272" s="21"/>
      <c r="C272" s="21"/>
      <c r="D272" s="21"/>
      <c r="E272" s="21"/>
      <c r="F272" s="21"/>
      <c r="G272" s="22"/>
      <c r="H272" s="21"/>
      <c r="I272" s="21"/>
      <c r="J272" s="21"/>
      <c r="K272" s="23"/>
      <c r="L272" s="24"/>
      <c r="M272" s="21"/>
      <c r="N272" s="21"/>
      <c r="O272" s="25"/>
      <c r="P272" s="26"/>
      <c r="Q272" s="27" t="str">
        <f aca="false">IF(A272="","",SUMIF(Expenses!$B$2:$B$3000,A272,Expenses!$E$2:$E$3000))</f>
        <v/>
      </c>
      <c r="R272" s="27" t="str">
        <f aca="false">IF(A272="","",N(P272)+N(Q272))</f>
        <v/>
      </c>
      <c r="S272" s="28"/>
      <c r="T272" s="25"/>
      <c r="U272" s="26"/>
      <c r="V272" s="26"/>
      <c r="W272" s="26"/>
      <c r="X272" s="27" t="str">
        <f aca="false">IF(B272&lt;&gt;"SOLD","",IF(C272="Consignment",N(W272)-R272,N(U272)-R272-N(V272)))</f>
        <v/>
      </c>
      <c r="Y272" s="29" t="str">
        <f aca="false">IF(OR(X272="",N(R272)=0),"",X272/R272)</f>
        <v/>
      </c>
      <c r="Z272" s="30" t="str">
        <f aca="true">IF(O272="","",IF(T272="",TODAY(),T272)-O272)</f>
        <v/>
      </c>
      <c r="AA272" s="31" t="str">
        <f aca="false">IF(T272="","",TEXT(T272,"YYYY-MM"))</f>
        <v/>
      </c>
      <c r="AB272" s="27" t="str">
        <f aca="false">IF(X272="","",X272/2)</f>
        <v/>
      </c>
      <c r="AC272" s="21"/>
    </row>
    <row r="273" customFormat="false" ht="15" hidden="false" customHeight="false" outlineLevel="0" collapsed="false">
      <c r="A273" s="20"/>
      <c r="B273" s="21"/>
      <c r="C273" s="21"/>
      <c r="D273" s="21"/>
      <c r="E273" s="21"/>
      <c r="F273" s="21"/>
      <c r="G273" s="22"/>
      <c r="H273" s="21"/>
      <c r="I273" s="21"/>
      <c r="J273" s="21"/>
      <c r="K273" s="23"/>
      <c r="L273" s="24"/>
      <c r="M273" s="21"/>
      <c r="N273" s="21"/>
      <c r="O273" s="25"/>
      <c r="P273" s="26"/>
      <c r="Q273" s="27" t="str">
        <f aca="false">IF(A273="","",SUMIF(Expenses!$B$2:$B$3000,A273,Expenses!$E$2:$E$3000))</f>
        <v/>
      </c>
      <c r="R273" s="27" t="str">
        <f aca="false">IF(A273="","",N(P273)+N(Q273))</f>
        <v/>
      </c>
      <c r="S273" s="28"/>
      <c r="T273" s="25"/>
      <c r="U273" s="26"/>
      <c r="V273" s="26"/>
      <c r="W273" s="26"/>
      <c r="X273" s="27" t="str">
        <f aca="false">IF(B273&lt;&gt;"SOLD","",IF(C273="Consignment",N(W273)-R273,N(U273)-R273-N(V273)))</f>
        <v/>
      </c>
      <c r="Y273" s="29" t="str">
        <f aca="false">IF(OR(X273="",N(R273)=0),"",X273/R273)</f>
        <v/>
      </c>
      <c r="Z273" s="30" t="str">
        <f aca="true">IF(O273="","",IF(T273="",TODAY(),T273)-O273)</f>
        <v/>
      </c>
      <c r="AA273" s="31" t="str">
        <f aca="false">IF(T273="","",TEXT(T273,"YYYY-MM"))</f>
        <v/>
      </c>
      <c r="AB273" s="27" t="str">
        <f aca="false">IF(X273="","",X273/2)</f>
        <v/>
      </c>
      <c r="AC273" s="21"/>
    </row>
    <row r="274" customFormat="false" ht="15" hidden="false" customHeight="false" outlineLevel="0" collapsed="false">
      <c r="A274" s="20"/>
      <c r="B274" s="21"/>
      <c r="C274" s="21"/>
      <c r="D274" s="21"/>
      <c r="E274" s="21"/>
      <c r="F274" s="21"/>
      <c r="G274" s="22"/>
      <c r="H274" s="21"/>
      <c r="I274" s="21"/>
      <c r="J274" s="21"/>
      <c r="K274" s="23"/>
      <c r="L274" s="24"/>
      <c r="M274" s="21"/>
      <c r="N274" s="21"/>
      <c r="O274" s="25"/>
      <c r="P274" s="26"/>
      <c r="Q274" s="27" t="str">
        <f aca="false">IF(A274="","",SUMIF(Expenses!$B$2:$B$3000,A274,Expenses!$E$2:$E$3000))</f>
        <v/>
      </c>
      <c r="R274" s="27" t="str">
        <f aca="false">IF(A274="","",N(P274)+N(Q274))</f>
        <v/>
      </c>
      <c r="S274" s="28"/>
      <c r="T274" s="25"/>
      <c r="U274" s="26"/>
      <c r="V274" s="26"/>
      <c r="W274" s="26"/>
      <c r="X274" s="27" t="str">
        <f aca="false">IF(B274&lt;&gt;"SOLD","",IF(C274="Consignment",N(W274)-R274,N(U274)-R274-N(V274)))</f>
        <v/>
      </c>
      <c r="Y274" s="29" t="str">
        <f aca="false">IF(OR(X274="",N(R274)=0),"",X274/R274)</f>
        <v/>
      </c>
      <c r="Z274" s="30" t="str">
        <f aca="true">IF(O274="","",IF(T274="",TODAY(),T274)-O274)</f>
        <v/>
      </c>
      <c r="AA274" s="31" t="str">
        <f aca="false">IF(T274="","",TEXT(T274,"YYYY-MM"))</f>
        <v/>
      </c>
      <c r="AB274" s="27" t="str">
        <f aca="false">IF(X274="","",X274/2)</f>
        <v/>
      </c>
      <c r="AC274" s="21"/>
    </row>
    <row r="275" customFormat="false" ht="15" hidden="false" customHeight="false" outlineLevel="0" collapsed="false">
      <c r="A275" s="20"/>
      <c r="B275" s="21"/>
      <c r="C275" s="21"/>
      <c r="D275" s="21"/>
      <c r="E275" s="21"/>
      <c r="F275" s="21"/>
      <c r="G275" s="22"/>
      <c r="H275" s="21"/>
      <c r="I275" s="21"/>
      <c r="J275" s="21"/>
      <c r="K275" s="23"/>
      <c r="L275" s="24"/>
      <c r="M275" s="21"/>
      <c r="N275" s="21"/>
      <c r="O275" s="25"/>
      <c r="P275" s="26"/>
      <c r="Q275" s="27" t="str">
        <f aca="false">IF(A275="","",SUMIF(Expenses!$B$2:$B$3000,A275,Expenses!$E$2:$E$3000))</f>
        <v/>
      </c>
      <c r="R275" s="27" t="str">
        <f aca="false">IF(A275="","",N(P275)+N(Q275))</f>
        <v/>
      </c>
      <c r="S275" s="28"/>
      <c r="T275" s="25"/>
      <c r="U275" s="26"/>
      <c r="V275" s="26"/>
      <c r="W275" s="26"/>
      <c r="X275" s="27" t="str">
        <f aca="false">IF(B275&lt;&gt;"SOLD","",IF(C275="Consignment",N(W275)-R275,N(U275)-R275-N(V275)))</f>
        <v/>
      </c>
      <c r="Y275" s="29" t="str">
        <f aca="false">IF(OR(X275="",N(R275)=0),"",X275/R275)</f>
        <v/>
      </c>
      <c r="Z275" s="30" t="str">
        <f aca="true">IF(O275="","",IF(T275="",TODAY(),T275)-O275)</f>
        <v/>
      </c>
      <c r="AA275" s="31" t="str">
        <f aca="false">IF(T275="","",TEXT(T275,"YYYY-MM"))</f>
        <v/>
      </c>
      <c r="AB275" s="27" t="str">
        <f aca="false">IF(X275="","",X275/2)</f>
        <v/>
      </c>
      <c r="AC275" s="21"/>
    </row>
    <row r="276" customFormat="false" ht="15" hidden="false" customHeight="false" outlineLevel="0" collapsed="false">
      <c r="A276" s="20"/>
      <c r="B276" s="21"/>
      <c r="C276" s="21"/>
      <c r="D276" s="21"/>
      <c r="E276" s="21"/>
      <c r="F276" s="21"/>
      <c r="G276" s="22"/>
      <c r="H276" s="21"/>
      <c r="I276" s="21"/>
      <c r="J276" s="21"/>
      <c r="K276" s="23"/>
      <c r="L276" s="24"/>
      <c r="M276" s="21"/>
      <c r="N276" s="21"/>
      <c r="O276" s="25"/>
      <c r="P276" s="26"/>
      <c r="Q276" s="27" t="str">
        <f aca="false">IF(A276="","",SUMIF(Expenses!$B$2:$B$3000,A276,Expenses!$E$2:$E$3000))</f>
        <v/>
      </c>
      <c r="R276" s="27" t="str">
        <f aca="false">IF(A276="","",N(P276)+N(Q276))</f>
        <v/>
      </c>
      <c r="S276" s="28"/>
      <c r="T276" s="25"/>
      <c r="U276" s="26"/>
      <c r="V276" s="26"/>
      <c r="W276" s="26"/>
      <c r="X276" s="27" t="str">
        <f aca="false">IF(B276&lt;&gt;"SOLD","",IF(C276="Consignment",N(W276)-R276,N(U276)-R276-N(V276)))</f>
        <v/>
      </c>
      <c r="Y276" s="29" t="str">
        <f aca="false">IF(OR(X276="",N(R276)=0),"",X276/R276)</f>
        <v/>
      </c>
      <c r="Z276" s="30" t="str">
        <f aca="true">IF(O276="","",IF(T276="",TODAY(),T276)-O276)</f>
        <v/>
      </c>
      <c r="AA276" s="31" t="str">
        <f aca="false">IF(T276="","",TEXT(T276,"YYYY-MM"))</f>
        <v/>
      </c>
      <c r="AB276" s="27" t="str">
        <f aca="false">IF(X276="","",X276/2)</f>
        <v/>
      </c>
      <c r="AC276" s="21"/>
    </row>
    <row r="277" customFormat="false" ht="15" hidden="false" customHeight="false" outlineLevel="0" collapsed="false">
      <c r="A277" s="20"/>
      <c r="B277" s="21"/>
      <c r="C277" s="21"/>
      <c r="D277" s="21"/>
      <c r="E277" s="21"/>
      <c r="F277" s="21"/>
      <c r="G277" s="22"/>
      <c r="H277" s="21"/>
      <c r="I277" s="21"/>
      <c r="J277" s="21"/>
      <c r="K277" s="23"/>
      <c r="L277" s="24"/>
      <c r="M277" s="21"/>
      <c r="N277" s="21"/>
      <c r="O277" s="25"/>
      <c r="P277" s="26"/>
      <c r="Q277" s="27" t="str">
        <f aca="false">IF(A277="","",SUMIF(Expenses!$B$2:$B$3000,A277,Expenses!$E$2:$E$3000))</f>
        <v/>
      </c>
      <c r="R277" s="27" t="str">
        <f aca="false">IF(A277="","",N(P277)+N(Q277))</f>
        <v/>
      </c>
      <c r="S277" s="28"/>
      <c r="T277" s="25"/>
      <c r="U277" s="26"/>
      <c r="V277" s="26"/>
      <c r="W277" s="26"/>
      <c r="X277" s="27" t="str">
        <f aca="false">IF(B277&lt;&gt;"SOLD","",IF(C277="Consignment",N(W277)-R277,N(U277)-R277-N(V277)))</f>
        <v/>
      </c>
      <c r="Y277" s="29" t="str">
        <f aca="false">IF(OR(X277="",N(R277)=0),"",X277/R277)</f>
        <v/>
      </c>
      <c r="Z277" s="30" t="str">
        <f aca="true">IF(O277="","",IF(T277="",TODAY(),T277)-O277)</f>
        <v/>
      </c>
      <c r="AA277" s="31" t="str">
        <f aca="false">IF(T277="","",TEXT(T277,"YYYY-MM"))</f>
        <v/>
      </c>
      <c r="AB277" s="27" t="str">
        <f aca="false">IF(X277="","",X277/2)</f>
        <v/>
      </c>
      <c r="AC277" s="21"/>
    </row>
    <row r="278" customFormat="false" ht="15" hidden="false" customHeight="false" outlineLevel="0" collapsed="false">
      <c r="A278" s="20"/>
      <c r="B278" s="21"/>
      <c r="C278" s="21"/>
      <c r="D278" s="21"/>
      <c r="E278" s="21"/>
      <c r="F278" s="21"/>
      <c r="G278" s="22"/>
      <c r="H278" s="21"/>
      <c r="I278" s="21"/>
      <c r="J278" s="21"/>
      <c r="K278" s="23"/>
      <c r="L278" s="24"/>
      <c r="M278" s="21"/>
      <c r="N278" s="21"/>
      <c r="O278" s="25"/>
      <c r="P278" s="26"/>
      <c r="Q278" s="27" t="str">
        <f aca="false">IF(A278="","",SUMIF(Expenses!$B$2:$B$3000,A278,Expenses!$E$2:$E$3000))</f>
        <v/>
      </c>
      <c r="R278" s="27" t="str">
        <f aca="false">IF(A278="","",N(P278)+N(Q278))</f>
        <v/>
      </c>
      <c r="S278" s="28"/>
      <c r="T278" s="25"/>
      <c r="U278" s="26"/>
      <c r="V278" s="26"/>
      <c r="W278" s="26"/>
      <c r="X278" s="27" t="str">
        <f aca="false">IF(B278&lt;&gt;"SOLD","",IF(C278="Consignment",N(W278)-R278,N(U278)-R278-N(V278)))</f>
        <v/>
      </c>
      <c r="Y278" s="29" t="str">
        <f aca="false">IF(OR(X278="",N(R278)=0),"",X278/R278)</f>
        <v/>
      </c>
      <c r="Z278" s="30" t="str">
        <f aca="true">IF(O278="","",IF(T278="",TODAY(),T278)-O278)</f>
        <v/>
      </c>
      <c r="AA278" s="31" t="str">
        <f aca="false">IF(T278="","",TEXT(T278,"YYYY-MM"))</f>
        <v/>
      </c>
      <c r="AB278" s="27" t="str">
        <f aca="false">IF(X278="","",X278/2)</f>
        <v/>
      </c>
      <c r="AC278" s="21"/>
    </row>
    <row r="279" customFormat="false" ht="15" hidden="false" customHeight="false" outlineLevel="0" collapsed="false">
      <c r="A279" s="20"/>
      <c r="B279" s="21"/>
      <c r="C279" s="21"/>
      <c r="D279" s="21"/>
      <c r="E279" s="21"/>
      <c r="F279" s="21"/>
      <c r="G279" s="22"/>
      <c r="H279" s="21"/>
      <c r="I279" s="21"/>
      <c r="J279" s="21"/>
      <c r="K279" s="23"/>
      <c r="L279" s="24"/>
      <c r="M279" s="21"/>
      <c r="N279" s="21"/>
      <c r="O279" s="25"/>
      <c r="P279" s="26"/>
      <c r="Q279" s="27" t="str">
        <f aca="false">IF(A279="","",SUMIF(Expenses!$B$2:$B$3000,A279,Expenses!$E$2:$E$3000))</f>
        <v/>
      </c>
      <c r="R279" s="27" t="str">
        <f aca="false">IF(A279="","",N(P279)+N(Q279))</f>
        <v/>
      </c>
      <c r="S279" s="28"/>
      <c r="T279" s="25"/>
      <c r="U279" s="26"/>
      <c r="V279" s="26"/>
      <c r="W279" s="26"/>
      <c r="X279" s="27" t="str">
        <f aca="false">IF(B279&lt;&gt;"SOLD","",IF(C279="Consignment",N(W279)-R279,N(U279)-R279-N(V279)))</f>
        <v/>
      </c>
      <c r="Y279" s="29" t="str">
        <f aca="false">IF(OR(X279="",N(R279)=0),"",X279/R279)</f>
        <v/>
      </c>
      <c r="Z279" s="30" t="str">
        <f aca="true">IF(O279="","",IF(T279="",TODAY(),T279)-O279)</f>
        <v/>
      </c>
      <c r="AA279" s="31" t="str">
        <f aca="false">IF(T279="","",TEXT(T279,"YYYY-MM"))</f>
        <v/>
      </c>
      <c r="AB279" s="27" t="str">
        <f aca="false">IF(X279="","",X279/2)</f>
        <v/>
      </c>
      <c r="AC279" s="21"/>
    </row>
    <row r="280" customFormat="false" ht="15" hidden="false" customHeight="false" outlineLevel="0" collapsed="false">
      <c r="A280" s="20"/>
      <c r="B280" s="21"/>
      <c r="C280" s="21"/>
      <c r="D280" s="21"/>
      <c r="E280" s="21"/>
      <c r="F280" s="21"/>
      <c r="G280" s="22"/>
      <c r="H280" s="21"/>
      <c r="I280" s="21"/>
      <c r="J280" s="21"/>
      <c r="K280" s="23"/>
      <c r="L280" s="24"/>
      <c r="M280" s="21"/>
      <c r="N280" s="21"/>
      <c r="O280" s="25"/>
      <c r="P280" s="26"/>
      <c r="Q280" s="27" t="str">
        <f aca="false">IF(A280="","",SUMIF(Expenses!$B$2:$B$3000,A280,Expenses!$E$2:$E$3000))</f>
        <v/>
      </c>
      <c r="R280" s="27" t="str">
        <f aca="false">IF(A280="","",N(P280)+N(Q280))</f>
        <v/>
      </c>
      <c r="S280" s="28"/>
      <c r="T280" s="25"/>
      <c r="U280" s="26"/>
      <c r="V280" s="26"/>
      <c r="W280" s="26"/>
      <c r="X280" s="27" t="str">
        <f aca="false">IF(B280&lt;&gt;"SOLD","",IF(C280="Consignment",N(W280)-R280,N(U280)-R280-N(V280)))</f>
        <v/>
      </c>
      <c r="Y280" s="29" t="str">
        <f aca="false">IF(OR(X280="",N(R280)=0),"",X280/R280)</f>
        <v/>
      </c>
      <c r="Z280" s="30" t="str">
        <f aca="true">IF(O280="","",IF(T280="",TODAY(),T280)-O280)</f>
        <v/>
      </c>
      <c r="AA280" s="31" t="str">
        <f aca="false">IF(T280="","",TEXT(T280,"YYYY-MM"))</f>
        <v/>
      </c>
      <c r="AB280" s="27" t="str">
        <f aca="false">IF(X280="","",X280/2)</f>
        <v/>
      </c>
      <c r="AC280" s="21"/>
    </row>
    <row r="281" customFormat="false" ht="15" hidden="false" customHeight="false" outlineLevel="0" collapsed="false">
      <c r="A281" s="20"/>
      <c r="B281" s="21"/>
      <c r="C281" s="21"/>
      <c r="D281" s="21"/>
      <c r="E281" s="21"/>
      <c r="F281" s="21"/>
      <c r="G281" s="22"/>
      <c r="H281" s="21"/>
      <c r="I281" s="21"/>
      <c r="J281" s="21"/>
      <c r="K281" s="23"/>
      <c r="L281" s="24"/>
      <c r="M281" s="21"/>
      <c r="N281" s="21"/>
      <c r="O281" s="25"/>
      <c r="P281" s="26"/>
      <c r="Q281" s="27" t="str">
        <f aca="false">IF(A281="","",SUMIF(Expenses!$B$2:$B$3000,A281,Expenses!$E$2:$E$3000))</f>
        <v/>
      </c>
      <c r="R281" s="27" t="str">
        <f aca="false">IF(A281="","",N(P281)+N(Q281))</f>
        <v/>
      </c>
      <c r="S281" s="28"/>
      <c r="T281" s="25"/>
      <c r="U281" s="26"/>
      <c r="V281" s="26"/>
      <c r="W281" s="26"/>
      <c r="X281" s="27" t="str">
        <f aca="false">IF(B281&lt;&gt;"SOLD","",IF(C281="Consignment",N(W281)-R281,N(U281)-R281-N(V281)))</f>
        <v/>
      </c>
      <c r="Y281" s="29" t="str">
        <f aca="false">IF(OR(X281="",N(R281)=0),"",X281/R281)</f>
        <v/>
      </c>
      <c r="Z281" s="30" t="str">
        <f aca="true">IF(O281="","",IF(T281="",TODAY(),T281)-O281)</f>
        <v/>
      </c>
      <c r="AA281" s="31" t="str">
        <f aca="false">IF(T281="","",TEXT(T281,"YYYY-MM"))</f>
        <v/>
      </c>
      <c r="AB281" s="27" t="str">
        <f aca="false">IF(X281="","",X281/2)</f>
        <v/>
      </c>
      <c r="AC281" s="21"/>
    </row>
    <row r="282" customFormat="false" ht="15" hidden="false" customHeight="false" outlineLevel="0" collapsed="false">
      <c r="A282" s="20"/>
      <c r="B282" s="21"/>
      <c r="C282" s="21"/>
      <c r="D282" s="21"/>
      <c r="E282" s="21"/>
      <c r="F282" s="21"/>
      <c r="G282" s="22"/>
      <c r="H282" s="21"/>
      <c r="I282" s="21"/>
      <c r="J282" s="21"/>
      <c r="K282" s="23"/>
      <c r="L282" s="24"/>
      <c r="M282" s="21"/>
      <c r="N282" s="21"/>
      <c r="O282" s="25"/>
      <c r="P282" s="26"/>
      <c r="Q282" s="27" t="str">
        <f aca="false">IF(A282="","",SUMIF(Expenses!$B$2:$B$3000,A282,Expenses!$E$2:$E$3000))</f>
        <v/>
      </c>
      <c r="R282" s="27" t="str">
        <f aca="false">IF(A282="","",N(P282)+N(Q282))</f>
        <v/>
      </c>
      <c r="S282" s="28"/>
      <c r="T282" s="25"/>
      <c r="U282" s="26"/>
      <c r="V282" s="26"/>
      <c r="W282" s="26"/>
      <c r="X282" s="27" t="str">
        <f aca="false">IF(B282&lt;&gt;"SOLD","",IF(C282="Consignment",N(W282)-R282,N(U282)-R282-N(V282)))</f>
        <v/>
      </c>
      <c r="Y282" s="29" t="str">
        <f aca="false">IF(OR(X282="",N(R282)=0),"",X282/R282)</f>
        <v/>
      </c>
      <c r="Z282" s="30" t="str">
        <f aca="true">IF(O282="","",IF(T282="",TODAY(),T282)-O282)</f>
        <v/>
      </c>
      <c r="AA282" s="31" t="str">
        <f aca="false">IF(T282="","",TEXT(T282,"YYYY-MM"))</f>
        <v/>
      </c>
      <c r="AB282" s="27" t="str">
        <f aca="false">IF(X282="","",X282/2)</f>
        <v/>
      </c>
      <c r="AC282" s="21"/>
    </row>
    <row r="283" customFormat="false" ht="15" hidden="false" customHeight="false" outlineLevel="0" collapsed="false">
      <c r="A283" s="20"/>
      <c r="B283" s="21"/>
      <c r="C283" s="21"/>
      <c r="D283" s="21"/>
      <c r="E283" s="21"/>
      <c r="F283" s="21"/>
      <c r="G283" s="22"/>
      <c r="H283" s="21"/>
      <c r="I283" s="21"/>
      <c r="J283" s="21"/>
      <c r="K283" s="23"/>
      <c r="L283" s="24"/>
      <c r="M283" s="21"/>
      <c r="N283" s="21"/>
      <c r="O283" s="25"/>
      <c r="P283" s="26"/>
      <c r="Q283" s="27" t="str">
        <f aca="false">IF(A283="","",SUMIF(Expenses!$B$2:$B$3000,A283,Expenses!$E$2:$E$3000))</f>
        <v/>
      </c>
      <c r="R283" s="27" t="str">
        <f aca="false">IF(A283="","",N(P283)+N(Q283))</f>
        <v/>
      </c>
      <c r="S283" s="28"/>
      <c r="T283" s="25"/>
      <c r="U283" s="26"/>
      <c r="V283" s="26"/>
      <c r="W283" s="26"/>
      <c r="X283" s="27" t="str">
        <f aca="false">IF(B283&lt;&gt;"SOLD","",IF(C283="Consignment",N(W283)-R283,N(U283)-R283-N(V283)))</f>
        <v/>
      </c>
      <c r="Y283" s="29" t="str">
        <f aca="false">IF(OR(X283="",N(R283)=0),"",X283/R283)</f>
        <v/>
      </c>
      <c r="Z283" s="30" t="str">
        <f aca="true">IF(O283="","",IF(T283="",TODAY(),T283)-O283)</f>
        <v/>
      </c>
      <c r="AA283" s="31" t="str">
        <f aca="false">IF(T283="","",TEXT(T283,"YYYY-MM"))</f>
        <v/>
      </c>
      <c r="AB283" s="27" t="str">
        <f aca="false">IF(X283="","",X283/2)</f>
        <v/>
      </c>
      <c r="AC283" s="21"/>
    </row>
    <row r="284" customFormat="false" ht="15" hidden="false" customHeight="false" outlineLevel="0" collapsed="false">
      <c r="A284" s="20"/>
      <c r="B284" s="21"/>
      <c r="C284" s="21"/>
      <c r="D284" s="21"/>
      <c r="E284" s="21"/>
      <c r="F284" s="21"/>
      <c r="G284" s="22"/>
      <c r="H284" s="21"/>
      <c r="I284" s="21"/>
      <c r="J284" s="21"/>
      <c r="K284" s="23"/>
      <c r="L284" s="24"/>
      <c r="M284" s="21"/>
      <c r="N284" s="21"/>
      <c r="O284" s="25"/>
      <c r="P284" s="26"/>
      <c r="Q284" s="27" t="str">
        <f aca="false">IF(A284="","",SUMIF(Expenses!$B$2:$B$3000,A284,Expenses!$E$2:$E$3000))</f>
        <v/>
      </c>
      <c r="R284" s="27" t="str">
        <f aca="false">IF(A284="","",N(P284)+N(Q284))</f>
        <v/>
      </c>
      <c r="S284" s="28"/>
      <c r="T284" s="25"/>
      <c r="U284" s="26"/>
      <c r="V284" s="26"/>
      <c r="W284" s="26"/>
      <c r="X284" s="27" t="str">
        <f aca="false">IF(B284&lt;&gt;"SOLD","",IF(C284="Consignment",N(W284)-R284,N(U284)-R284-N(V284)))</f>
        <v/>
      </c>
      <c r="Y284" s="29" t="str">
        <f aca="false">IF(OR(X284="",N(R284)=0),"",X284/R284)</f>
        <v/>
      </c>
      <c r="Z284" s="30" t="str">
        <f aca="true">IF(O284="","",IF(T284="",TODAY(),T284)-O284)</f>
        <v/>
      </c>
      <c r="AA284" s="31" t="str">
        <f aca="false">IF(T284="","",TEXT(T284,"YYYY-MM"))</f>
        <v/>
      </c>
      <c r="AB284" s="27" t="str">
        <f aca="false">IF(X284="","",X284/2)</f>
        <v/>
      </c>
      <c r="AC284" s="21"/>
    </row>
    <row r="285" customFormat="false" ht="15" hidden="false" customHeight="false" outlineLevel="0" collapsed="false">
      <c r="A285" s="20"/>
      <c r="B285" s="21"/>
      <c r="C285" s="21"/>
      <c r="D285" s="21"/>
      <c r="E285" s="21"/>
      <c r="F285" s="21"/>
      <c r="G285" s="22"/>
      <c r="H285" s="21"/>
      <c r="I285" s="21"/>
      <c r="J285" s="21"/>
      <c r="K285" s="23"/>
      <c r="L285" s="24"/>
      <c r="M285" s="21"/>
      <c r="N285" s="21"/>
      <c r="O285" s="25"/>
      <c r="P285" s="26"/>
      <c r="Q285" s="27" t="str">
        <f aca="false">IF(A285="","",SUMIF(Expenses!$B$2:$B$3000,A285,Expenses!$E$2:$E$3000))</f>
        <v/>
      </c>
      <c r="R285" s="27" t="str">
        <f aca="false">IF(A285="","",N(P285)+N(Q285))</f>
        <v/>
      </c>
      <c r="S285" s="28"/>
      <c r="T285" s="25"/>
      <c r="U285" s="26"/>
      <c r="V285" s="26"/>
      <c r="W285" s="26"/>
      <c r="X285" s="27" t="str">
        <f aca="false">IF(B285&lt;&gt;"SOLD","",IF(C285="Consignment",N(W285)-R285,N(U285)-R285-N(V285)))</f>
        <v/>
      </c>
      <c r="Y285" s="29" t="str">
        <f aca="false">IF(OR(X285="",N(R285)=0),"",X285/R285)</f>
        <v/>
      </c>
      <c r="Z285" s="30" t="str">
        <f aca="true">IF(O285="","",IF(T285="",TODAY(),T285)-O285)</f>
        <v/>
      </c>
      <c r="AA285" s="31" t="str">
        <f aca="false">IF(T285="","",TEXT(T285,"YYYY-MM"))</f>
        <v/>
      </c>
      <c r="AB285" s="27" t="str">
        <f aca="false">IF(X285="","",X285/2)</f>
        <v/>
      </c>
      <c r="AC285" s="21"/>
    </row>
    <row r="286" customFormat="false" ht="15" hidden="false" customHeight="false" outlineLevel="0" collapsed="false">
      <c r="A286" s="20"/>
      <c r="B286" s="21"/>
      <c r="C286" s="21"/>
      <c r="D286" s="21"/>
      <c r="E286" s="21"/>
      <c r="F286" s="21"/>
      <c r="G286" s="22"/>
      <c r="H286" s="21"/>
      <c r="I286" s="21"/>
      <c r="J286" s="21"/>
      <c r="K286" s="23"/>
      <c r="L286" s="24"/>
      <c r="M286" s="21"/>
      <c r="N286" s="21"/>
      <c r="O286" s="25"/>
      <c r="P286" s="26"/>
      <c r="Q286" s="27" t="str">
        <f aca="false">IF(A286="","",SUMIF(Expenses!$B$2:$B$3000,A286,Expenses!$E$2:$E$3000))</f>
        <v/>
      </c>
      <c r="R286" s="27" t="str">
        <f aca="false">IF(A286="","",N(P286)+N(Q286))</f>
        <v/>
      </c>
      <c r="S286" s="28"/>
      <c r="T286" s="25"/>
      <c r="U286" s="26"/>
      <c r="V286" s="26"/>
      <c r="W286" s="26"/>
      <c r="X286" s="27" t="str">
        <f aca="false">IF(B286&lt;&gt;"SOLD","",IF(C286="Consignment",N(W286)-R286,N(U286)-R286-N(V286)))</f>
        <v/>
      </c>
      <c r="Y286" s="29" t="str">
        <f aca="false">IF(OR(X286="",N(R286)=0),"",X286/R286)</f>
        <v/>
      </c>
      <c r="Z286" s="30" t="str">
        <f aca="true">IF(O286="","",IF(T286="",TODAY(),T286)-O286)</f>
        <v/>
      </c>
      <c r="AA286" s="31" t="str">
        <f aca="false">IF(T286="","",TEXT(T286,"YYYY-MM"))</f>
        <v/>
      </c>
      <c r="AB286" s="27" t="str">
        <f aca="false">IF(X286="","",X286/2)</f>
        <v/>
      </c>
      <c r="AC286" s="21"/>
    </row>
    <row r="287" customFormat="false" ht="15" hidden="false" customHeight="false" outlineLevel="0" collapsed="false">
      <c r="A287" s="20"/>
      <c r="B287" s="21"/>
      <c r="C287" s="21"/>
      <c r="D287" s="21"/>
      <c r="E287" s="21"/>
      <c r="F287" s="21"/>
      <c r="G287" s="22"/>
      <c r="H287" s="21"/>
      <c r="I287" s="21"/>
      <c r="J287" s="21"/>
      <c r="K287" s="23"/>
      <c r="L287" s="24"/>
      <c r="M287" s="21"/>
      <c r="N287" s="21"/>
      <c r="O287" s="25"/>
      <c r="P287" s="26"/>
      <c r="Q287" s="27" t="str">
        <f aca="false">IF(A287="","",SUMIF(Expenses!$B$2:$B$3000,A287,Expenses!$E$2:$E$3000))</f>
        <v/>
      </c>
      <c r="R287" s="27" t="str">
        <f aca="false">IF(A287="","",N(P287)+N(Q287))</f>
        <v/>
      </c>
      <c r="S287" s="28"/>
      <c r="T287" s="25"/>
      <c r="U287" s="26"/>
      <c r="V287" s="26"/>
      <c r="W287" s="26"/>
      <c r="X287" s="27" t="str">
        <f aca="false">IF(B287&lt;&gt;"SOLD","",IF(C287="Consignment",N(W287)-R287,N(U287)-R287-N(V287)))</f>
        <v/>
      </c>
      <c r="Y287" s="29" t="str">
        <f aca="false">IF(OR(X287="",N(R287)=0),"",X287/R287)</f>
        <v/>
      </c>
      <c r="Z287" s="30" t="str">
        <f aca="true">IF(O287="","",IF(T287="",TODAY(),T287)-O287)</f>
        <v/>
      </c>
      <c r="AA287" s="31" t="str">
        <f aca="false">IF(T287="","",TEXT(T287,"YYYY-MM"))</f>
        <v/>
      </c>
      <c r="AB287" s="27" t="str">
        <f aca="false">IF(X287="","",X287/2)</f>
        <v/>
      </c>
      <c r="AC287" s="21"/>
    </row>
    <row r="288" customFormat="false" ht="15" hidden="false" customHeight="false" outlineLevel="0" collapsed="false">
      <c r="A288" s="20"/>
      <c r="B288" s="21"/>
      <c r="C288" s="21"/>
      <c r="D288" s="21"/>
      <c r="E288" s="21"/>
      <c r="F288" s="21"/>
      <c r="G288" s="22"/>
      <c r="H288" s="21"/>
      <c r="I288" s="21"/>
      <c r="J288" s="21"/>
      <c r="K288" s="23"/>
      <c r="L288" s="24"/>
      <c r="M288" s="21"/>
      <c r="N288" s="21"/>
      <c r="O288" s="25"/>
      <c r="P288" s="26"/>
      <c r="Q288" s="27" t="str">
        <f aca="false">IF(A288="","",SUMIF(Expenses!$B$2:$B$3000,A288,Expenses!$E$2:$E$3000))</f>
        <v/>
      </c>
      <c r="R288" s="27" t="str">
        <f aca="false">IF(A288="","",N(P288)+N(Q288))</f>
        <v/>
      </c>
      <c r="S288" s="28"/>
      <c r="T288" s="25"/>
      <c r="U288" s="26"/>
      <c r="V288" s="26"/>
      <c r="W288" s="26"/>
      <c r="X288" s="27" t="str">
        <f aca="false">IF(B288&lt;&gt;"SOLD","",IF(C288="Consignment",N(W288)-R288,N(U288)-R288-N(V288)))</f>
        <v/>
      </c>
      <c r="Y288" s="29" t="str">
        <f aca="false">IF(OR(X288="",N(R288)=0),"",X288/R288)</f>
        <v/>
      </c>
      <c r="Z288" s="30" t="str">
        <f aca="true">IF(O288="","",IF(T288="",TODAY(),T288)-O288)</f>
        <v/>
      </c>
      <c r="AA288" s="31" t="str">
        <f aca="false">IF(T288="","",TEXT(T288,"YYYY-MM"))</f>
        <v/>
      </c>
      <c r="AB288" s="27" t="str">
        <f aca="false">IF(X288="","",X288/2)</f>
        <v/>
      </c>
      <c r="AC288" s="21"/>
    </row>
    <row r="289" customFormat="false" ht="15" hidden="false" customHeight="false" outlineLevel="0" collapsed="false">
      <c r="A289" s="20"/>
      <c r="B289" s="21"/>
      <c r="C289" s="21"/>
      <c r="D289" s="21"/>
      <c r="E289" s="21"/>
      <c r="F289" s="21"/>
      <c r="G289" s="22"/>
      <c r="H289" s="21"/>
      <c r="I289" s="21"/>
      <c r="J289" s="21"/>
      <c r="K289" s="23"/>
      <c r="L289" s="24"/>
      <c r="M289" s="21"/>
      <c r="N289" s="21"/>
      <c r="O289" s="25"/>
      <c r="P289" s="26"/>
      <c r="Q289" s="27" t="str">
        <f aca="false">IF(A289="","",SUMIF(Expenses!$B$2:$B$3000,A289,Expenses!$E$2:$E$3000))</f>
        <v/>
      </c>
      <c r="R289" s="27" t="str">
        <f aca="false">IF(A289="","",N(P289)+N(Q289))</f>
        <v/>
      </c>
      <c r="S289" s="28"/>
      <c r="T289" s="25"/>
      <c r="U289" s="26"/>
      <c r="V289" s="26"/>
      <c r="W289" s="26"/>
      <c r="X289" s="27" t="str">
        <f aca="false">IF(B289&lt;&gt;"SOLD","",IF(C289="Consignment",N(W289)-R289,N(U289)-R289-N(V289)))</f>
        <v/>
      </c>
      <c r="Y289" s="29" t="str">
        <f aca="false">IF(OR(X289="",N(R289)=0),"",X289/R289)</f>
        <v/>
      </c>
      <c r="Z289" s="30" t="str">
        <f aca="true">IF(O289="","",IF(T289="",TODAY(),T289)-O289)</f>
        <v/>
      </c>
      <c r="AA289" s="31" t="str">
        <f aca="false">IF(T289="","",TEXT(T289,"YYYY-MM"))</f>
        <v/>
      </c>
      <c r="AB289" s="27" t="str">
        <f aca="false">IF(X289="","",X289/2)</f>
        <v/>
      </c>
      <c r="AC289" s="21"/>
    </row>
    <row r="290" customFormat="false" ht="15" hidden="false" customHeight="false" outlineLevel="0" collapsed="false">
      <c r="A290" s="20"/>
      <c r="B290" s="21"/>
      <c r="C290" s="21"/>
      <c r="D290" s="21"/>
      <c r="E290" s="21"/>
      <c r="F290" s="21"/>
      <c r="G290" s="22"/>
      <c r="H290" s="21"/>
      <c r="I290" s="21"/>
      <c r="J290" s="21"/>
      <c r="K290" s="23"/>
      <c r="L290" s="24"/>
      <c r="M290" s="21"/>
      <c r="N290" s="21"/>
      <c r="O290" s="25"/>
      <c r="P290" s="26"/>
      <c r="Q290" s="27" t="str">
        <f aca="false">IF(A290="","",SUMIF(Expenses!$B$2:$B$3000,A290,Expenses!$E$2:$E$3000))</f>
        <v/>
      </c>
      <c r="R290" s="27" t="str">
        <f aca="false">IF(A290="","",N(P290)+N(Q290))</f>
        <v/>
      </c>
      <c r="S290" s="28"/>
      <c r="T290" s="25"/>
      <c r="U290" s="26"/>
      <c r="V290" s="26"/>
      <c r="W290" s="26"/>
      <c r="X290" s="27" t="str">
        <f aca="false">IF(B290&lt;&gt;"SOLD","",IF(C290="Consignment",N(W290)-R290,N(U290)-R290-N(V290)))</f>
        <v/>
      </c>
      <c r="Y290" s="29" t="str">
        <f aca="false">IF(OR(X290="",N(R290)=0),"",X290/R290)</f>
        <v/>
      </c>
      <c r="Z290" s="30" t="str">
        <f aca="true">IF(O290="","",IF(T290="",TODAY(),T290)-O290)</f>
        <v/>
      </c>
      <c r="AA290" s="31" t="str">
        <f aca="false">IF(T290="","",TEXT(T290,"YYYY-MM"))</f>
        <v/>
      </c>
      <c r="AB290" s="27" t="str">
        <f aca="false">IF(X290="","",X290/2)</f>
        <v/>
      </c>
      <c r="AC290" s="21"/>
    </row>
    <row r="291" customFormat="false" ht="15" hidden="false" customHeight="false" outlineLevel="0" collapsed="false">
      <c r="A291" s="20"/>
      <c r="B291" s="21"/>
      <c r="C291" s="21"/>
      <c r="D291" s="21"/>
      <c r="E291" s="21"/>
      <c r="F291" s="21"/>
      <c r="G291" s="22"/>
      <c r="H291" s="21"/>
      <c r="I291" s="21"/>
      <c r="J291" s="21"/>
      <c r="K291" s="23"/>
      <c r="L291" s="24"/>
      <c r="M291" s="21"/>
      <c r="N291" s="21"/>
      <c r="O291" s="25"/>
      <c r="P291" s="26"/>
      <c r="Q291" s="27" t="str">
        <f aca="false">IF(A291="","",SUMIF(Expenses!$B$2:$B$3000,A291,Expenses!$E$2:$E$3000))</f>
        <v/>
      </c>
      <c r="R291" s="27" t="str">
        <f aca="false">IF(A291="","",N(P291)+N(Q291))</f>
        <v/>
      </c>
      <c r="S291" s="28"/>
      <c r="T291" s="25"/>
      <c r="U291" s="26"/>
      <c r="V291" s="26"/>
      <c r="W291" s="26"/>
      <c r="X291" s="27" t="str">
        <f aca="false">IF(B291&lt;&gt;"SOLD","",IF(C291="Consignment",N(W291)-R291,N(U291)-R291-N(V291)))</f>
        <v/>
      </c>
      <c r="Y291" s="29" t="str">
        <f aca="false">IF(OR(X291="",N(R291)=0),"",X291/R291)</f>
        <v/>
      </c>
      <c r="Z291" s="30" t="str">
        <f aca="true">IF(O291="","",IF(T291="",TODAY(),T291)-O291)</f>
        <v/>
      </c>
      <c r="AA291" s="31" t="str">
        <f aca="false">IF(T291="","",TEXT(T291,"YYYY-MM"))</f>
        <v/>
      </c>
      <c r="AB291" s="27" t="str">
        <f aca="false">IF(X291="","",X291/2)</f>
        <v/>
      </c>
      <c r="AC291" s="21"/>
    </row>
    <row r="292" customFormat="false" ht="15" hidden="false" customHeight="false" outlineLevel="0" collapsed="false">
      <c r="A292" s="20"/>
      <c r="B292" s="21"/>
      <c r="C292" s="21"/>
      <c r="D292" s="21"/>
      <c r="E292" s="21"/>
      <c r="F292" s="21"/>
      <c r="G292" s="22"/>
      <c r="H292" s="21"/>
      <c r="I292" s="21"/>
      <c r="J292" s="21"/>
      <c r="K292" s="23"/>
      <c r="L292" s="24"/>
      <c r="M292" s="21"/>
      <c r="N292" s="21"/>
      <c r="O292" s="25"/>
      <c r="P292" s="26"/>
      <c r="Q292" s="27" t="str">
        <f aca="false">IF(A292="","",SUMIF(Expenses!$B$2:$B$3000,A292,Expenses!$E$2:$E$3000))</f>
        <v/>
      </c>
      <c r="R292" s="27" t="str">
        <f aca="false">IF(A292="","",N(P292)+N(Q292))</f>
        <v/>
      </c>
      <c r="S292" s="28"/>
      <c r="T292" s="25"/>
      <c r="U292" s="26"/>
      <c r="V292" s="26"/>
      <c r="W292" s="26"/>
      <c r="X292" s="27" t="str">
        <f aca="false">IF(B292&lt;&gt;"SOLD","",IF(C292="Consignment",N(W292)-R292,N(U292)-R292-N(V292)))</f>
        <v/>
      </c>
      <c r="Y292" s="29" t="str">
        <f aca="false">IF(OR(X292="",N(R292)=0),"",X292/R292)</f>
        <v/>
      </c>
      <c r="Z292" s="30" t="str">
        <f aca="true">IF(O292="","",IF(T292="",TODAY(),T292)-O292)</f>
        <v/>
      </c>
      <c r="AA292" s="31" t="str">
        <f aca="false">IF(T292="","",TEXT(T292,"YYYY-MM"))</f>
        <v/>
      </c>
      <c r="AB292" s="27" t="str">
        <f aca="false">IF(X292="","",X292/2)</f>
        <v/>
      </c>
      <c r="AC292" s="21"/>
    </row>
    <row r="293" customFormat="false" ht="15" hidden="false" customHeight="false" outlineLevel="0" collapsed="false">
      <c r="A293" s="20"/>
      <c r="B293" s="21"/>
      <c r="C293" s="21"/>
      <c r="D293" s="21"/>
      <c r="E293" s="21"/>
      <c r="F293" s="21"/>
      <c r="G293" s="22"/>
      <c r="H293" s="21"/>
      <c r="I293" s="21"/>
      <c r="J293" s="21"/>
      <c r="K293" s="23"/>
      <c r="L293" s="24"/>
      <c r="M293" s="21"/>
      <c r="N293" s="21"/>
      <c r="O293" s="25"/>
      <c r="P293" s="26"/>
      <c r="Q293" s="27" t="str">
        <f aca="false">IF(A293="","",SUMIF(Expenses!$B$2:$B$3000,A293,Expenses!$E$2:$E$3000))</f>
        <v/>
      </c>
      <c r="R293" s="27" t="str">
        <f aca="false">IF(A293="","",N(P293)+N(Q293))</f>
        <v/>
      </c>
      <c r="S293" s="28"/>
      <c r="T293" s="25"/>
      <c r="U293" s="26"/>
      <c r="V293" s="26"/>
      <c r="W293" s="26"/>
      <c r="X293" s="27" t="str">
        <f aca="false">IF(B293&lt;&gt;"SOLD","",IF(C293="Consignment",N(W293)-R293,N(U293)-R293-N(V293)))</f>
        <v/>
      </c>
      <c r="Y293" s="29" t="str">
        <f aca="false">IF(OR(X293="",N(R293)=0),"",X293/R293)</f>
        <v/>
      </c>
      <c r="Z293" s="30" t="str">
        <f aca="true">IF(O293="","",IF(T293="",TODAY(),T293)-O293)</f>
        <v/>
      </c>
      <c r="AA293" s="31" t="str">
        <f aca="false">IF(T293="","",TEXT(T293,"YYYY-MM"))</f>
        <v/>
      </c>
      <c r="AB293" s="27" t="str">
        <f aca="false">IF(X293="","",X293/2)</f>
        <v/>
      </c>
      <c r="AC293" s="21"/>
    </row>
    <row r="294" customFormat="false" ht="15" hidden="false" customHeight="false" outlineLevel="0" collapsed="false">
      <c r="A294" s="20"/>
      <c r="B294" s="21"/>
      <c r="C294" s="21"/>
      <c r="D294" s="21"/>
      <c r="E294" s="21"/>
      <c r="F294" s="21"/>
      <c r="G294" s="22"/>
      <c r="H294" s="21"/>
      <c r="I294" s="21"/>
      <c r="J294" s="21"/>
      <c r="K294" s="23"/>
      <c r="L294" s="24"/>
      <c r="M294" s="21"/>
      <c r="N294" s="21"/>
      <c r="O294" s="25"/>
      <c r="P294" s="26"/>
      <c r="Q294" s="27" t="str">
        <f aca="false">IF(A294="","",SUMIF(Expenses!$B$2:$B$3000,A294,Expenses!$E$2:$E$3000))</f>
        <v/>
      </c>
      <c r="R294" s="27" t="str">
        <f aca="false">IF(A294="","",N(P294)+N(Q294))</f>
        <v/>
      </c>
      <c r="S294" s="28"/>
      <c r="T294" s="25"/>
      <c r="U294" s="26"/>
      <c r="V294" s="26"/>
      <c r="W294" s="26"/>
      <c r="X294" s="27" t="str">
        <f aca="false">IF(B294&lt;&gt;"SOLD","",IF(C294="Consignment",N(W294)-R294,N(U294)-R294-N(V294)))</f>
        <v/>
      </c>
      <c r="Y294" s="29" t="str">
        <f aca="false">IF(OR(X294="",N(R294)=0),"",X294/R294)</f>
        <v/>
      </c>
      <c r="Z294" s="30" t="str">
        <f aca="true">IF(O294="","",IF(T294="",TODAY(),T294)-O294)</f>
        <v/>
      </c>
      <c r="AA294" s="31" t="str">
        <f aca="false">IF(T294="","",TEXT(T294,"YYYY-MM"))</f>
        <v/>
      </c>
      <c r="AB294" s="27" t="str">
        <f aca="false">IF(X294="","",X294/2)</f>
        <v/>
      </c>
      <c r="AC294" s="21"/>
    </row>
    <row r="295" customFormat="false" ht="15" hidden="false" customHeight="false" outlineLevel="0" collapsed="false">
      <c r="A295" s="20"/>
      <c r="B295" s="21"/>
      <c r="C295" s="21"/>
      <c r="D295" s="21"/>
      <c r="E295" s="21"/>
      <c r="F295" s="21"/>
      <c r="G295" s="22"/>
      <c r="H295" s="21"/>
      <c r="I295" s="21"/>
      <c r="J295" s="21"/>
      <c r="K295" s="23"/>
      <c r="L295" s="24"/>
      <c r="M295" s="21"/>
      <c r="N295" s="21"/>
      <c r="O295" s="25"/>
      <c r="P295" s="26"/>
      <c r="Q295" s="27" t="str">
        <f aca="false">IF(A295="","",SUMIF(Expenses!$B$2:$B$3000,A295,Expenses!$E$2:$E$3000))</f>
        <v/>
      </c>
      <c r="R295" s="27" t="str">
        <f aca="false">IF(A295="","",N(P295)+N(Q295))</f>
        <v/>
      </c>
      <c r="S295" s="28"/>
      <c r="T295" s="25"/>
      <c r="U295" s="26"/>
      <c r="V295" s="26"/>
      <c r="W295" s="26"/>
      <c r="X295" s="27" t="str">
        <f aca="false">IF(B295&lt;&gt;"SOLD","",IF(C295="Consignment",N(W295)-R295,N(U295)-R295-N(V295)))</f>
        <v/>
      </c>
      <c r="Y295" s="29" t="str">
        <f aca="false">IF(OR(X295="",N(R295)=0),"",X295/R295)</f>
        <v/>
      </c>
      <c r="Z295" s="30" t="str">
        <f aca="true">IF(O295="","",IF(T295="",TODAY(),T295)-O295)</f>
        <v/>
      </c>
      <c r="AA295" s="31" t="str">
        <f aca="false">IF(T295="","",TEXT(T295,"YYYY-MM"))</f>
        <v/>
      </c>
      <c r="AB295" s="27" t="str">
        <f aca="false">IF(X295="","",X295/2)</f>
        <v/>
      </c>
      <c r="AC295" s="21"/>
    </row>
    <row r="296" customFormat="false" ht="15" hidden="false" customHeight="false" outlineLevel="0" collapsed="false">
      <c r="A296" s="20"/>
      <c r="B296" s="21"/>
      <c r="C296" s="21"/>
      <c r="D296" s="21"/>
      <c r="E296" s="21"/>
      <c r="F296" s="21"/>
      <c r="G296" s="22"/>
      <c r="H296" s="21"/>
      <c r="I296" s="21"/>
      <c r="J296" s="21"/>
      <c r="K296" s="23"/>
      <c r="L296" s="24"/>
      <c r="M296" s="21"/>
      <c r="N296" s="21"/>
      <c r="O296" s="25"/>
      <c r="P296" s="26"/>
      <c r="Q296" s="27" t="str">
        <f aca="false">IF(A296="","",SUMIF(Expenses!$B$2:$B$3000,A296,Expenses!$E$2:$E$3000))</f>
        <v/>
      </c>
      <c r="R296" s="27" t="str">
        <f aca="false">IF(A296="","",N(P296)+N(Q296))</f>
        <v/>
      </c>
      <c r="S296" s="28"/>
      <c r="T296" s="25"/>
      <c r="U296" s="26"/>
      <c r="V296" s="26"/>
      <c r="W296" s="26"/>
      <c r="X296" s="27" t="str">
        <f aca="false">IF(B296&lt;&gt;"SOLD","",IF(C296="Consignment",N(W296)-R296,N(U296)-R296-N(V296)))</f>
        <v/>
      </c>
      <c r="Y296" s="29" t="str">
        <f aca="false">IF(OR(X296="",N(R296)=0),"",X296/R296)</f>
        <v/>
      </c>
      <c r="Z296" s="30" t="str">
        <f aca="true">IF(O296="","",IF(T296="",TODAY(),T296)-O296)</f>
        <v/>
      </c>
      <c r="AA296" s="31" t="str">
        <f aca="false">IF(T296="","",TEXT(T296,"YYYY-MM"))</f>
        <v/>
      </c>
      <c r="AB296" s="27" t="str">
        <f aca="false">IF(X296="","",X296/2)</f>
        <v/>
      </c>
      <c r="AC296" s="21"/>
    </row>
    <row r="297" customFormat="false" ht="15" hidden="false" customHeight="false" outlineLevel="0" collapsed="false">
      <c r="A297" s="20"/>
      <c r="B297" s="21"/>
      <c r="C297" s="21"/>
      <c r="D297" s="21"/>
      <c r="E297" s="21"/>
      <c r="F297" s="21"/>
      <c r="G297" s="22"/>
      <c r="H297" s="21"/>
      <c r="I297" s="21"/>
      <c r="J297" s="21"/>
      <c r="K297" s="23"/>
      <c r="L297" s="24"/>
      <c r="M297" s="21"/>
      <c r="N297" s="21"/>
      <c r="O297" s="25"/>
      <c r="P297" s="26"/>
      <c r="Q297" s="27" t="str">
        <f aca="false">IF(A297="","",SUMIF(Expenses!$B$2:$B$3000,A297,Expenses!$E$2:$E$3000))</f>
        <v/>
      </c>
      <c r="R297" s="27" t="str">
        <f aca="false">IF(A297="","",N(P297)+N(Q297))</f>
        <v/>
      </c>
      <c r="S297" s="28"/>
      <c r="T297" s="25"/>
      <c r="U297" s="26"/>
      <c r="V297" s="26"/>
      <c r="W297" s="26"/>
      <c r="X297" s="27" t="str">
        <f aca="false">IF(B297&lt;&gt;"SOLD","",IF(C297="Consignment",N(W297)-R297,N(U297)-R297-N(V297)))</f>
        <v/>
      </c>
      <c r="Y297" s="29" t="str">
        <f aca="false">IF(OR(X297="",N(R297)=0),"",X297/R297)</f>
        <v/>
      </c>
      <c r="Z297" s="30" t="str">
        <f aca="true">IF(O297="","",IF(T297="",TODAY(),T297)-O297)</f>
        <v/>
      </c>
      <c r="AA297" s="31" t="str">
        <f aca="false">IF(T297="","",TEXT(T297,"YYYY-MM"))</f>
        <v/>
      </c>
      <c r="AB297" s="27" t="str">
        <f aca="false">IF(X297="","",X297/2)</f>
        <v/>
      </c>
      <c r="AC297" s="21"/>
    </row>
    <row r="298" customFormat="false" ht="15" hidden="false" customHeight="false" outlineLevel="0" collapsed="false">
      <c r="A298" s="20"/>
      <c r="B298" s="21"/>
      <c r="C298" s="21"/>
      <c r="D298" s="21"/>
      <c r="E298" s="21"/>
      <c r="F298" s="21"/>
      <c r="G298" s="22"/>
      <c r="H298" s="21"/>
      <c r="I298" s="21"/>
      <c r="J298" s="21"/>
      <c r="K298" s="23"/>
      <c r="L298" s="24"/>
      <c r="M298" s="21"/>
      <c r="N298" s="21"/>
      <c r="O298" s="25"/>
      <c r="P298" s="26"/>
      <c r="Q298" s="27" t="str">
        <f aca="false">IF(A298="","",SUMIF(Expenses!$B$2:$B$3000,A298,Expenses!$E$2:$E$3000))</f>
        <v/>
      </c>
      <c r="R298" s="27" t="str">
        <f aca="false">IF(A298="","",N(P298)+N(Q298))</f>
        <v/>
      </c>
      <c r="S298" s="28"/>
      <c r="T298" s="25"/>
      <c r="U298" s="26"/>
      <c r="V298" s="26"/>
      <c r="W298" s="26"/>
      <c r="X298" s="27" t="str">
        <f aca="false">IF(B298&lt;&gt;"SOLD","",IF(C298="Consignment",N(W298)-R298,N(U298)-R298-N(V298)))</f>
        <v/>
      </c>
      <c r="Y298" s="29" t="str">
        <f aca="false">IF(OR(X298="",N(R298)=0),"",X298/R298)</f>
        <v/>
      </c>
      <c r="Z298" s="30" t="str">
        <f aca="true">IF(O298="","",IF(T298="",TODAY(),T298)-O298)</f>
        <v/>
      </c>
      <c r="AA298" s="31" t="str">
        <f aca="false">IF(T298="","",TEXT(T298,"YYYY-MM"))</f>
        <v/>
      </c>
      <c r="AB298" s="27" t="str">
        <f aca="false">IF(X298="","",X298/2)</f>
        <v/>
      </c>
      <c r="AC298" s="21"/>
    </row>
    <row r="299" customFormat="false" ht="15" hidden="false" customHeight="false" outlineLevel="0" collapsed="false">
      <c r="A299" s="20"/>
      <c r="B299" s="21"/>
      <c r="C299" s="21"/>
      <c r="D299" s="21"/>
      <c r="E299" s="21"/>
      <c r="F299" s="21"/>
      <c r="G299" s="22"/>
      <c r="H299" s="21"/>
      <c r="I299" s="21"/>
      <c r="J299" s="21"/>
      <c r="K299" s="23"/>
      <c r="L299" s="24"/>
      <c r="M299" s="21"/>
      <c r="N299" s="21"/>
      <c r="O299" s="25"/>
      <c r="P299" s="26"/>
      <c r="Q299" s="27" t="str">
        <f aca="false">IF(A299="","",SUMIF(Expenses!$B$2:$B$3000,A299,Expenses!$E$2:$E$3000))</f>
        <v/>
      </c>
      <c r="R299" s="27" t="str">
        <f aca="false">IF(A299="","",N(P299)+N(Q299))</f>
        <v/>
      </c>
      <c r="S299" s="28"/>
      <c r="T299" s="25"/>
      <c r="U299" s="26"/>
      <c r="V299" s="26"/>
      <c r="W299" s="26"/>
      <c r="X299" s="27" t="str">
        <f aca="false">IF(B299&lt;&gt;"SOLD","",IF(C299="Consignment",N(W299)-R299,N(U299)-R299-N(V299)))</f>
        <v/>
      </c>
      <c r="Y299" s="29" t="str">
        <f aca="false">IF(OR(X299="",N(R299)=0),"",X299/R299)</f>
        <v/>
      </c>
      <c r="Z299" s="30" t="str">
        <f aca="true">IF(O299="","",IF(T299="",TODAY(),T299)-O299)</f>
        <v/>
      </c>
      <c r="AA299" s="31" t="str">
        <f aca="false">IF(T299="","",TEXT(T299,"YYYY-MM"))</f>
        <v/>
      </c>
      <c r="AB299" s="27" t="str">
        <f aca="false">IF(X299="","",X299/2)</f>
        <v/>
      </c>
      <c r="AC299" s="21"/>
    </row>
    <row r="300" customFormat="false" ht="15" hidden="false" customHeight="false" outlineLevel="0" collapsed="false">
      <c r="A300" s="20"/>
      <c r="B300" s="21"/>
      <c r="C300" s="21"/>
      <c r="D300" s="21"/>
      <c r="E300" s="21"/>
      <c r="F300" s="21"/>
      <c r="G300" s="22"/>
      <c r="H300" s="21"/>
      <c r="I300" s="21"/>
      <c r="J300" s="21"/>
      <c r="K300" s="23"/>
      <c r="L300" s="24"/>
      <c r="M300" s="21"/>
      <c r="N300" s="21"/>
      <c r="O300" s="25"/>
      <c r="P300" s="26"/>
      <c r="Q300" s="27" t="str">
        <f aca="false">IF(A300="","",SUMIF(Expenses!$B$2:$B$3000,A300,Expenses!$E$2:$E$3000))</f>
        <v/>
      </c>
      <c r="R300" s="27" t="str">
        <f aca="false">IF(A300="","",N(P300)+N(Q300))</f>
        <v/>
      </c>
      <c r="S300" s="28"/>
      <c r="T300" s="25"/>
      <c r="U300" s="26"/>
      <c r="V300" s="26"/>
      <c r="W300" s="26"/>
      <c r="X300" s="27" t="str">
        <f aca="false">IF(B300&lt;&gt;"SOLD","",IF(C300="Consignment",N(W300)-R300,N(U300)-R300-N(V300)))</f>
        <v/>
      </c>
      <c r="Y300" s="29" t="str">
        <f aca="false">IF(OR(X300="",N(R300)=0),"",X300/R300)</f>
        <v/>
      </c>
      <c r="Z300" s="30" t="str">
        <f aca="true">IF(O300="","",IF(T300="",TODAY(),T300)-O300)</f>
        <v/>
      </c>
      <c r="AA300" s="31" t="str">
        <f aca="false">IF(T300="","",TEXT(T300,"YYYY-MM"))</f>
        <v/>
      </c>
      <c r="AB300" s="27" t="str">
        <f aca="false">IF(X300="","",X300/2)</f>
        <v/>
      </c>
      <c r="AC300" s="21"/>
    </row>
    <row r="301" customFormat="false" ht="15" hidden="false" customHeight="false" outlineLevel="0" collapsed="false">
      <c r="A301" s="20"/>
      <c r="B301" s="21"/>
      <c r="C301" s="21"/>
      <c r="D301" s="21"/>
      <c r="E301" s="21"/>
      <c r="F301" s="21"/>
      <c r="G301" s="22"/>
      <c r="H301" s="21"/>
      <c r="I301" s="21"/>
      <c r="J301" s="21"/>
      <c r="K301" s="23"/>
      <c r="L301" s="24"/>
      <c r="M301" s="21"/>
      <c r="N301" s="21"/>
      <c r="O301" s="25"/>
      <c r="P301" s="26"/>
      <c r="Q301" s="27" t="str">
        <f aca="false">IF(A301="","",SUMIF(Expenses!$B$2:$B$3000,A301,Expenses!$E$2:$E$3000))</f>
        <v/>
      </c>
      <c r="R301" s="27" t="str">
        <f aca="false">IF(A301="","",N(P301)+N(Q301))</f>
        <v/>
      </c>
      <c r="S301" s="28"/>
      <c r="T301" s="25"/>
      <c r="U301" s="26"/>
      <c r="V301" s="26"/>
      <c r="W301" s="26"/>
      <c r="X301" s="27" t="str">
        <f aca="false">IF(B301&lt;&gt;"SOLD","",IF(C301="Consignment",N(W301)-R301,N(U301)-R301-N(V301)))</f>
        <v/>
      </c>
      <c r="Y301" s="29" t="str">
        <f aca="false">IF(OR(X301="",N(R301)=0),"",X301/R301)</f>
        <v/>
      </c>
      <c r="Z301" s="30" t="str">
        <f aca="true">IF(O301="","",IF(T301="",TODAY(),T301)-O301)</f>
        <v/>
      </c>
      <c r="AA301" s="31" t="str">
        <f aca="false">IF(T301="","",TEXT(T301,"YYYY-MM"))</f>
        <v/>
      </c>
      <c r="AB301" s="27" t="str">
        <f aca="false">IF(X301="","",X301/2)</f>
        <v/>
      </c>
      <c r="AC301" s="21"/>
    </row>
    <row r="302" customFormat="false" ht="15" hidden="false" customHeight="false" outlineLevel="0" collapsed="false">
      <c r="A302" s="20"/>
      <c r="B302" s="21"/>
      <c r="C302" s="21"/>
      <c r="D302" s="21"/>
      <c r="E302" s="21"/>
      <c r="F302" s="21"/>
      <c r="G302" s="22"/>
      <c r="H302" s="21"/>
      <c r="I302" s="21"/>
      <c r="J302" s="21"/>
      <c r="K302" s="23"/>
      <c r="L302" s="24"/>
      <c r="M302" s="21"/>
      <c r="N302" s="21"/>
      <c r="O302" s="25"/>
      <c r="P302" s="26"/>
      <c r="Q302" s="27" t="str">
        <f aca="false">IF(A302="","",SUMIF(Expenses!$B$2:$B$3000,A302,Expenses!$E$2:$E$3000))</f>
        <v/>
      </c>
      <c r="R302" s="27" t="str">
        <f aca="false">IF(A302="","",N(P302)+N(Q302))</f>
        <v/>
      </c>
      <c r="S302" s="28"/>
      <c r="T302" s="25"/>
      <c r="U302" s="26"/>
      <c r="V302" s="26"/>
      <c r="W302" s="26"/>
      <c r="X302" s="27" t="str">
        <f aca="false">IF(B302&lt;&gt;"SOLD","",IF(C302="Consignment",N(W302)-R302,N(U302)-R302-N(V302)))</f>
        <v/>
      </c>
      <c r="Y302" s="29" t="str">
        <f aca="false">IF(OR(X302="",N(R302)=0),"",X302/R302)</f>
        <v/>
      </c>
      <c r="Z302" s="30" t="str">
        <f aca="true">IF(O302="","",IF(T302="",TODAY(),T302)-O302)</f>
        <v/>
      </c>
      <c r="AA302" s="31" t="str">
        <f aca="false">IF(T302="","",TEXT(T302,"YYYY-MM"))</f>
        <v/>
      </c>
      <c r="AB302" s="27" t="str">
        <f aca="false">IF(X302="","",X302/2)</f>
        <v/>
      </c>
      <c r="AC302" s="21"/>
    </row>
    <row r="303" customFormat="false" ht="15" hidden="false" customHeight="false" outlineLevel="0" collapsed="false">
      <c r="A303" s="20"/>
      <c r="B303" s="21"/>
      <c r="C303" s="21"/>
      <c r="D303" s="21"/>
      <c r="E303" s="21"/>
      <c r="F303" s="21"/>
      <c r="G303" s="22"/>
      <c r="H303" s="21"/>
      <c r="I303" s="21"/>
      <c r="J303" s="21"/>
      <c r="K303" s="23"/>
      <c r="L303" s="24"/>
      <c r="M303" s="21"/>
      <c r="N303" s="21"/>
      <c r="O303" s="25"/>
      <c r="P303" s="26"/>
      <c r="Q303" s="27" t="str">
        <f aca="false">IF(A303="","",SUMIF(Expenses!$B$2:$B$3000,A303,Expenses!$E$2:$E$3000))</f>
        <v/>
      </c>
      <c r="R303" s="27" t="str">
        <f aca="false">IF(A303="","",N(P303)+N(Q303))</f>
        <v/>
      </c>
      <c r="S303" s="28"/>
      <c r="T303" s="25"/>
      <c r="U303" s="26"/>
      <c r="V303" s="26"/>
      <c r="W303" s="26"/>
      <c r="X303" s="27" t="str">
        <f aca="false">IF(B303&lt;&gt;"SOLD","",IF(C303="Consignment",N(W303)-R303,N(U303)-R303-N(V303)))</f>
        <v/>
      </c>
      <c r="Y303" s="29" t="str">
        <f aca="false">IF(OR(X303="",N(R303)=0),"",X303/R303)</f>
        <v/>
      </c>
      <c r="Z303" s="30" t="str">
        <f aca="true">IF(O303="","",IF(T303="",TODAY(),T303)-O303)</f>
        <v/>
      </c>
      <c r="AA303" s="31" t="str">
        <f aca="false">IF(T303="","",TEXT(T303,"YYYY-MM"))</f>
        <v/>
      </c>
      <c r="AB303" s="27" t="str">
        <f aca="false">IF(X303="","",X303/2)</f>
        <v/>
      </c>
      <c r="AC303" s="21"/>
    </row>
    <row r="304" customFormat="false" ht="15" hidden="false" customHeight="false" outlineLevel="0" collapsed="false">
      <c r="A304" s="20"/>
      <c r="B304" s="21"/>
      <c r="C304" s="21"/>
      <c r="D304" s="21"/>
      <c r="E304" s="21"/>
      <c r="F304" s="21"/>
      <c r="G304" s="22"/>
      <c r="H304" s="21"/>
      <c r="I304" s="21"/>
      <c r="J304" s="21"/>
      <c r="K304" s="23"/>
      <c r="L304" s="24"/>
      <c r="M304" s="21"/>
      <c r="N304" s="21"/>
      <c r="O304" s="25"/>
      <c r="P304" s="26"/>
      <c r="Q304" s="27" t="str">
        <f aca="false">IF(A304="","",SUMIF(Expenses!$B$2:$B$3000,A304,Expenses!$E$2:$E$3000))</f>
        <v/>
      </c>
      <c r="R304" s="27" t="str">
        <f aca="false">IF(A304="","",N(P304)+N(Q304))</f>
        <v/>
      </c>
      <c r="S304" s="28"/>
      <c r="T304" s="25"/>
      <c r="U304" s="26"/>
      <c r="V304" s="26"/>
      <c r="W304" s="26"/>
      <c r="X304" s="27" t="str">
        <f aca="false">IF(B304&lt;&gt;"SOLD","",IF(C304="Consignment",N(W304)-R304,N(U304)-R304-N(V304)))</f>
        <v/>
      </c>
      <c r="Y304" s="29" t="str">
        <f aca="false">IF(OR(X304="",N(R304)=0),"",X304/R304)</f>
        <v/>
      </c>
      <c r="Z304" s="30" t="str">
        <f aca="true">IF(O304="","",IF(T304="",TODAY(),T304)-O304)</f>
        <v/>
      </c>
      <c r="AA304" s="31" t="str">
        <f aca="false">IF(T304="","",TEXT(T304,"YYYY-MM"))</f>
        <v/>
      </c>
      <c r="AB304" s="27" t="str">
        <f aca="false">IF(X304="","",X304/2)</f>
        <v/>
      </c>
      <c r="AC304" s="21"/>
    </row>
    <row r="305" customFormat="false" ht="15" hidden="false" customHeight="false" outlineLevel="0" collapsed="false">
      <c r="A305" s="20"/>
      <c r="B305" s="21"/>
      <c r="C305" s="21"/>
      <c r="D305" s="21"/>
      <c r="E305" s="21"/>
      <c r="F305" s="21"/>
      <c r="G305" s="22"/>
      <c r="H305" s="21"/>
      <c r="I305" s="21"/>
      <c r="J305" s="21"/>
      <c r="K305" s="23"/>
      <c r="L305" s="24"/>
      <c r="M305" s="21"/>
      <c r="N305" s="21"/>
      <c r="O305" s="25"/>
      <c r="P305" s="26"/>
      <c r="Q305" s="27" t="str">
        <f aca="false">IF(A305="","",SUMIF(Expenses!$B$2:$B$3000,A305,Expenses!$E$2:$E$3000))</f>
        <v/>
      </c>
      <c r="R305" s="27" t="str">
        <f aca="false">IF(A305="","",N(P305)+N(Q305))</f>
        <v/>
      </c>
      <c r="S305" s="28"/>
      <c r="T305" s="25"/>
      <c r="U305" s="26"/>
      <c r="V305" s="26"/>
      <c r="W305" s="26"/>
      <c r="X305" s="27" t="str">
        <f aca="false">IF(B305&lt;&gt;"SOLD","",IF(C305="Consignment",N(W305)-R305,N(U305)-R305-N(V305)))</f>
        <v/>
      </c>
      <c r="Y305" s="29" t="str">
        <f aca="false">IF(OR(X305="",N(R305)=0),"",X305/R305)</f>
        <v/>
      </c>
      <c r="Z305" s="30" t="str">
        <f aca="true">IF(O305="","",IF(T305="",TODAY(),T305)-O305)</f>
        <v/>
      </c>
      <c r="AA305" s="31" t="str">
        <f aca="false">IF(T305="","",TEXT(T305,"YYYY-MM"))</f>
        <v/>
      </c>
      <c r="AB305" s="27" t="str">
        <f aca="false">IF(X305="","",X305/2)</f>
        <v/>
      </c>
      <c r="AC305" s="21"/>
    </row>
    <row r="306" customFormat="false" ht="15" hidden="false" customHeight="false" outlineLevel="0" collapsed="false">
      <c r="A306" s="20"/>
      <c r="B306" s="21"/>
      <c r="C306" s="21"/>
      <c r="D306" s="21"/>
      <c r="E306" s="21"/>
      <c r="F306" s="21"/>
      <c r="G306" s="22"/>
      <c r="H306" s="21"/>
      <c r="I306" s="21"/>
      <c r="J306" s="21"/>
      <c r="K306" s="23"/>
      <c r="L306" s="24"/>
      <c r="M306" s="21"/>
      <c r="N306" s="21"/>
      <c r="O306" s="25"/>
      <c r="P306" s="26"/>
      <c r="Q306" s="27" t="str">
        <f aca="false">IF(A306="","",SUMIF(Expenses!$B$2:$B$3000,A306,Expenses!$E$2:$E$3000))</f>
        <v/>
      </c>
      <c r="R306" s="27" t="str">
        <f aca="false">IF(A306="","",N(P306)+N(Q306))</f>
        <v/>
      </c>
      <c r="S306" s="28"/>
      <c r="T306" s="25"/>
      <c r="U306" s="26"/>
      <c r="V306" s="26"/>
      <c r="W306" s="26"/>
      <c r="X306" s="27" t="str">
        <f aca="false">IF(B306&lt;&gt;"SOLD","",IF(C306="Consignment",N(W306)-R306,N(U306)-R306-N(V306)))</f>
        <v/>
      </c>
      <c r="Y306" s="29" t="str">
        <f aca="false">IF(OR(X306="",N(R306)=0),"",X306/R306)</f>
        <v/>
      </c>
      <c r="Z306" s="30" t="str">
        <f aca="true">IF(O306="","",IF(T306="",TODAY(),T306)-O306)</f>
        <v/>
      </c>
      <c r="AA306" s="31" t="str">
        <f aca="false">IF(T306="","",TEXT(T306,"YYYY-MM"))</f>
        <v/>
      </c>
      <c r="AB306" s="27" t="str">
        <f aca="false">IF(X306="","",X306/2)</f>
        <v/>
      </c>
      <c r="AC306" s="21"/>
    </row>
    <row r="307" customFormat="false" ht="15" hidden="false" customHeight="false" outlineLevel="0" collapsed="false">
      <c r="A307" s="20"/>
      <c r="B307" s="21"/>
      <c r="C307" s="21"/>
      <c r="D307" s="21"/>
      <c r="E307" s="21"/>
      <c r="F307" s="21"/>
      <c r="G307" s="22"/>
      <c r="H307" s="21"/>
      <c r="I307" s="21"/>
      <c r="J307" s="21"/>
      <c r="K307" s="23"/>
      <c r="L307" s="24"/>
      <c r="M307" s="21"/>
      <c r="N307" s="21"/>
      <c r="O307" s="25"/>
      <c r="P307" s="26"/>
      <c r="Q307" s="27" t="str">
        <f aca="false">IF(A307="","",SUMIF(Expenses!$B$2:$B$3000,A307,Expenses!$E$2:$E$3000))</f>
        <v/>
      </c>
      <c r="R307" s="27" t="str">
        <f aca="false">IF(A307="","",N(P307)+N(Q307))</f>
        <v/>
      </c>
      <c r="S307" s="28"/>
      <c r="T307" s="25"/>
      <c r="U307" s="26"/>
      <c r="V307" s="26"/>
      <c r="W307" s="26"/>
      <c r="X307" s="27" t="str">
        <f aca="false">IF(B307&lt;&gt;"SOLD","",IF(C307="Consignment",N(W307)-R307,N(U307)-R307-N(V307)))</f>
        <v/>
      </c>
      <c r="Y307" s="29" t="str">
        <f aca="false">IF(OR(X307="",N(R307)=0),"",X307/R307)</f>
        <v/>
      </c>
      <c r="Z307" s="30" t="str">
        <f aca="true">IF(O307="","",IF(T307="",TODAY(),T307)-O307)</f>
        <v/>
      </c>
      <c r="AA307" s="31" t="str">
        <f aca="false">IF(T307="","",TEXT(T307,"YYYY-MM"))</f>
        <v/>
      </c>
      <c r="AB307" s="27" t="str">
        <f aca="false">IF(X307="","",X307/2)</f>
        <v/>
      </c>
      <c r="AC307" s="21"/>
    </row>
    <row r="308" customFormat="false" ht="15" hidden="false" customHeight="false" outlineLevel="0" collapsed="false">
      <c r="A308" s="20"/>
      <c r="B308" s="21"/>
      <c r="C308" s="21"/>
      <c r="D308" s="21"/>
      <c r="E308" s="21"/>
      <c r="F308" s="21"/>
      <c r="G308" s="22"/>
      <c r="H308" s="21"/>
      <c r="I308" s="21"/>
      <c r="J308" s="21"/>
      <c r="K308" s="23"/>
      <c r="L308" s="24"/>
      <c r="M308" s="21"/>
      <c r="N308" s="21"/>
      <c r="O308" s="25"/>
      <c r="P308" s="26"/>
      <c r="Q308" s="27" t="str">
        <f aca="false">IF(A308="","",SUMIF(Expenses!$B$2:$B$3000,A308,Expenses!$E$2:$E$3000))</f>
        <v/>
      </c>
      <c r="R308" s="27" t="str">
        <f aca="false">IF(A308="","",N(P308)+N(Q308))</f>
        <v/>
      </c>
      <c r="S308" s="28"/>
      <c r="T308" s="25"/>
      <c r="U308" s="26"/>
      <c r="V308" s="26"/>
      <c r="W308" s="26"/>
      <c r="X308" s="27" t="str">
        <f aca="false">IF(B308&lt;&gt;"SOLD","",IF(C308="Consignment",N(W308)-R308,N(U308)-R308-N(V308)))</f>
        <v/>
      </c>
      <c r="Y308" s="29" t="str">
        <f aca="false">IF(OR(X308="",N(R308)=0),"",X308/R308)</f>
        <v/>
      </c>
      <c r="Z308" s="30" t="str">
        <f aca="true">IF(O308="","",IF(T308="",TODAY(),T308)-O308)</f>
        <v/>
      </c>
      <c r="AA308" s="31" t="str">
        <f aca="false">IF(T308="","",TEXT(T308,"YYYY-MM"))</f>
        <v/>
      </c>
      <c r="AB308" s="27" t="str">
        <f aca="false">IF(X308="","",X308/2)</f>
        <v/>
      </c>
      <c r="AC308" s="21"/>
    </row>
    <row r="309" customFormat="false" ht="15" hidden="false" customHeight="false" outlineLevel="0" collapsed="false">
      <c r="A309" s="20"/>
      <c r="B309" s="21"/>
      <c r="C309" s="21"/>
      <c r="D309" s="21"/>
      <c r="E309" s="21"/>
      <c r="F309" s="21"/>
      <c r="G309" s="22"/>
      <c r="H309" s="21"/>
      <c r="I309" s="21"/>
      <c r="J309" s="21"/>
      <c r="K309" s="23"/>
      <c r="L309" s="24"/>
      <c r="M309" s="21"/>
      <c r="N309" s="21"/>
      <c r="O309" s="25"/>
      <c r="P309" s="26"/>
      <c r="Q309" s="27" t="str">
        <f aca="false">IF(A309="","",SUMIF(Expenses!$B$2:$B$3000,A309,Expenses!$E$2:$E$3000))</f>
        <v/>
      </c>
      <c r="R309" s="27" t="str">
        <f aca="false">IF(A309="","",N(P309)+N(Q309))</f>
        <v/>
      </c>
      <c r="S309" s="28"/>
      <c r="T309" s="25"/>
      <c r="U309" s="26"/>
      <c r="V309" s="26"/>
      <c r="W309" s="26"/>
      <c r="X309" s="27" t="str">
        <f aca="false">IF(B309&lt;&gt;"SOLD","",IF(C309="Consignment",N(W309)-R309,N(U309)-R309-N(V309)))</f>
        <v/>
      </c>
      <c r="Y309" s="29" t="str">
        <f aca="false">IF(OR(X309="",N(R309)=0),"",X309/R309)</f>
        <v/>
      </c>
      <c r="Z309" s="30" t="str">
        <f aca="true">IF(O309="","",IF(T309="",TODAY(),T309)-O309)</f>
        <v/>
      </c>
      <c r="AA309" s="31" t="str">
        <f aca="false">IF(T309="","",TEXT(T309,"YYYY-MM"))</f>
        <v/>
      </c>
      <c r="AB309" s="27" t="str">
        <f aca="false">IF(X309="","",X309/2)</f>
        <v/>
      </c>
      <c r="AC309" s="21"/>
    </row>
    <row r="310" customFormat="false" ht="15" hidden="false" customHeight="false" outlineLevel="0" collapsed="false">
      <c r="A310" s="20"/>
      <c r="B310" s="21"/>
      <c r="C310" s="21"/>
      <c r="D310" s="21"/>
      <c r="E310" s="21"/>
      <c r="F310" s="21"/>
      <c r="G310" s="22"/>
      <c r="H310" s="21"/>
      <c r="I310" s="21"/>
      <c r="J310" s="21"/>
      <c r="K310" s="23"/>
      <c r="L310" s="24"/>
      <c r="M310" s="21"/>
      <c r="N310" s="21"/>
      <c r="O310" s="25"/>
      <c r="P310" s="26"/>
      <c r="Q310" s="27" t="str">
        <f aca="false">IF(A310="","",SUMIF(Expenses!$B$2:$B$3000,A310,Expenses!$E$2:$E$3000))</f>
        <v/>
      </c>
      <c r="R310" s="27" t="str">
        <f aca="false">IF(A310="","",N(P310)+N(Q310))</f>
        <v/>
      </c>
      <c r="S310" s="28"/>
      <c r="T310" s="25"/>
      <c r="U310" s="26"/>
      <c r="V310" s="26"/>
      <c r="W310" s="26"/>
      <c r="X310" s="27" t="str">
        <f aca="false">IF(B310&lt;&gt;"SOLD","",IF(C310="Consignment",N(W310)-R310,N(U310)-R310-N(V310)))</f>
        <v/>
      </c>
      <c r="Y310" s="29" t="str">
        <f aca="false">IF(OR(X310="",N(R310)=0),"",X310/R310)</f>
        <v/>
      </c>
      <c r="Z310" s="30" t="str">
        <f aca="true">IF(O310="","",IF(T310="",TODAY(),T310)-O310)</f>
        <v/>
      </c>
      <c r="AA310" s="31" t="str">
        <f aca="false">IF(T310="","",TEXT(T310,"YYYY-MM"))</f>
        <v/>
      </c>
      <c r="AB310" s="27" t="str">
        <f aca="false">IF(X310="","",X310/2)</f>
        <v/>
      </c>
      <c r="AC310" s="21"/>
    </row>
    <row r="311" customFormat="false" ht="15" hidden="false" customHeight="false" outlineLevel="0" collapsed="false">
      <c r="A311" s="20"/>
      <c r="B311" s="21"/>
      <c r="C311" s="21"/>
      <c r="D311" s="21"/>
      <c r="E311" s="21"/>
      <c r="F311" s="21"/>
      <c r="G311" s="22"/>
      <c r="H311" s="21"/>
      <c r="I311" s="21"/>
      <c r="J311" s="21"/>
      <c r="K311" s="23"/>
      <c r="L311" s="24"/>
      <c r="M311" s="21"/>
      <c r="N311" s="21"/>
      <c r="O311" s="25"/>
      <c r="P311" s="26"/>
      <c r="Q311" s="27" t="str">
        <f aca="false">IF(A311="","",SUMIF(Expenses!$B$2:$B$3000,A311,Expenses!$E$2:$E$3000))</f>
        <v/>
      </c>
      <c r="R311" s="27" t="str">
        <f aca="false">IF(A311="","",N(P311)+N(Q311))</f>
        <v/>
      </c>
      <c r="S311" s="28"/>
      <c r="T311" s="25"/>
      <c r="U311" s="26"/>
      <c r="V311" s="26"/>
      <c r="W311" s="26"/>
      <c r="X311" s="27" t="str">
        <f aca="false">IF(B311&lt;&gt;"SOLD","",IF(C311="Consignment",N(W311)-R311,N(U311)-R311-N(V311)))</f>
        <v/>
      </c>
      <c r="Y311" s="29" t="str">
        <f aca="false">IF(OR(X311="",N(R311)=0),"",X311/R311)</f>
        <v/>
      </c>
      <c r="Z311" s="30" t="str">
        <f aca="true">IF(O311="","",IF(T311="",TODAY(),T311)-O311)</f>
        <v/>
      </c>
      <c r="AA311" s="31" t="str">
        <f aca="false">IF(T311="","",TEXT(T311,"YYYY-MM"))</f>
        <v/>
      </c>
      <c r="AB311" s="27" t="str">
        <f aca="false">IF(X311="","",X311/2)</f>
        <v/>
      </c>
      <c r="AC311" s="21"/>
    </row>
    <row r="312" customFormat="false" ht="15" hidden="false" customHeight="false" outlineLevel="0" collapsed="false">
      <c r="A312" s="20"/>
      <c r="B312" s="21"/>
      <c r="C312" s="21"/>
      <c r="D312" s="21"/>
      <c r="E312" s="21"/>
      <c r="F312" s="21"/>
      <c r="G312" s="22"/>
      <c r="H312" s="21"/>
      <c r="I312" s="21"/>
      <c r="J312" s="21"/>
      <c r="K312" s="23"/>
      <c r="L312" s="24"/>
      <c r="M312" s="21"/>
      <c r="N312" s="21"/>
      <c r="O312" s="25"/>
      <c r="P312" s="26"/>
      <c r="Q312" s="27" t="str">
        <f aca="false">IF(A312="","",SUMIF(Expenses!$B$2:$B$3000,A312,Expenses!$E$2:$E$3000))</f>
        <v/>
      </c>
      <c r="R312" s="27" t="str">
        <f aca="false">IF(A312="","",N(P312)+N(Q312))</f>
        <v/>
      </c>
      <c r="S312" s="28"/>
      <c r="T312" s="25"/>
      <c r="U312" s="26"/>
      <c r="V312" s="26"/>
      <c r="W312" s="26"/>
      <c r="X312" s="27" t="str">
        <f aca="false">IF(B312&lt;&gt;"SOLD","",IF(C312="Consignment",N(W312)-R312,N(U312)-R312-N(V312)))</f>
        <v/>
      </c>
      <c r="Y312" s="29" t="str">
        <f aca="false">IF(OR(X312="",N(R312)=0),"",X312/R312)</f>
        <v/>
      </c>
      <c r="Z312" s="30" t="str">
        <f aca="true">IF(O312="","",IF(T312="",TODAY(),T312)-O312)</f>
        <v/>
      </c>
      <c r="AA312" s="31" t="str">
        <f aca="false">IF(T312="","",TEXT(T312,"YYYY-MM"))</f>
        <v/>
      </c>
      <c r="AB312" s="27" t="str">
        <f aca="false">IF(X312="","",X312/2)</f>
        <v/>
      </c>
      <c r="AC312" s="21"/>
    </row>
    <row r="313" customFormat="false" ht="15" hidden="false" customHeight="false" outlineLevel="0" collapsed="false">
      <c r="A313" s="20"/>
      <c r="B313" s="21"/>
      <c r="C313" s="21"/>
      <c r="D313" s="21"/>
      <c r="E313" s="21"/>
      <c r="F313" s="21"/>
      <c r="G313" s="22"/>
      <c r="H313" s="21"/>
      <c r="I313" s="21"/>
      <c r="J313" s="21"/>
      <c r="K313" s="23"/>
      <c r="L313" s="24"/>
      <c r="M313" s="21"/>
      <c r="N313" s="21"/>
      <c r="O313" s="25"/>
      <c r="P313" s="26"/>
      <c r="Q313" s="27" t="str">
        <f aca="false">IF(A313="","",SUMIF(Expenses!$B$2:$B$3000,A313,Expenses!$E$2:$E$3000))</f>
        <v/>
      </c>
      <c r="R313" s="27" t="str">
        <f aca="false">IF(A313="","",N(P313)+N(Q313))</f>
        <v/>
      </c>
      <c r="S313" s="28"/>
      <c r="T313" s="25"/>
      <c r="U313" s="26"/>
      <c r="V313" s="26"/>
      <c r="W313" s="26"/>
      <c r="X313" s="27" t="str">
        <f aca="false">IF(B313&lt;&gt;"SOLD","",IF(C313="Consignment",N(W313)-R313,N(U313)-R313-N(V313)))</f>
        <v/>
      </c>
      <c r="Y313" s="29" t="str">
        <f aca="false">IF(OR(X313="",N(R313)=0),"",X313/R313)</f>
        <v/>
      </c>
      <c r="Z313" s="30" t="str">
        <f aca="true">IF(O313="","",IF(T313="",TODAY(),T313)-O313)</f>
        <v/>
      </c>
      <c r="AA313" s="31" t="str">
        <f aca="false">IF(T313="","",TEXT(T313,"YYYY-MM"))</f>
        <v/>
      </c>
      <c r="AB313" s="27" t="str">
        <f aca="false">IF(X313="","",X313/2)</f>
        <v/>
      </c>
      <c r="AC313" s="21"/>
    </row>
    <row r="314" customFormat="false" ht="15" hidden="false" customHeight="false" outlineLevel="0" collapsed="false">
      <c r="A314" s="20"/>
      <c r="B314" s="21"/>
      <c r="C314" s="21"/>
      <c r="D314" s="21"/>
      <c r="E314" s="21"/>
      <c r="F314" s="21"/>
      <c r="G314" s="22"/>
      <c r="H314" s="21"/>
      <c r="I314" s="21"/>
      <c r="J314" s="21"/>
      <c r="K314" s="23"/>
      <c r="L314" s="24"/>
      <c r="M314" s="21"/>
      <c r="N314" s="21"/>
      <c r="O314" s="25"/>
      <c r="P314" s="26"/>
      <c r="Q314" s="27" t="str">
        <f aca="false">IF(A314="","",SUMIF(Expenses!$B$2:$B$3000,A314,Expenses!$E$2:$E$3000))</f>
        <v/>
      </c>
      <c r="R314" s="27" t="str">
        <f aca="false">IF(A314="","",N(P314)+N(Q314))</f>
        <v/>
      </c>
      <c r="S314" s="28"/>
      <c r="T314" s="25"/>
      <c r="U314" s="26"/>
      <c r="V314" s="26"/>
      <c r="W314" s="26"/>
      <c r="X314" s="27" t="str">
        <f aca="false">IF(B314&lt;&gt;"SOLD","",IF(C314="Consignment",N(W314)-R314,N(U314)-R314-N(V314)))</f>
        <v/>
      </c>
      <c r="Y314" s="29" t="str">
        <f aca="false">IF(OR(X314="",N(R314)=0),"",X314/R314)</f>
        <v/>
      </c>
      <c r="Z314" s="30" t="str">
        <f aca="true">IF(O314="","",IF(T314="",TODAY(),T314)-O314)</f>
        <v/>
      </c>
      <c r="AA314" s="31" t="str">
        <f aca="false">IF(T314="","",TEXT(T314,"YYYY-MM"))</f>
        <v/>
      </c>
      <c r="AB314" s="27" t="str">
        <f aca="false">IF(X314="","",X314/2)</f>
        <v/>
      </c>
      <c r="AC314" s="21"/>
    </row>
    <row r="315" customFormat="false" ht="15" hidden="false" customHeight="false" outlineLevel="0" collapsed="false">
      <c r="A315" s="20"/>
      <c r="B315" s="21"/>
      <c r="C315" s="21"/>
      <c r="D315" s="21"/>
      <c r="E315" s="21"/>
      <c r="F315" s="21"/>
      <c r="G315" s="22"/>
      <c r="H315" s="21"/>
      <c r="I315" s="21"/>
      <c r="J315" s="21"/>
      <c r="K315" s="23"/>
      <c r="L315" s="24"/>
      <c r="M315" s="21"/>
      <c r="N315" s="21"/>
      <c r="O315" s="25"/>
      <c r="P315" s="26"/>
      <c r="Q315" s="27" t="str">
        <f aca="false">IF(A315="","",SUMIF(Expenses!$B$2:$B$3000,A315,Expenses!$E$2:$E$3000))</f>
        <v/>
      </c>
      <c r="R315" s="27" t="str">
        <f aca="false">IF(A315="","",N(P315)+N(Q315))</f>
        <v/>
      </c>
      <c r="S315" s="28"/>
      <c r="T315" s="25"/>
      <c r="U315" s="26"/>
      <c r="V315" s="26"/>
      <c r="W315" s="26"/>
      <c r="X315" s="27" t="str">
        <f aca="false">IF(B315&lt;&gt;"SOLD","",IF(C315="Consignment",N(W315)-R315,N(U315)-R315-N(V315)))</f>
        <v/>
      </c>
      <c r="Y315" s="29" t="str">
        <f aca="false">IF(OR(X315="",N(R315)=0),"",X315/R315)</f>
        <v/>
      </c>
      <c r="Z315" s="30" t="str">
        <f aca="true">IF(O315="","",IF(T315="",TODAY(),T315)-O315)</f>
        <v/>
      </c>
      <c r="AA315" s="31" t="str">
        <f aca="false">IF(T315="","",TEXT(T315,"YYYY-MM"))</f>
        <v/>
      </c>
      <c r="AB315" s="27" t="str">
        <f aca="false">IF(X315="","",X315/2)</f>
        <v/>
      </c>
      <c r="AC315" s="21"/>
    </row>
    <row r="316" customFormat="false" ht="15" hidden="false" customHeight="false" outlineLevel="0" collapsed="false">
      <c r="A316" s="20"/>
      <c r="B316" s="21"/>
      <c r="C316" s="21"/>
      <c r="D316" s="21"/>
      <c r="E316" s="21"/>
      <c r="F316" s="21"/>
      <c r="G316" s="22"/>
      <c r="H316" s="21"/>
      <c r="I316" s="21"/>
      <c r="J316" s="21"/>
      <c r="K316" s="23"/>
      <c r="L316" s="24"/>
      <c r="M316" s="21"/>
      <c r="N316" s="21"/>
      <c r="O316" s="25"/>
      <c r="P316" s="26"/>
      <c r="Q316" s="27" t="str">
        <f aca="false">IF(A316="","",SUMIF(Expenses!$B$2:$B$3000,A316,Expenses!$E$2:$E$3000))</f>
        <v/>
      </c>
      <c r="R316" s="27" t="str">
        <f aca="false">IF(A316="","",N(P316)+N(Q316))</f>
        <v/>
      </c>
      <c r="S316" s="28"/>
      <c r="T316" s="25"/>
      <c r="U316" s="26"/>
      <c r="V316" s="26"/>
      <c r="W316" s="26"/>
      <c r="X316" s="27" t="str">
        <f aca="false">IF(B316&lt;&gt;"SOLD","",IF(C316="Consignment",N(W316)-R316,N(U316)-R316-N(V316)))</f>
        <v/>
      </c>
      <c r="Y316" s="29" t="str">
        <f aca="false">IF(OR(X316="",N(R316)=0),"",X316/R316)</f>
        <v/>
      </c>
      <c r="Z316" s="30" t="str">
        <f aca="true">IF(O316="","",IF(T316="",TODAY(),T316)-O316)</f>
        <v/>
      </c>
      <c r="AA316" s="31" t="str">
        <f aca="false">IF(T316="","",TEXT(T316,"YYYY-MM"))</f>
        <v/>
      </c>
      <c r="AB316" s="27" t="str">
        <f aca="false">IF(X316="","",X316/2)</f>
        <v/>
      </c>
      <c r="AC316" s="21"/>
    </row>
    <row r="317" customFormat="false" ht="15" hidden="false" customHeight="false" outlineLevel="0" collapsed="false">
      <c r="A317" s="20"/>
      <c r="B317" s="21"/>
      <c r="C317" s="21"/>
      <c r="D317" s="21"/>
      <c r="E317" s="21"/>
      <c r="F317" s="21"/>
      <c r="G317" s="22"/>
      <c r="H317" s="21"/>
      <c r="I317" s="21"/>
      <c r="J317" s="21"/>
      <c r="K317" s="23"/>
      <c r="L317" s="24"/>
      <c r="M317" s="21"/>
      <c r="N317" s="21"/>
      <c r="O317" s="25"/>
      <c r="P317" s="26"/>
      <c r="Q317" s="27" t="str">
        <f aca="false">IF(A317="","",SUMIF(Expenses!$B$2:$B$3000,A317,Expenses!$E$2:$E$3000))</f>
        <v/>
      </c>
      <c r="R317" s="27" t="str">
        <f aca="false">IF(A317="","",N(P317)+N(Q317))</f>
        <v/>
      </c>
      <c r="S317" s="28"/>
      <c r="T317" s="25"/>
      <c r="U317" s="26"/>
      <c r="V317" s="26"/>
      <c r="W317" s="26"/>
      <c r="X317" s="27" t="str">
        <f aca="false">IF(B317&lt;&gt;"SOLD","",IF(C317="Consignment",N(W317)-R317,N(U317)-R317-N(V317)))</f>
        <v/>
      </c>
      <c r="Y317" s="29" t="str">
        <f aca="false">IF(OR(X317="",N(R317)=0),"",X317/R317)</f>
        <v/>
      </c>
      <c r="Z317" s="30" t="str">
        <f aca="true">IF(O317="","",IF(T317="",TODAY(),T317)-O317)</f>
        <v/>
      </c>
      <c r="AA317" s="31" t="str">
        <f aca="false">IF(T317="","",TEXT(T317,"YYYY-MM"))</f>
        <v/>
      </c>
      <c r="AB317" s="27" t="str">
        <f aca="false">IF(X317="","",X317/2)</f>
        <v/>
      </c>
      <c r="AC317" s="21"/>
    </row>
    <row r="318" customFormat="false" ht="15" hidden="false" customHeight="false" outlineLevel="0" collapsed="false">
      <c r="A318" s="20"/>
      <c r="B318" s="21"/>
      <c r="C318" s="21"/>
      <c r="D318" s="21"/>
      <c r="E318" s="21"/>
      <c r="F318" s="21"/>
      <c r="G318" s="22"/>
      <c r="H318" s="21"/>
      <c r="I318" s="21"/>
      <c r="J318" s="21"/>
      <c r="K318" s="23"/>
      <c r="L318" s="24"/>
      <c r="M318" s="21"/>
      <c r="N318" s="21"/>
      <c r="O318" s="25"/>
      <c r="P318" s="26"/>
      <c r="Q318" s="27" t="str">
        <f aca="false">IF(A318="","",SUMIF(Expenses!$B$2:$B$3000,A318,Expenses!$E$2:$E$3000))</f>
        <v/>
      </c>
      <c r="R318" s="27" t="str">
        <f aca="false">IF(A318="","",N(P318)+N(Q318))</f>
        <v/>
      </c>
      <c r="S318" s="28"/>
      <c r="T318" s="25"/>
      <c r="U318" s="26"/>
      <c r="V318" s="26"/>
      <c r="W318" s="26"/>
      <c r="X318" s="27" t="str">
        <f aca="false">IF(B318&lt;&gt;"SOLD","",IF(C318="Consignment",N(W318)-R318,N(U318)-R318-N(V318)))</f>
        <v/>
      </c>
      <c r="Y318" s="29" t="str">
        <f aca="false">IF(OR(X318="",N(R318)=0),"",X318/R318)</f>
        <v/>
      </c>
      <c r="Z318" s="30" t="str">
        <f aca="true">IF(O318="","",IF(T318="",TODAY(),T318)-O318)</f>
        <v/>
      </c>
      <c r="AA318" s="31" t="str">
        <f aca="false">IF(T318="","",TEXT(T318,"YYYY-MM"))</f>
        <v/>
      </c>
      <c r="AB318" s="27" t="str">
        <f aca="false">IF(X318="","",X318/2)</f>
        <v/>
      </c>
      <c r="AC318" s="21"/>
    </row>
    <row r="319" customFormat="false" ht="15" hidden="false" customHeight="false" outlineLevel="0" collapsed="false">
      <c r="A319" s="20"/>
      <c r="B319" s="21"/>
      <c r="C319" s="21"/>
      <c r="D319" s="21"/>
      <c r="E319" s="21"/>
      <c r="F319" s="21"/>
      <c r="G319" s="22"/>
      <c r="H319" s="21"/>
      <c r="I319" s="21"/>
      <c r="J319" s="21"/>
      <c r="K319" s="23"/>
      <c r="L319" s="24"/>
      <c r="M319" s="21"/>
      <c r="N319" s="21"/>
      <c r="O319" s="25"/>
      <c r="P319" s="26"/>
      <c r="Q319" s="27" t="str">
        <f aca="false">IF(A319="","",SUMIF(Expenses!$B$2:$B$3000,A319,Expenses!$E$2:$E$3000))</f>
        <v/>
      </c>
      <c r="R319" s="27" t="str">
        <f aca="false">IF(A319="","",N(P319)+N(Q319))</f>
        <v/>
      </c>
      <c r="S319" s="28"/>
      <c r="T319" s="25"/>
      <c r="U319" s="26"/>
      <c r="V319" s="26"/>
      <c r="W319" s="26"/>
      <c r="X319" s="27" t="str">
        <f aca="false">IF(B319&lt;&gt;"SOLD","",IF(C319="Consignment",N(W319)-R319,N(U319)-R319-N(V319)))</f>
        <v/>
      </c>
      <c r="Y319" s="29" t="str">
        <f aca="false">IF(OR(X319="",N(R319)=0),"",X319/R319)</f>
        <v/>
      </c>
      <c r="Z319" s="30" t="str">
        <f aca="true">IF(O319="","",IF(T319="",TODAY(),T319)-O319)</f>
        <v/>
      </c>
      <c r="AA319" s="31" t="str">
        <f aca="false">IF(T319="","",TEXT(T319,"YYYY-MM"))</f>
        <v/>
      </c>
      <c r="AB319" s="27" t="str">
        <f aca="false">IF(X319="","",X319/2)</f>
        <v/>
      </c>
      <c r="AC319" s="21"/>
    </row>
    <row r="320" customFormat="false" ht="15" hidden="false" customHeight="false" outlineLevel="0" collapsed="false">
      <c r="A320" s="20"/>
      <c r="B320" s="21"/>
      <c r="C320" s="21"/>
      <c r="D320" s="21"/>
      <c r="E320" s="21"/>
      <c r="F320" s="21"/>
      <c r="G320" s="22"/>
      <c r="H320" s="21"/>
      <c r="I320" s="21"/>
      <c r="J320" s="21"/>
      <c r="K320" s="23"/>
      <c r="L320" s="24"/>
      <c r="M320" s="21"/>
      <c r="N320" s="21"/>
      <c r="O320" s="25"/>
      <c r="P320" s="26"/>
      <c r="Q320" s="27" t="str">
        <f aca="false">IF(A320="","",SUMIF(Expenses!$B$2:$B$3000,A320,Expenses!$E$2:$E$3000))</f>
        <v/>
      </c>
      <c r="R320" s="27" t="str">
        <f aca="false">IF(A320="","",N(P320)+N(Q320))</f>
        <v/>
      </c>
      <c r="S320" s="28"/>
      <c r="T320" s="25"/>
      <c r="U320" s="26"/>
      <c r="V320" s="26"/>
      <c r="W320" s="26"/>
      <c r="X320" s="27" t="str">
        <f aca="false">IF(B320&lt;&gt;"SOLD","",IF(C320="Consignment",N(W320)-R320,N(U320)-R320-N(V320)))</f>
        <v/>
      </c>
      <c r="Y320" s="29" t="str">
        <f aca="false">IF(OR(X320="",N(R320)=0),"",X320/R320)</f>
        <v/>
      </c>
      <c r="Z320" s="30" t="str">
        <f aca="true">IF(O320="","",IF(T320="",TODAY(),T320)-O320)</f>
        <v/>
      </c>
      <c r="AA320" s="31" t="str">
        <f aca="false">IF(T320="","",TEXT(T320,"YYYY-MM"))</f>
        <v/>
      </c>
      <c r="AB320" s="27" t="str">
        <f aca="false">IF(X320="","",X320/2)</f>
        <v/>
      </c>
      <c r="AC320" s="21"/>
    </row>
    <row r="321" customFormat="false" ht="15" hidden="false" customHeight="false" outlineLevel="0" collapsed="false">
      <c r="A321" s="20"/>
      <c r="B321" s="21"/>
      <c r="C321" s="21"/>
      <c r="D321" s="21"/>
      <c r="E321" s="21"/>
      <c r="F321" s="21"/>
      <c r="G321" s="22"/>
      <c r="H321" s="21"/>
      <c r="I321" s="21"/>
      <c r="J321" s="21"/>
      <c r="K321" s="23"/>
      <c r="L321" s="24"/>
      <c r="M321" s="21"/>
      <c r="N321" s="21"/>
      <c r="O321" s="25"/>
      <c r="P321" s="26"/>
      <c r="Q321" s="27" t="str">
        <f aca="false">IF(A321="","",SUMIF(Expenses!$B$2:$B$3000,A321,Expenses!$E$2:$E$3000))</f>
        <v/>
      </c>
      <c r="R321" s="27" t="str">
        <f aca="false">IF(A321="","",N(P321)+N(Q321))</f>
        <v/>
      </c>
      <c r="S321" s="28"/>
      <c r="T321" s="25"/>
      <c r="U321" s="26"/>
      <c r="V321" s="26"/>
      <c r="W321" s="26"/>
      <c r="X321" s="27" t="str">
        <f aca="false">IF(B321&lt;&gt;"SOLD","",IF(C321="Consignment",N(W321)-R321,N(U321)-R321-N(V321)))</f>
        <v/>
      </c>
      <c r="Y321" s="29" t="str">
        <f aca="false">IF(OR(X321="",N(R321)=0),"",X321/R321)</f>
        <v/>
      </c>
      <c r="Z321" s="30" t="str">
        <f aca="true">IF(O321="","",IF(T321="",TODAY(),T321)-O321)</f>
        <v/>
      </c>
      <c r="AA321" s="31" t="str">
        <f aca="false">IF(T321="","",TEXT(T321,"YYYY-MM"))</f>
        <v/>
      </c>
      <c r="AB321" s="27" t="str">
        <f aca="false">IF(X321="","",X321/2)</f>
        <v/>
      </c>
      <c r="AC321" s="21"/>
    </row>
    <row r="322" customFormat="false" ht="15" hidden="false" customHeight="false" outlineLevel="0" collapsed="false">
      <c r="A322" s="20"/>
      <c r="B322" s="21"/>
      <c r="C322" s="21"/>
      <c r="D322" s="21"/>
      <c r="E322" s="21"/>
      <c r="F322" s="21"/>
      <c r="G322" s="22"/>
      <c r="H322" s="21"/>
      <c r="I322" s="21"/>
      <c r="J322" s="21"/>
      <c r="K322" s="23"/>
      <c r="L322" s="24"/>
      <c r="M322" s="21"/>
      <c r="N322" s="21"/>
      <c r="O322" s="25"/>
      <c r="P322" s="26"/>
      <c r="Q322" s="27" t="str">
        <f aca="false">IF(A322="","",SUMIF(Expenses!$B$2:$B$3000,A322,Expenses!$E$2:$E$3000))</f>
        <v/>
      </c>
      <c r="R322" s="27" t="str">
        <f aca="false">IF(A322="","",N(P322)+N(Q322))</f>
        <v/>
      </c>
      <c r="S322" s="28"/>
      <c r="T322" s="25"/>
      <c r="U322" s="26"/>
      <c r="V322" s="26"/>
      <c r="W322" s="26"/>
      <c r="X322" s="27" t="str">
        <f aca="false">IF(B322&lt;&gt;"SOLD","",IF(C322="Consignment",N(W322)-R322,N(U322)-R322-N(V322)))</f>
        <v/>
      </c>
      <c r="Y322" s="29" t="str">
        <f aca="false">IF(OR(X322="",N(R322)=0),"",X322/R322)</f>
        <v/>
      </c>
      <c r="Z322" s="30" t="str">
        <f aca="true">IF(O322="","",IF(T322="",TODAY(),T322)-O322)</f>
        <v/>
      </c>
      <c r="AA322" s="31" t="str">
        <f aca="false">IF(T322="","",TEXT(T322,"YYYY-MM"))</f>
        <v/>
      </c>
      <c r="AB322" s="27" t="str">
        <f aca="false">IF(X322="","",X322/2)</f>
        <v/>
      </c>
      <c r="AC322" s="21"/>
    </row>
    <row r="323" customFormat="false" ht="15" hidden="false" customHeight="false" outlineLevel="0" collapsed="false">
      <c r="A323" s="20"/>
      <c r="B323" s="21"/>
      <c r="C323" s="21"/>
      <c r="D323" s="21"/>
      <c r="E323" s="21"/>
      <c r="F323" s="21"/>
      <c r="G323" s="22"/>
      <c r="H323" s="21"/>
      <c r="I323" s="21"/>
      <c r="J323" s="21"/>
      <c r="K323" s="23"/>
      <c r="L323" s="24"/>
      <c r="M323" s="21"/>
      <c r="N323" s="21"/>
      <c r="O323" s="25"/>
      <c r="P323" s="26"/>
      <c r="Q323" s="27" t="str">
        <f aca="false">IF(A323="","",SUMIF(Expenses!$B$2:$B$3000,A323,Expenses!$E$2:$E$3000))</f>
        <v/>
      </c>
      <c r="R323" s="27" t="str">
        <f aca="false">IF(A323="","",N(P323)+N(Q323))</f>
        <v/>
      </c>
      <c r="S323" s="28"/>
      <c r="T323" s="25"/>
      <c r="U323" s="26"/>
      <c r="V323" s="26"/>
      <c r="W323" s="26"/>
      <c r="X323" s="27" t="str">
        <f aca="false">IF(B323&lt;&gt;"SOLD","",IF(C323="Consignment",N(W323)-R323,N(U323)-R323-N(V323)))</f>
        <v/>
      </c>
      <c r="Y323" s="29" t="str">
        <f aca="false">IF(OR(X323="",N(R323)=0),"",X323/R323)</f>
        <v/>
      </c>
      <c r="Z323" s="30" t="str">
        <f aca="true">IF(O323="","",IF(T323="",TODAY(),T323)-O323)</f>
        <v/>
      </c>
      <c r="AA323" s="31" t="str">
        <f aca="false">IF(T323="","",TEXT(T323,"YYYY-MM"))</f>
        <v/>
      </c>
      <c r="AB323" s="27" t="str">
        <f aca="false">IF(X323="","",X323/2)</f>
        <v/>
      </c>
      <c r="AC323" s="21"/>
    </row>
    <row r="324" customFormat="false" ht="15" hidden="false" customHeight="false" outlineLevel="0" collapsed="false">
      <c r="A324" s="20"/>
      <c r="B324" s="21"/>
      <c r="C324" s="21"/>
      <c r="D324" s="21"/>
      <c r="E324" s="21"/>
      <c r="F324" s="21"/>
      <c r="G324" s="22"/>
      <c r="H324" s="21"/>
      <c r="I324" s="21"/>
      <c r="J324" s="21"/>
      <c r="K324" s="23"/>
      <c r="L324" s="24"/>
      <c r="M324" s="21"/>
      <c r="N324" s="21"/>
      <c r="O324" s="25"/>
      <c r="P324" s="26"/>
      <c r="Q324" s="27" t="str">
        <f aca="false">IF(A324="","",SUMIF(Expenses!$B$2:$B$3000,A324,Expenses!$E$2:$E$3000))</f>
        <v/>
      </c>
      <c r="R324" s="27" t="str">
        <f aca="false">IF(A324="","",N(P324)+N(Q324))</f>
        <v/>
      </c>
      <c r="S324" s="28"/>
      <c r="T324" s="25"/>
      <c r="U324" s="26"/>
      <c r="V324" s="26"/>
      <c r="W324" s="26"/>
      <c r="X324" s="27" t="str">
        <f aca="false">IF(B324&lt;&gt;"SOLD","",IF(C324="Consignment",N(W324)-R324,N(U324)-R324-N(V324)))</f>
        <v/>
      </c>
      <c r="Y324" s="29" t="str">
        <f aca="false">IF(OR(X324="",N(R324)=0),"",X324/R324)</f>
        <v/>
      </c>
      <c r="Z324" s="30" t="str">
        <f aca="true">IF(O324="","",IF(T324="",TODAY(),T324)-O324)</f>
        <v/>
      </c>
      <c r="AA324" s="31" t="str">
        <f aca="false">IF(T324="","",TEXT(T324,"YYYY-MM"))</f>
        <v/>
      </c>
      <c r="AB324" s="27" t="str">
        <f aca="false">IF(X324="","",X324/2)</f>
        <v/>
      </c>
      <c r="AC324" s="21"/>
    </row>
    <row r="325" customFormat="false" ht="15" hidden="false" customHeight="false" outlineLevel="0" collapsed="false">
      <c r="A325" s="20"/>
      <c r="B325" s="21"/>
      <c r="C325" s="21"/>
      <c r="D325" s="21"/>
      <c r="E325" s="21"/>
      <c r="F325" s="21"/>
      <c r="G325" s="22"/>
      <c r="H325" s="21"/>
      <c r="I325" s="21"/>
      <c r="J325" s="21"/>
      <c r="K325" s="23"/>
      <c r="L325" s="24"/>
      <c r="M325" s="21"/>
      <c r="N325" s="21"/>
      <c r="O325" s="25"/>
      <c r="P325" s="26"/>
      <c r="Q325" s="27" t="str">
        <f aca="false">IF(A325="","",SUMIF(Expenses!$B$2:$B$3000,A325,Expenses!$E$2:$E$3000))</f>
        <v/>
      </c>
      <c r="R325" s="27" t="str">
        <f aca="false">IF(A325="","",N(P325)+N(Q325))</f>
        <v/>
      </c>
      <c r="S325" s="28"/>
      <c r="T325" s="25"/>
      <c r="U325" s="26"/>
      <c r="V325" s="26"/>
      <c r="W325" s="26"/>
      <c r="X325" s="27" t="str">
        <f aca="false">IF(B325&lt;&gt;"SOLD","",IF(C325="Consignment",N(W325)-R325,N(U325)-R325-N(V325)))</f>
        <v/>
      </c>
      <c r="Y325" s="29" t="str">
        <f aca="false">IF(OR(X325="",N(R325)=0),"",X325/R325)</f>
        <v/>
      </c>
      <c r="Z325" s="30" t="str">
        <f aca="true">IF(O325="","",IF(T325="",TODAY(),T325)-O325)</f>
        <v/>
      </c>
      <c r="AA325" s="31" t="str">
        <f aca="false">IF(T325="","",TEXT(T325,"YYYY-MM"))</f>
        <v/>
      </c>
      <c r="AB325" s="27" t="str">
        <f aca="false">IF(X325="","",X325/2)</f>
        <v/>
      </c>
      <c r="AC325" s="21"/>
    </row>
    <row r="326" customFormat="false" ht="15" hidden="false" customHeight="false" outlineLevel="0" collapsed="false">
      <c r="A326" s="20"/>
      <c r="B326" s="21"/>
      <c r="C326" s="21"/>
      <c r="D326" s="21"/>
      <c r="E326" s="21"/>
      <c r="F326" s="21"/>
      <c r="G326" s="22"/>
      <c r="H326" s="21"/>
      <c r="I326" s="21"/>
      <c r="J326" s="21"/>
      <c r="K326" s="23"/>
      <c r="L326" s="24"/>
      <c r="M326" s="21"/>
      <c r="N326" s="21"/>
      <c r="O326" s="25"/>
      <c r="P326" s="26"/>
      <c r="Q326" s="27" t="str">
        <f aca="false">IF(A326="","",SUMIF(Expenses!$B$2:$B$3000,A326,Expenses!$E$2:$E$3000))</f>
        <v/>
      </c>
      <c r="R326" s="27" t="str">
        <f aca="false">IF(A326="","",N(P326)+N(Q326))</f>
        <v/>
      </c>
      <c r="S326" s="28"/>
      <c r="T326" s="25"/>
      <c r="U326" s="26"/>
      <c r="V326" s="26"/>
      <c r="W326" s="26"/>
      <c r="X326" s="27" t="str">
        <f aca="false">IF(B326&lt;&gt;"SOLD","",IF(C326="Consignment",N(W326)-R326,N(U326)-R326-N(V326)))</f>
        <v/>
      </c>
      <c r="Y326" s="29" t="str">
        <f aca="false">IF(OR(X326="",N(R326)=0),"",X326/R326)</f>
        <v/>
      </c>
      <c r="Z326" s="30" t="str">
        <f aca="true">IF(O326="","",IF(T326="",TODAY(),T326)-O326)</f>
        <v/>
      </c>
      <c r="AA326" s="31" t="str">
        <f aca="false">IF(T326="","",TEXT(T326,"YYYY-MM"))</f>
        <v/>
      </c>
      <c r="AB326" s="27" t="str">
        <f aca="false">IF(X326="","",X326/2)</f>
        <v/>
      </c>
      <c r="AC326" s="21"/>
    </row>
    <row r="327" customFormat="false" ht="15" hidden="false" customHeight="false" outlineLevel="0" collapsed="false">
      <c r="A327" s="20"/>
      <c r="B327" s="21"/>
      <c r="C327" s="21"/>
      <c r="D327" s="21"/>
      <c r="E327" s="21"/>
      <c r="F327" s="21"/>
      <c r="G327" s="22"/>
      <c r="H327" s="21"/>
      <c r="I327" s="21"/>
      <c r="J327" s="21"/>
      <c r="K327" s="23"/>
      <c r="L327" s="24"/>
      <c r="M327" s="21"/>
      <c r="N327" s="21"/>
      <c r="O327" s="25"/>
      <c r="P327" s="26"/>
      <c r="Q327" s="27" t="str">
        <f aca="false">IF(A327="","",SUMIF(Expenses!$B$2:$B$3000,A327,Expenses!$E$2:$E$3000))</f>
        <v/>
      </c>
      <c r="R327" s="27" t="str">
        <f aca="false">IF(A327="","",N(P327)+N(Q327))</f>
        <v/>
      </c>
      <c r="S327" s="28"/>
      <c r="T327" s="25"/>
      <c r="U327" s="26"/>
      <c r="V327" s="26"/>
      <c r="W327" s="26"/>
      <c r="X327" s="27" t="str">
        <f aca="false">IF(B327&lt;&gt;"SOLD","",IF(C327="Consignment",N(W327)-R327,N(U327)-R327-N(V327)))</f>
        <v/>
      </c>
      <c r="Y327" s="29" t="str">
        <f aca="false">IF(OR(X327="",N(R327)=0),"",X327/R327)</f>
        <v/>
      </c>
      <c r="Z327" s="30" t="str">
        <f aca="true">IF(O327="","",IF(T327="",TODAY(),T327)-O327)</f>
        <v/>
      </c>
      <c r="AA327" s="31" t="str">
        <f aca="false">IF(T327="","",TEXT(T327,"YYYY-MM"))</f>
        <v/>
      </c>
      <c r="AB327" s="27" t="str">
        <f aca="false">IF(X327="","",X327/2)</f>
        <v/>
      </c>
      <c r="AC327" s="21"/>
    </row>
    <row r="328" customFormat="false" ht="15" hidden="false" customHeight="false" outlineLevel="0" collapsed="false">
      <c r="A328" s="20"/>
      <c r="B328" s="21"/>
      <c r="C328" s="21"/>
      <c r="D328" s="21"/>
      <c r="E328" s="21"/>
      <c r="F328" s="21"/>
      <c r="G328" s="22"/>
      <c r="H328" s="21"/>
      <c r="I328" s="21"/>
      <c r="J328" s="21"/>
      <c r="K328" s="23"/>
      <c r="L328" s="24"/>
      <c r="M328" s="21"/>
      <c r="N328" s="21"/>
      <c r="O328" s="25"/>
      <c r="P328" s="26"/>
      <c r="Q328" s="27" t="str">
        <f aca="false">IF(A328="","",SUMIF(Expenses!$B$2:$B$3000,A328,Expenses!$E$2:$E$3000))</f>
        <v/>
      </c>
      <c r="R328" s="27" t="str">
        <f aca="false">IF(A328="","",N(P328)+N(Q328))</f>
        <v/>
      </c>
      <c r="S328" s="28"/>
      <c r="T328" s="25"/>
      <c r="U328" s="26"/>
      <c r="V328" s="26"/>
      <c r="W328" s="26"/>
      <c r="X328" s="27" t="str">
        <f aca="false">IF(B328&lt;&gt;"SOLD","",IF(C328="Consignment",N(W328)-R328,N(U328)-R328-N(V328)))</f>
        <v/>
      </c>
      <c r="Y328" s="29" t="str">
        <f aca="false">IF(OR(X328="",N(R328)=0),"",X328/R328)</f>
        <v/>
      </c>
      <c r="Z328" s="30" t="str">
        <f aca="true">IF(O328="","",IF(T328="",TODAY(),T328)-O328)</f>
        <v/>
      </c>
      <c r="AA328" s="31" t="str">
        <f aca="false">IF(T328="","",TEXT(T328,"YYYY-MM"))</f>
        <v/>
      </c>
      <c r="AB328" s="27" t="str">
        <f aca="false">IF(X328="","",X328/2)</f>
        <v/>
      </c>
      <c r="AC328" s="21"/>
    </row>
    <row r="329" customFormat="false" ht="15" hidden="false" customHeight="false" outlineLevel="0" collapsed="false">
      <c r="A329" s="20"/>
      <c r="B329" s="21"/>
      <c r="C329" s="21"/>
      <c r="D329" s="21"/>
      <c r="E329" s="21"/>
      <c r="F329" s="21"/>
      <c r="G329" s="22"/>
      <c r="H329" s="21"/>
      <c r="I329" s="21"/>
      <c r="J329" s="21"/>
      <c r="K329" s="23"/>
      <c r="L329" s="24"/>
      <c r="M329" s="21"/>
      <c r="N329" s="21"/>
      <c r="O329" s="25"/>
      <c r="P329" s="26"/>
      <c r="Q329" s="27" t="str">
        <f aca="false">IF(A329="","",SUMIF(Expenses!$B$2:$B$3000,A329,Expenses!$E$2:$E$3000))</f>
        <v/>
      </c>
      <c r="R329" s="27" t="str">
        <f aca="false">IF(A329="","",N(P329)+N(Q329))</f>
        <v/>
      </c>
      <c r="S329" s="28"/>
      <c r="T329" s="25"/>
      <c r="U329" s="26"/>
      <c r="V329" s="26"/>
      <c r="W329" s="26"/>
      <c r="X329" s="27" t="str">
        <f aca="false">IF(B329&lt;&gt;"SOLD","",IF(C329="Consignment",N(W329)-R329,N(U329)-R329-N(V329)))</f>
        <v/>
      </c>
      <c r="Y329" s="29" t="str">
        <f aca="false">IF(OR(X329="",N(R329)=0),"",X329/R329)</f>
        <v/>
      </c>
      <c r="Z329" s="30" t="str">
        <f aca="true">IF(O329="","",IF(T329="",TODAY(),T329)-O329)</f>
        <v/>
      </c>
      <c r="AA329" s="31" t="str">
        <f aca="false">IF(T329="","",TEXT(T329,"YYYY-MM"))</f>
        <v/>
      </c>
      <c r="AB329" s="27" t="str">
        <f aca="false">IF(X329="","",X329/2)</f>
        <v/>
      </c>
      <c r="AC329" s="21"/>
    </row>
    <row r="330" customFormat="false" ht="15" hidden="false" customHeight="false" outlineLevel="0" collapsed="false">
      <c r="A330" s="20"/>
      <c r="B330" s="21"/>
      <c r="C330" s="21"/>
      <c r="D330" s="21"/>
      <c r="E330" s="21"/>
      <c r="F330" s="21"/>
      <c r="G330" s="22"/>
      <c r="H330" s="21"/>
      <c r="I330" s="21"/>
      <c r="J330" s="21"/>
      <c r="K330" s="23"/>
      <c r="L330" s="24"/>
      <c r="M330" s="21"/>
      <c r="N330" s="21"/>
      <c r="O330" s="25"/>
      <c r="P330" s="26"/>
      <c r="Q330" s="27" t="str">
        <f aca="false">IF(A330="","",SUMIF(Expenses!$B$2:$B$3000,A330,Expenses!$E$2:$E$3000))</f>
        <v/>
      </c>
      <c r="R330" s="27" t="str">
        <f aca="false">IF(A330="","",N(P330)+N(Q330))</f>
        <v/>
      </c>
      <c r="S330" s="28"/>
      <c r="T330" s="25"/>
      <c r="U330" s="26"/>
      <c r="V330" s="26"/>
      <c r="W330" s="26"/>
      <c r="X330" s="27" t="str">
        <f aca="false">IF(B330&lt;&gt;"SOLD","",IF(C330="Consignment",N(W330)-R330,N(U330)-R330-N(V330)))</f>
        <v/>
      </c>
      <c r="Y330" s="29" t="str">
        <f aca="false">IF(OR(X330="",N(R330)=0),"",X330/R330)</f>
        <v/>
      </c>
      <c r="Z330" s="30" t="str">
        <f aca="true">IF(O330="","",IF(T330="",TODAY(),T330)-O330)</f>
        <v/>
      </c>
      <c r="AA330" s="31" t="str">
        <f aca="false">IF(T330="","",TEXT(T330,"YYYY-MM"))</f>
        <v/>
      </c>
      <c r="AB330" s="27" t="str">
        <f aca="false">IF(X330="","",X330/2)</f>
        <v/>
      </c>
      <c r="AC330" s="21"/>
    </row>
    <row r="331" customFormat="false" ht="15" hidden="false" customHeight="false" outlineLevel="0" collapsed="false">
      <c r="A331" s="20"/>
      <c r="B331" s="21"/>
      <c r="C331" s="21"/>
      <c r="D331" s="21"/>
      <c r="E331" s="21"/>
      <c r="F331" s="21"/>
      <c r="G331" s="22"/>
      <c r="H331" s="21"/>
      <c r="I331" s="21"/>
      <c r="J331" s="21"/>
      <c r="K331" s="23"/>
      <c r="L331" s="24"/>
      <c r="M331" s="21"/>
      <c r="N331" s="21"/>
      <c r="O331" s="25"/>
      <c r="P331" s="26"/>
      <c r="Q331" s="27" t="str">
        <f aca="false">IF(A331="","",SUMIF(Expenses!$B$2:$B$3000,A331,Expenses!$E$2:$E$3000))</f>
        <v/>
      </c>
      <c r="R331" s="27" t="str">
        <f aca="false">IF(A331="","",N(P331)+N(Q331))</f>
        <v/>
      </c>
      <c r="S331" s="28"/>
      <c r="T331" s="25"/>
      <c r="U331" s="26"/>
      <c r="V331" s="26"/>
      <c r="W331" s="26"/>
      <c r="X331" s="27" t="str">
        <f aca="false">IF(B331&lt;&gt;"SOLD","",IF(C331="Consignment",N(W331)-R331,N(U331)-R331-N(V331)))</f>
        <v/>
      </c>
      <c r="Y331" s="29" t="str">
        <f aca="false">IF(OR(X331="",N(R331)=0),"",X331/R331)</f>
        <v/>
      </c>
      <c r="Z331" s="30" t="str">
        <f aca="true">IF(O331="","",IF(T331="",TODAY(),T331)-O331)</f>
        <v/>
      </c>
      <c r="AA331" s="31" t="str">
        <f aca="false">IF(T331="","",TEXT(T331,"YYYY-MM"))</f>
        <v/>
      </c>
      <c r="AB331" s="27" t="str">
        <f aca="false">IF(X331="","",X331/2)</f>
        <v/>
      </c>
      <c r="AC331" s="21"/>
    </row>
    <row r="332" customFormat="false" ht="15" hidden="false" customHeight="false" outlineLevel="0" collapsed="false">
      <c r="A332" s="20"/>
      <c r="B332" s="21"/>
      <c r="C332" s="21"/>
      <c r="D332" s="21"/>
      <c r="E332" s="21"/>
      <c r="F332" s="21"/>
      <c r="G332" s="22"/>
      <c r="H332" s="21"/>
      <c r="I332" s="21"/>
      <c r="J332" s="21"/>
      <c r="K332" s="23"/>
      <c r="L332" s="24"/>
      <c r="M332" s="21"/>
      <c r="N332" s="21"/>
      <c r="O332" s="25"/>
      <c r="P332" s="26"/>
      <c r="Q332" s="27" t="str">
        <f aca="false">IF(A332="","",SUMIF(Expenses!$B$2:$B$3000,A332,Expenses!$E$2:$E$3000))</f>
        <v/>
      </c>
      <c r="R332" s="27" t="str">
        <f aca="false">IF(A332="","",N(P332)+N(Q332))</f>
        <v/>
      </c>
      <c r="S332" s="28"/>
      <c r="T332" s="25"/>
      <c r="U332" s="26"/>
      <c r="V332" s="26"/>
      <c r="W332" s="26"/>
      <c r="X332" s="27" t="str">
        <f aca="false">IF(B332&lt;&gt;"SOLD","",IF(C332="Consignment",N(W332)-R332,N(U332)-R332-N(V332)))</f>
        <v/>
      </c>
      <c r="Y332" s="29" t="str">
        <f aca="false">IF(OR(X332="",N(R332)=0),"",X332/R332)</f>
        <v/>
      </c>
      <c r="Z332" s="30" t="str">
        <f aca="true">IF(O332="","",IF(T332="",TODAY(),T332)-O332)</f>
        <v/>
      </c>
      <c r="AA332" s="31" t="str">
        <f aca="false">IF(T332="","",TEXT(T332,"YYYY-MM"))</f>
        <v/>
      </c>
      <c r="AB332" s="27" t="str">
        <f aca="false">IF(X332="","",X332/2)</f>
        <v/>
      </c>
      <c r="AC332" s="21"/>
    </row>
    <row r="333" customFormat="false" ht="15" hidden="false" customHeight="false" outlineLevel="0" collapsed="false">
      <c r="A333" s="20"/>
      <c r="B333" s="21"/>
      <c r="C333" s="21"/>
      <c r="D333" s="21"/>
      <c r="E333" s="21"/>
      <c r="F333" s="21"/>
      <c r="G333" s="22"/>
      <c r="H333" s="21"/>
      <c r="I333" s="21"/>
      <c r="J333" s="21"/>
      <c r="K333" s="23"/>
      <c r="L333" s="24"/>
      <c r="M333" s="21"/>
      <c r="N333" s="21"/>
      <c r="O333" s="25"/>
      <c r="P333" s="26"/>
      <c r="Q333" s="27" t="str">
        <f aca="false">IF(A333="","",SUMIF(Expenses!$B$2:$B$3000,A333,Expenses!$E$2:$E$3000))</f>
        <v/>
      </c>
      <c r="R333" s="27" t="str">
        <f aca="false">IF(A333="","",N(P333)+N(Q333))</f>
        <v/>
      </c>
      <c r="S333" s="28"/>
      <c r="T333" s="25"/>
      <c r="U333" s="26"/>
      <c r="V333" s="26"/>
      <c r="W333" s="26"/>
      <c r="X333" s="27" t="str">
        <f aca="false">IF(B333&lt;&gt;"SOLD","",IF(C333="Consignment",N(W333)-R333,N(U333)-R333-N(V333)))</f>
        <v/>
      </c>
      <c r="Y333" s="29" t="str">
        <f aca="false">IF(OR(X333="",N(R333)=0),"",X333/R333)</f>
        <v/>
      </c>
      <c r="Z333" s="30" t="str">
        <f aca="true">IF(O333="","",IF(T333="",TODAY(),T333)-O333)</f>
        <v/>
      </c>
      <c r="AA333" s="31" t="str">
        <f aca="false">IF(T333="","",TEXT(T333,"YYYY-MM"))</f>
        <v/>
      </c>
      <c r="AB333" s="27" t="str">
        <f aca="false">IF(X333="","",X333/2)</f>
        <v/>
      </c>
      <c r="AC333" s="21"/>
    </row>
    <row r="334" customFormat="false" ht="15" hidden="false" customHeight="false" outlineLevel="0" collapsed="false">
      <c r="A334" s="20"/>
      <c r="B334" s="21"/>
      <c r="C334" s="21"/>
      <c r="D334" s="21"/>
      <c r="E334" s="21"/>
      <c r="F334" s="21"/>
      <c r="G334" s="22"/>
      <c r="H334" s="21"/>
      <c r="I334" s="21"/>
      <c r="J334" s="21"/>
      <c r="K334" s="23"/>
      <c r="L334" s="24"/>
      <c r="M334" s="21"/>
      <c r="N334" s="21"/>
      <c r="O334" s="25"/>
      <c r="P334" s="26"/>
      <c r="Q334" s="27" t="str">
        <f aca="false">IF(A334="","",SUMIF(Expenses!$B$2:$B$3000,A334,Expenses!$E$2:$E$3000))</f>
        <v/>
      </c>
      <c r="R334" s="27" t="str">
        <f aca="false">IF(A334="","",N(P334)+N(Q334))</f>
        <v/>
      </c>
      <c r="S334" s="28"/>
      <c r="T334" s="25"/>
      <c r="U334" s="26"/>
      <c r="V334" s="26"/>
      <c r="W334" s="26"/>
      <c r="X334" s="27" t="str">
        <f aca="false">IF(B334&lt;&gt;"SOLD","",IF(C334="Consignment",N(W334)-R334,N(U334)-R334-N(V334)))</f>
        <v/>
      </c>
      <c r="Y334" s="29" t="str">
        <f aca="false">IF(OR(X334="",N(R334)=0),"",X334/R334)</f>
        <v/>
      </c>
      <c r="Z334" s="30" t="str">
        <f aca="true">IF(O334="","",IF(T334="",TODAY(),T334)-O334)</f>
        <v/>
      </c>
      <c r="AA334" s="31" t="str">
        <f aca="false">IF(T334="","",TEXT(T334,"YYYY-MM"))</f>
        <v/>
      </c>
      <c r="AB334" s="27" t="str">
        <f aca="false">IF(X334="","",X334/2)</f>
        <v/>
      </c>
      <c r="AC334" s="21"/>
    </row>
    <row r="335" customFormat="false" ht="15" hidden="false" customHeight="false" outlineLevel="0" collapsed="false">
      <c r="A335" s="20"/>
      <c r="B335" s="21"/>
      <c r="C335" s="21"/>
      <c r="D335" s="21"/>
      <c r="E335" s="21"/>
      <c r="F335" s="21"/>
      <c r="G335" s="22"/>
      <c r="H335" s="21"/>
      <c r="I335" s="21"/>
      <c r="J335" s="21"/>
      <c r="K335" s="23"/>
      <c r="L335" s="24"/>
      <c r="M335" s="21"/>
      <c r="N335" s="21"/>
      <c r="O335" s="25"/>
      <c r="P335" s="26"/>
      <c r="Q335" s="27" t="str">
        <f aca="false">IF(A335="","",SUMIF(Expenses!$B$2:$B$3000,A335,Expenses!$E$2:$E$3000))</f>
        <v/>
      </c>
      <c r="R335" s="27" t="str">
        <f aca="false">IF(A335="","",N(P335)+N(Q335))</f>
        <v/>
      </c>
      <c r="S335" s="28"/>
      <c r="T335" s="25"/>
      <c r="U335" s="26"/>
      <c r="V335" s="26"/>
      <c r="W335" s="26"/>
      <c r="X335" s="27" t="str">
        <f aca="false">IF(B335&lt;&gt;"SOLD","",IF(C335="Consignment",N(W335)-R335,N(U335)-R335-N(V335)))</f>
        <v/>
      </c>
      <c r="Y335" s="29" t="str">
        <f aca="false">IF(OR(X335="",N(R335)=0),"",X335/R335)</f>
        <v/>
      </c>
      <c r="Z335" s="30" t="str">
        <f aca="true">IF(O335="","",IF(T335="",TODAY(),T335)-O335)</f>
        <v/>
      </c>
      <c r="AA335" s="31" t="str">
        <f aca="false">IF(T335="","",TEXT(T335,"YYYY-MM"))</f>
        <v/>
      </c>
      <c r="AB335" s="27" t="str">
        <f aca="false">IF(X335="","",X335/2)</f>
        <v/>
      </c>
      <c r="AC335" s="21"/>
    </row>
    <row r="336" customFormat="false" ht="15" hidden="false" customHeight="false" outlineLevel="0" collapsed="false">
      <c r="A336" s="20"/>
      <c r="B336" s="21"/>
      <c r="C336" s="21"/>
      <c r="D336" s="21"/>
      <c r="E336" s="21"/>
      <c r="F336" s="21"/>
      <c r="G336" s="22"/>
      <c r="H336" s="21"/>
      <c r="I336" s="21"/>
      <c r="J336" s="21"/>
      <c r="K336" s="23"/>
      <c r="L336" s="24"/>
      <c r="M336" s="21"/>
      <c r="N336" s="21"/>
      <c r="O336" s="25"/>
      <c r="P336" s="26"/>
      <c r="Q336" s="27" t="str">
        <f aca="false">IF(A336="","",SUMIF(Expenses!$B$2:$B$3000,A336,Expenses!$E$2:$E$3000))</f>
        <v/>
      </c>
      <c r="R336" s="27" t="str">
        <f aca="false">IF(A336="","",N(P336)+N(Q336))</f>
        <v/>
      </c>
      <c r="S336" s="28"/>
      <c r="T336" s="25"/>
      <c r="U336" s="26"/>
      <c r="V336" s="26"/>
      <c r="W336" s="26"/>
      <c r="X336" s="27" t="str">
        <f aca="false">IF(B336&lt;&gt;"SOLD","",IF(C336="Consignment",N(W336)-R336,N(U336)-R336-N(V336)))</f>
        <v/>
      </c>
      <c r="Y336" s="29" t="str">
        <f aca="false">IF(OR(X336="",N(R336)=0),"",X336/R336)</f>
        <v/>
      </c>
      <c r="Z336" s="30" t="str">
        <f aca="true">IF(O336="","",IF(T336="",TODAY(),T336)-O336)</f>
        <v/>
      </c>
      <c r="AA336" s="31" t="str">
        <f aca="false">IF(T336="","",TEXT(T336,"YYYY-MM"))</f>
        <v/>
      </c>
      <c r="AB336" s="27" t="str">
        <f aca="false">IF(X336="","",X336/2)</f>
        <v/>
      </c>
      <c r="AC336" s="21"/>
    </row>
    <row r="337" customFormat="false" ht="15" hidden="false" customHeight="false" outlineLevel="0" collapsed="false">
      <c r="A337" s="20"/>
      <c r="B337" s="21"/>
      <c r="C337" s="21"/>
      <c r="D337" s="21"/>
      <c r="E337" s="21"/>
      <c r="F337" s="21"/>
      <c r="G337" s="22"/>
      <c r="H337" s="21"/>
      <c r="I337" s="21"/>
      <c r="J337" s="21"/>
      <c r="K337" s="23"/>
      <c r="L337" s="24"/>
      <c r="M337" s="21"/>
      <c r="N337" s="21"/>
      <c r="O337" s="25"/>
      <c r="P337" s="26"/>
      <c r="Q337" s="27" t="str">
        <f aca="false">IF(A337="","",SUMIF(Expenses!$B$2:$B$3000,A337,Expenses!$E$2:$E$3000))</f>
        <v/>
      </c>
      <c r="R337" s="27" t="str">
        <f aca="false">IF(A337="","",N(P337)+N(Q337))</f>
        <v/>
      </c>
      <c r="S337" s="28"/>
      <c r="T337" s="25"/>
      <c r="U337" s="26"/>
      <c r="V337" s="26"/>
      <c r="W337" s="26"/>
      <c r="X337" s="27" t="str">
        <f aca="false">IF(B337&lt;&gt;"SOLD","",IF(C337="Consignment",N(W337)-R337,N(U337)-R337-N(V337)))</f>
        <v/>
      </c>
      <c r="Y337" s="29" t="str">
        <f aca="false">IF(OR(X337="",N(R337)=0),"",X337/R337)</f>
        <v/>
      </c>
      <c r="Z337" s="30" t="str">
        <f aca="true">IF(O337="","",IF(T337="",TODAY(),T337)-O337)</f>
        <v/>
      </c>
      <c r="AA337" s="31" t="str">
        <f aca="false">IF(T337="","",TEXT(T337,"YYYY-MM"))</f>
        <v/>
      </c>
      <c r="AB337" s="27" t="str">
        <f aca="false">IF(X337="","",X337/2)</f>
        <v/>
      </c>
      <c r="AC337" s="21"/>
    </row>
    <row r="338" customFormat="false" ht="15" hidden="false" customHeight="false" outlineLevel="0" collapsed="false">
      <c r="A338" s="20"/>
      <c r="B338" s="21"/>
      <c r="C338" s="21"/>
      <c r="D338" s="21"/>
      <c r="E338" s="21"/>
      <c r="F338" s="21"/>
      <c r="G338" s="22"/>
      <c r="H338" s="21"/>
      <c r="I338" s="21"/>
      <c r="J338" s="21"/>
      <c r="K338" s="23"/>
      <c r="L338" s="24"/>
      <c r="M338" s="21"/>
      <c r="N338" s="21"/>
      <c r="O338" s="25"/>
      <c r="P338" s="26"/>
      <c r="Q338" s="27" t="str">
        <f aca="false">IF(A338="","",SUMIF(Expenses!$B$2:$B$3000,A338,Expenses!$E$2:$E$3000))</f>
        <v/>
      </c>
      <c r="R338" s="27" t="str">
        <f aca="false">IF(A338="","",N(P338)+N(Q338))</f>
        <v/>
      </c>
      <c r="S338" s="28"/>
      <c r="T338" s="25"/>
      <c r="U338" s="26"/>
      <c r="V338" s="26"/>
      <c r="W338" s="26"/>
      <c r="X338" s="27" t="str">
        <f aca="false">IF(B338&lt;&gt;"SOLD","",IF(C338="Consignment",N(W338)-R338,N(U338)-R338-N(V338)))</f>
        <v/>
      </c>
      <c r="Y338" s="29" t="str">
        <f aca="false">IF(OR(X338="",N(R338)=0),"",X338/R338)</f>
        <v/>
      </c>
      <c r="Z338" s="30" t="str">
        <f aca="true">IF(O338="","",IF(T338="",TODAY(),T338)-O338)</f>
        <v/>
      </c>
      <c r="AA338" s="31" t="str">
        <f aca="false">IF(T338="","",TEXT(T338,"YYYY-MM"))</f>
        <v/>
      </c>
      <c r="AB338" s="27" t="str">
        <f aca="false">IF(X338="","",X338/2)</f>
        <v/>
      </c>
      <c r="AC338" s="21"/>
    </row>
    <row r="339" customFormat="false" ht="15" hidden="false" customHeight="false" outlineLevel="0" collapsed="false">
      <c r="A339" s="20"/>
      <c r="B339" s="21"/>
      <c r="C339" s="21"/>
      <c r="D339" s="21"/>
      <c r="E339" s="21"/>
      <c r="F339" s="21"/>
      <c r="G339" s="22"/>
      <c r="H339" s="21"/>
      <c r="I339" s="21"/>
      <c r="J339" s="21"/>
      <c r="K339" s="23"/>
      <c r="L339" s="24"/>
      <c r="M339" s="21"/>
      <c r="N339" s="21"/>
      <c r="O339" s="25"/>
      <c r="P339" s="26"/>
      <c r="Q339" s="27" t="str">
        <f aca="false">IF(A339="","",SUMIF(Expenses!$B$2:$B$3000,A339,Expenses!$E$2:$E$3000))</f>
        <v/>
      </c>
      <c r="R339" s="27" t="str">
        <f aca="false">IF(A339="","",N(P339)+N(Q339))</f>
        <v/>
      </c>
      <c r="S339" s="28"/>
      <c r="T339" s="25"/>
      <c r="U339" s="26"/>
      <c r="V339" s="26"/>
      <c r="W339" s="26"/>
      <c r="X339" s="27" t="str">
        <f aca="false">IF(B339&lt;&gt;"SOLD","",IF(C339="Consignment",N(W339)-R339,N(U339)-R339-N(V339)))</f>
        <v/>
      </c>
      <c r="Y339" s="29" t="str">
        <f aca="false">IF(OR(X339="",N(R339)=0),"",X339/R339)</f>
        <v/>
      </c>
      <c r="Z339" s="30" t="str">
        <f aca="true">IF(O339="","",IF(T339="",TODAY(),T339)-O339)</f>
        <v/>
      </c>
      <c r="AA339" s="31" t="str">
        <f aca="false">IF(T339="","",TEXT(T339,"YYYY-MM"))</f>
        <v/>
      </c>
      <c r="AB339" s="27" t="str">
        <f aca="false">IF(X339="","",X339/2)</f>
        <v/>
      </c>
      <c r="AC339" s="21"/>
    </row>
    <row r="340" customFormat="false" ht="15" hidden="false" customHeight="false" outlineLevel="0" collapsed="false">
      <c r="A340" s="20"/>
      <c r="B340" s="21"/>
      <c r="C340" s="21"/>
      <c r="D340" s="21"/>
      <c r="E340" s="21"/>
      <c r="F340" s="21"/>
      <c r="G340" s="22"/>
      <c r="H340" s="21"/>
      <c r="I340" s="21"/>
      <c r="J340" s="21"/>
      <c r="K340" s="23"/>
      <c r="L340" s="24"/>
      <c r="M340" s="21"/>
      <c r="N340" s="21"/>
      <c r="O340" s="25"/>
      <c r="P340" s="26"/>
      <c r="Q340" s="27" t="str">
        <f aca="false">IF(A340="","",SUMIF(Expenses!$B$2:$B$3000,A340,Expenses!$E$2:$E$3000))</f>
        <v/>
      </c>
      <c r="R340" s="27" t="str">
        <f aca="false">IF(A340="","",N(P340)+N(Q340))</f>
        <v/>
      </c>
      <c r="S340" s="28"/>
      <c r="T340" s="25"/>
      <c r="U340" s="26"/>
      <c r="V340" s="26"/>
      <c r="W340" s="26"/>
      <c r="X340" s="27" t="str">
        <f aca="false">IF(B340&lt;&gt;"SOLD","",IF(C340="Consignment",N(W340)-R340,N(U340)-R340-N(V340)))</f>
        <v/>
      </c>
      <c r="Y340" s="29" t="str">
        <f aca="false">IF(OR(X340="",N(R340)=0),"",X340/R340)</f>
        <v/>
      </c>
      <c r="Z340" s="30" t="str">
        <f aca="true">IF(O340="","",IF(T340="",TODAY(),T340)-O340)</f>
        <v/>
      </c>
      <c r="AA340" s="31" t="str">
        <f aca="false">IF(T340="","",TEXT(T340,"YYYY-MM"))</f>
        <v/>
      </c>
      <c r="AB340" s="27" t="str">
        <f aca="false">IF(X340="","",X340/2)</f>
        <v/>
      </c>
      <c r="AC340" s="21"/>
    </row>
    <row r="341" customFormat="false" ht="15" hidden="false" customHeight="false" outlineLevel="0" collapsed="false">
      <c r="A341" s="20"/>
      <c r="B341" s="21"/>
      <c r="C341" s="21"/>
      <c r="D341" s="21"/>
      <c r="E341" s="21"/>
      <c r="F341" s="21"/>
      <c r="G341" s="22"/>
      <c r="H341" s="21"/>
      <c r="I341" s="21"/>
      <c r="J341" s="21"/>
      <c r="K341" s="23"/>
      <c r="L341" s="24"/>
      <c r="M341" s="21"/>
      <c r="N341" s="21"/>
      <c r="O341" s="25"/>
      <c r="P341" s="26"/>
      <c r="Q341" s="27" t="str">
        <f aca="false">IF(A341="","",SUMIF(Expenses!$B$2:$B$3000,A341,Expenses!$E$2:$E$3000))</f>
        <v/>
      </c>
      <c r="R341" s="27" t="str">
        <f aca="false">IF(A341="","",N(P341)+N(Q341))</f>
        <v/>
      </c>
      <c r="S341" s="28"/>
      <c r="T341" s="25"/>
      <c r="U341" s="26"/>
      <c r="V341" s="26"/>
      <c r="W341" s="26"/>
      <c r="X341" s="27" t="str">
        <f aca="false">IF(B341&lt;&gt;"SOLD","",IF(C341="Consignment",N(W341)-R341,N(U341)-R341-N(V341)))</f>
        <v/>
      </c>
      <c r="Y341" s="29" t="str">
        <f aca="false">IF(OR(X341="",N(R341)=0),"",X341/R341)</f>
        <v/>
      </c>
      <c r="Z341" s="30" t="str">
        <f aca="true">IF(O341="","",IF(T341="",TODAY(),T341)-O341)</f>
        <v/>
      </c>
      <c r="AA341" s="31" t="str">
        <f aca="false">IF(T341="","",TEXT(T341,"YYYY-MM"))</f>
        <v/>
      </c>
      <c r="AB341" s="27" t="str">
        <f aca="false">IF(X341="","",X341/2)</f>
        <v/>
      </c>
      <c r="AC341" s="21"/>
    </row>
    <row r="342" customFormat="false" ht="15" hidden="false" customHeight="false" outlineLevel="0" collapsed="false">
      <c r="A342" s="20"/>
      <c r="B342" s="21"/>
      <c r="C342" s="21"/>
      <c r="D342" s="21"/>
      <c r="E342" s="21"/>
      <c r="F342" s="21"/>
      <c r="G342" s="22"/>
      <c r="H342" s="21"/>
      <c r="I342" s="21"/>
      <c r="J342" s="21"/>
      <c r="K342" s="23"/>
      <c r="L342" s="24"/>
      <c r="M342" s="21"/>
      <c r="N342" s="21"/>
      <c r="O342" s="25"/>
      <c r="P342" s="26"/>
      <c r="Q342" s="27" t="str">
        <f aca="false">IF(A342="","",SUMIF(Expenses!$B$2:$B$3000,A342,Expenses!$E$2:$E$3000))</f>
        <v/>
      </c>
      <c r="R342" s="27" t="str">
        <f aca="false">IF(A342="","",N(P342)+N(Q342))</f>
        <v/>
      </c>
      <c r="S342" s="28"/>
      <c r="T342" s="25"/>
      <c r="U342" s="26"/>
      <c r="V342" s="26"/>
      <c r="W342" s="26"/>
      <c r="X342" s="27" t="str">
        <f aca="false">IF(B342&lt;&gt;"SOLD","",IF(C342="Consignment",N(W342)-R342,N(U342)-R342-N(V342)))</f>
        <v/>
      </c>
      <c r="Y342" s="29" t="str">
        <f aca="false">IF(OR(X342="",N(R342)=0),"",X342/R342)</f>
        <v/>
      </c>
      <c r="Z342" s="30" t="str">
        <f aca="true">IF(O342="","",IF(T342="",TODAY(),T342)-O342)</f>
        <v/>
      </c>
      <c r="AA342" s="31" t="str">
        <f aca="false">IF(T342="","",TEXT(T342,"YYYY-MM"))</f>
        <v/>
      </c>
      <c r="AB342" s="27" t="str">
        <f aca="false">IF(X342="","",X342/2)</f>
        <v/>
      </c>
      <c r="AC342" s="21"/>
    </row>
    <row r="343" customFormat="false" ht="15" hidden="false" customHeight="false" outlineLevel="0" collapsed="false">
      <c r="A343" s="20"/>
      <c r="B343" s="21"/>
      <c r="C343" s="21"/>
      <c r="D343" s="21"/>
      <c r="E343" s="21"/>
      <c r="F343" s="21"/>
      <c r="G343" s="22"/>
      <c r="H343" s="21"/>
      <c r="I343" s="21"/>
      <c r="J343" s="21"/>
      <c r="K343" s="23"/>
      <c r="L343" s="24"/>
      <c r="M343" s="21"/>
      <c r="N343" s="21"/>
      <c r="O343" s="25"/>
      <c r="P343" s="26"/>
      <c r="Q343" s="27" t="str">
        <f aca="false">IF(A343="","",SUMIF(Expenses!$B$2:$B$3000,A343,Expenses!$E$2:$E$3000))</f>
        <v/>
      </c>
      <c r="R343" s="27" t="str">
        <f aca="false">IF(A343="","",N(P343)+N(Q343))</f>
        <v/>
      </c>
      <c r="S343" s="28"/>
      <c r="T343" s="25"/>
      <c r="U343" s="26"/>
      <c r="V343" s="26"/>
      <c r="W343" s="26"/>
      <c r="X343" s="27" t="str">
        <f aca="false">IF(B343&lt;&gt;"SOLD","",IF(C343="Consignment",N(W343)-R343,N(U343)-R343-N(V343)))</f>
        <v/>
      </c>
      <c r="Y343" s="29" t="str">
        <f aca="false">IF(OR(X343="",N(R343)=0),"",X343/R343)</f>
        <v/>
      </c>
      <c r="Z343" s="30" t="str">
        <f aca="true">IF(O343="","",IF(T343="",TODAY(),T343)-O343)</f>
        <v/>
      </c>
      <c r="AA343" s="31" t="str">
        <f aca="false">IF(T343="","",TEXT(T343,"YYYY-MM"))</f>
        <v/>
      </c>
      <c r="AB343" s="27" t="str">
        <f aca="false">IF(X343="","",X343/2)</f>
        <v/>
      </c>
      <c r="AC343" s="21"/>
    </row>
    <row r="344" customFormat="false" ht="15" hidden="false" customHeight="false" outlineLevel="0" collapsed="false">
      <c r="A344" s="20"/>
      <c r="B344" s="21"/>
      <c r="C344" s="21"/>
      <c r="D344" s="21"/>
      <c r="E344" s="21"/>
      <c r="F344" s="21"/>
      <c r="G344" s="22"/>
      <c r="H344" s="21"/>
      <c r="I344" s="21"/>
      <c r="J344" s="21"/>
      <c r="K344" s="23"/>
      <c r="L344" s="24"/>
      <c r="M344" s="21"/>
      <c r="N344" s="21"/>
      <c r="O344" s="25"/>
      <c r="P344" s="26"/>
      <c r="Q344" s="27" t="str">
        <f aca="false">IF(A344="","",SUMIF(Expenses!$B$2:$B$3000,A344,Expenses!$E$2:$E$3000))</f>
        <v/>
      </c>
      <c r="R344" s="27" t="str">
        <f aca="false">IF(A344="","",N(P344)+N(Q344))</f>
        <v/>
      </c>
      <c r="S344" s="28"/>
      <c r="T344" s="25"/>
      <c r="U344" s="26"/>
      <c r="V344" s="26"/>
      <c r="W344" s="26"/>
      <c r="X344" s="27" t="str">
        <f aca="false">IF(B344&lt;&gt;"SOLD","",IF(C344="Consignment",N(W344)-R344,N(U344)-R344-N(V344)))</f>
        <v/>
      </c>
      <c r="Y344" s="29" t="str">
        <f aca="false">IF(OR(X344="",N(R344)=0),"",X344/R344)</f>
        <v/>
      </c>
      <c r="Z344" s="30" t="str">
        <f aca="true">IF(O344="","",IF(T344="",TODAY(),T344)-O344)</f>
        <v/>
      </c>
      <c r="AA344" s="31" t="str">
        <f aca="false">IF(T344="","",TEXT(T344,"YYYY-MM"))</f>
        <v/>
      </c>
      <c r="AB344" s="27" t="str">
        <f aca="false">IF(X344="","",X344/2)</f>
        <v/>
      </c>
      <c r="AC344" s="21"/>
    </row>
    <row r="345" customFormat="false" ht="15" hidden="false" customHeight="false" outlineLevel="0" collapsed="false">
      <c r="A345" s="20"/>
      <c r="B345" s="21"/>
      <c r="C345" s="21"/>
      <c r="D345" s="21"/>
      <c r="E345" s="21"/>
      <c r="F345" s="21"/>
      <c r="G345" s="22"/>
      <c r="H345" s="21"/>
      <c r="I345" s="21"/>
      <c r="J345" s="21"/>
      <c r="K345" s="23"/>
      <c r="L345" s="24"/>
      <c r="M345" s="21"/>
      <c r="N345" s="21"/>
      <c r="O345" s="25"/>
      <c r="P345" s="26"/>
      <c r="Q345" s="27" t="str">
        <f aca="false">IF(A345="","",SUMIF(Expenses!$B$2:$B$3000,A345,Expenses!$E$2:$E$3000))</f>
        <v/>
      </c>
      <c r="R345" s="27" t="str">
        <f aca="false">IF(A345="","",N(P345)+N(Q345))</f>
        <v/>
      </c>
      <c r="S345" s="28"/>
      <c r="T345" s="25"/>
      <c r="U345" s="26"/>
      <c r="V345" s="26"/>
      <c r="W345" s="26"/>
      <c r="X345" s="27" t="str">
        <f aca="false">IF(B345&lt;&gt;"SOLD","",IF(C345="Consignment",N(W345)-R345,N(U345)-R345-N(V345)))</f>
        <v/>
      </c>
      <c r="Y345" s="29" t="str">
        <f aca="false">IF(OR(X345="",N(R345)=0),"",X345/R345)</f>
        <v/>
      </c>
      <c r="Z345" s="30" t="str">
        <f aca="true">IF(O345="","",IF(T345="",TODAY(),T345)-O345)</f>
        <v/>
      </c>
      <c r="AA345" s="31" t="str">
        <f aca="false">IF(T345="","",TEXT(T345,"YYYY-MM"))</f>
        <v/>
      </c>
      <c r="AB345" s="27" t="str">
        <f aca="false">IF(X345="","",X345/2)</f>
        <v/>
      </c>
      <c r="AC345" s="21"/>
    </row>
    <row r="346" customFormat="false" ht="15" hidden="false" customHeight="false" outlineLevel="0" collapsed="false">
      <c r="A346" s="20"/>
      <c r="B346" s="21"/>
      <c r="C346" s="21"/>
      <c r="D346" s="21"/>
      <c r="E346" s="21"/>
      <c r="F346" s="21"/>
      <c r="G346" s="22"/>
      <c r="H346" s="21"/>
      <c r="I346" s="21"/>
      <c r="J346" s="21"/>
      <c r="K346" s="23"/>
      <c r="L346" s="24"/>
      <c r="M346" s="21"/>
      <c r="N346" s="21"/>
      <c r="O346" s="25"/>
      <c r="P346" s="26"/>
      <c r="Q346" s="27" t="str">
        <f aca="false">IF(A346="","",SUMIF(Expenses!$B$2:$B$3000,A346,Expenses!$E$2:$E$3000))</f>
        <v/>
      </c>
      <c r="R346" s="27" t="str">
        <f aca="false">IF(A346="","",N(P346)+N(Q346))</f>
        <v/>
      </c>
      <c r="S346" s="28"/>
      <c r="T346" s="25"/>
      <c r="U346" s="26"/>
      <c r="V346" s="26"/>
      <c r="W346" s="26"/>
      <c r="X346" s="27" t="str">
        <f aca="false">IF(B346&lt;&gt;"SOLD","",IF(C346="Consignment",N(W346)-R346,N(U346)-R346-N(V346)))</f>
        <v/>
      </c>
      <c r="Y346" s="29" t="str">
        <f aca="false">IF(OR(X346="",N(R346)=0),"",X346/R346)</f>
        <v/>
      </c>
      <c r="Z346" s="30" t="str">
        <f aca="true">IF(O346="","",IF(T346="",TODAY(),T346)-O346)</f>
        <v/>
      </c>
      <c r="AA346" s="31" t="str">
        <f aca="false">IF(T346="","",TEXT(T346,"YYYY-MM"))</f>
        <v/>
      </c>
      <c r="AB346" s="27" t="str">
        <f aca="false">IF(X346="","",X346/2)</f>
        <v/>
      </c>
      <c r="AC346" s="21"/>
    </row>
    <row r="347" customFormat="false" ht="15" hidden="false" customHeight="false" outlineLevel="0" collapsed="false">
      <c r="A347" s="20"/>
      <c r="B347" s="21"/>
      <c r="C347" s="21"/>
      <c r="D347" s="21"/>
      <c r="E347" s="21"/>
      <c r="F347" s="21"/>
      <c r="G347" s="22"/>
      <c r="H347" s="21"/>
      <c r="I347" s="21"/>
      <c r="J347" s="21"/>
      <c r="K347" s="23"/>
      <c r="L347" s="24"/>
      <c r="M347" s="21"/>
      <c r="N347" s="21"/>
      <c r="O347" s="25"/>
      <c r="P347" s="26"/>
      <c r="Q347" s="27" t="str">
        <f aca="false">IF(A347="","",SUMIF(Expenses!$B$2:$B$3000,A347,Expenses!$E$2:$E$3000))</f>
        <v/>
      </c>
      <c r="R347" s="27" t="str">
        <f aca="false">IF(A347="","",N(P347)+N(Q347))</f>
        <v/>
      </c>
      <c r="S347" s="28"/>
      <c r="T347" s="25"/>
      <c r="U347" s="26"/>
      <c r="V347" s="26"/>
      <c r="W347" s="26"/>
      <c r="X347" s="27" t="str">
        <f aca="false">IF(B347&lt;&gt;"SOLD","",IF(C347="Consignment",N(W347)-R347,N(U347)-R347-N(V347)))</f>
        <v/>
      </c>
      <c r="Y347" s="29" t="str">
        <f aca="false">IF(OR(X347="",N(R347)=0),"",X347/R347)</f>
        <v/>
      </c>
      <c r="Z347" s="30" t="str">
        <f aca="true">IF(O347="","",IF(T347="",TODAY(),T347)-O347)</f>
        <v/>
      </c>
      <c r="AA347" s="31" t="str">
        <f aca="false">IF(T347="","",TEXT(T347,"YYYY-MM"))</f>
        <v/>
      </c>
      <c r="AB347" s="27" t="str">
        <f aca="false">IF(X347="","",X347/2)</f>
        <v/>
      </c>
      <c r="AC347" s="21"/>
    </row>
    <row r="348" customFormat="false" ht="15" hidden="false" customHeight="false" outlineLevel="0" collapsed="false">
      <c r="A348" s="20"/>
      <c r="B348" s="21"/>
      <c r="C348" s="21"/>
      <c r="D348" s="21"/>
      <c r="E348" s="21"/>
      <c r="F348" s="21"/>
      <c r="G348" s="22"/>
      <c r="H348" s="21"/>
      <c r="I348" s="21"/>
      <c r="J348" s="21"/>
      <c r="K348" s="23"/>
      <c r="L348" s="24"/>
      <c r="M348" s="21"/>
      <c r="N348" s="21"/>
      <c r="O348" s="25"/>
      <c r="P348" s="26"/>
      <c r="Q348" s="27" t="str">
        <f aca="false">IF(A348="","",SUMIF(Expenses!$B$2:$B$3000,A348,Expenses!$E$2:$E$3000))</f>
        <v/>
      </c>
      <c r="R348" s="27" t="str">
        <f aca="false">IF(A348="","",N(P348)+N(Q348))</f>
        <v/>
      </c>
      <c r="S348" s="28"/>
      <c r="T348" s="25"/>
      <c r="U348" s="26"/>
      <c r="V348" s="26"/>
      <c r="W348" s="26"/>
      <c r="X348" s="27" t="str">
        <f aca="false">IF(B348&lt;&gt;"SOLD","",IF(C348="Consignment",N(W348)-R348,N(U348)-R348-N(V348)))</f>
        <v/>
      </c>
      <c r="Y348" s="29" t="str">
        <f aca="false">IF(OR(X348="",N(R348)=0),"",X348/R348)</f>
        <v/>
      </c>
      <c r="Z348" s="30" t="str">
        <f aca="true">IF(O348="","",IF(T348="",TODAY(),T348)-O348)</f>
        <v/>
      </c>
      <c r="AA348" s="31" t="str">
        <f aca="false">IF(T348="","",TEXT(T348,"YYYY-MM"))</f>
        <v/>
      </c>
      <c r="AB348" s="27" t="str">
        <f aca="false">IF(X348="","",X348/2)</f>
        <v/>
      </c>
      <c r="AC348" s="21"/>
    </row>
    <row r="349" customFormat="false" ht="15" hidden="false" customHeight="false" outlineLevel="0" collapsed="false">
      <c r="A349" s="20"/>
      <c r="B349" s="21"/>
      <c r="C349" s="21"/>
      <c r="D349" s="21"/>
      <c r="E349" s="21"/>
      <c r="F349" s="21"/>
      <c r="G349" s="22"/>
      <c r="H349" s="21"/>
      <c r="I349" s="21"/>
      <c r="J349" s="21"/>
      <c r="K349" s="23"/>
      <c r="L349" s="24"/>
      <c r="M349" s="21"/>
      <c r="N349" s="21"/>
      <c r="O349" s="25"/>
      <c r="P349" s="26"/>
      <c r="Q349" s="27" t="str">
        <f aca="false">IF(A349="","",SUMIF(Expenses!$B$2:$B$3000,A349,Expenses!$E$2:$E$3000))</f>
        <v/>
      </c>
      <c r="R349" s="27" t="str">
        <f aca="false">IF(A349="","",N(P349)+N(Q349))</f>
        <v/>
      </c>
      <c r="S349" s="28"/>
      <c r="T349" s="25"/>
      <c r="U349" s="26"/>
      <c r="V349" s="26"/>
      <c r="W349" s="26"/>
      <c r="X349" s="27" t="str">
        <f aca="false">IF(B349&lt;&gt;"SOLD","",IF(C349="Consignment",N(W349)-R349,N(U349)-R349-N(V349)))</f>
        <v/>
      </c>
      <c r="Y349" s="29" t="str">
        <f aca="false">IF(OR(X349="",N(R349)=0),"",X349/R349)</f>
        <v/>
      </c>
      <c r="Z349" s="30" t="str">
        <f aca="true">IF(O349="","",IF(T349="",TODAY(),T349)-O349)</f>
        <v/>
      </c>
      <c r="AA349" s="31" t="str">
        <f aca="false">IF(T349="","",TEXT(T349,"YYYY-MM"))</f>
        <v/>
      </c>
      <c r="AB349" s="27" t="str">
        <f aca="false">IF(X349="","",X349/2)</f>
        <v/>
      </c>
      <c r="AC349" s="21"/>
    </row>
    <row r="350" customFormat="false" ht="15" hidden="false" customHeight="false" outlineLevel="0" collapsed="false">
      <c r="A350" s="20"/>
      <c r="B350" s="21"/>
      <c r="C350" s="21"/>
      <c r="D350" s="21"/>
      <c r="E350" s="21"/>
      <c r="F350" s="21"/>
      <c r="G350" s="22"/>
      <c r="H350" s="21"/>
      <c r="I350" s="21"/>
      <c r="J350" s="21"/>
      <c r="K350" s="23"/>
      <c r="L350" s="24"/>
      <c r="M350" s="21"/>
      <c r="N350" s="21"/>
      <c r="O350" s="25"/>
      <c r="P350" s="26"/>
      <c r="Q350" s="27" t="str">
        <f aca="false">IF(A350="","",SUMIF(Expenses!$B$2:$B$3000,A350,Expenses!$E$2:$E$3000))</f>
        <v/>
      </c>
      <c r="R350" s="27" t="str">
        <f aca="false">IF(A350="","",N(P350)+N(Q350))</f>
        <v/>
      </c>
      <c r="S350" s="28"/>
      <c r="T350" s="25"/>
      <c r="U350" s="26"/>
      <c r="V350" s="26"/>
      <c r="W350" s="26"/>
      <c r="X350" s="27" t="str">
        <f aca="false">IF(B350&lt;&gt;"SOLD","",IF(C350="Consignment",N(W350)-R350,N(U350)-R350-N(V350)))</f>
        <v/>
      </c>
      <c r="Y350" s="29" t="str">
        <f aca="false">IF(OR(X350="",N(R350)=0),"",X350/R350)</f>
        <v/>
      </c>
      <c r="Z350" s="30" t="str">
        <f aca="true">IF(O350="","",IF(T350="",TODAY(),T350)-O350)</f>
        <v/>
      </c>
      <c r="AA350" s="31" t="str">
        <f aca="false">IF(T350="","",TEXT(T350,"YYYY-MM"))</f>
        <v/>
      </c>
      <c r="AB350" s="27" t="str">
        <f aca="false">IF(X350="","",X350/2)</f>
        <v/>
      </c>
      <c r="AC350" s="21"/>
    </row>
    <row r="351" customFormat="false" ht="15" hidden="false" customHeight="false" outlineLevel="0" collapsed="false">
      <c r="A351" s="20"/>
      <c r="B351" s="21"/>
      <c r="C351" s="21"/>
      <c r="D351" s="21"/>
      <c r="E351" s="21"/>
      <c r="F351" s="21"/>
      <c r="G351" s="22"/>
      <c r="H351" s="21"/>
      <c r="I351" s="21"/>
      <c r="J351" s="21"/>
      <c r="K351" s="23"/>
      <c r="L351" s="24"/>
      <c r="M351" s="21"/>
      <c r="N351" s="21"/>
      <c r="O351" s="25"/>
      <c r="P351" s="26"/>
      <c r="Q351" s="27" t="str">
        <f aca="false">IF(A351="","",SUMIF(Expenses!$B$2:$B$3000,A351,Expenses!$E$2:$E$3000))</f>
        <v/>
      </c>
      <c r="R351" s="27" t="str">
        <f aca="false">IF(A351="","",N(P351)+N(Q351))</f>
        <v/>
      </c>
      <c r="S351" s="28"/>
      <c r="T351" s="25"/>
      <c r="U351" s="26"/>
      <c r="V351" s="26"/>
      <c r="W351" s="26"/>
      <c r="X351" s="27" t="str">
        <f aca="false">IF(B351&lt;&gt;"SOLD","",IF(C351="Consignment",N(W351)-R351,N(U351)-R351-N(V351)))</f>
        <v/>
      </c>
      <c r="Y351" s="29" t="str">
        <f aca="false">IF(OR(X351="",N(R351)=0),"",X351/R351)</f>
        <v/>
      </c>
      <c r="Z351" s="30" t="str">
        <f aca="true">IF(O351="","",IF(T351="",TODAY(),T351)-O351)</f>
        <v/>
      </c>
      <c r="AA351" s="31" t="str">
        <f aca="false">IF(T351="","",TEXT(T351,"YYYY-MM"))</f>
        <v/>
      </c>
      <c r="AB351" s="27" t="str">
        <f aca="false">IF(X351="","",X351/2)</f>
        <v/>
      </c>
      <c r="AC351" s="21"/>
    </row>
    <row r="352" customFormat="false" ht="15" hidden="false" customHeight="false" outlineLevel="0" collapsed="false">
      <c r="A352" s="20"/>
      <c r="B352" s="21"/>
      <c r="C352" s="21"/>
      <c r="D352" s="21"/>
      <c r="E352" s="21"/>
      <c r="F352" s="21"/>
      <c r="G352" s="22"/>
      <c r="H352" s="21"/>
      <c r="I352" s="21"/>
      <c r="J352" s="21"/>
      <c r="K352" s="23"/>
      <c r="L352" s="24"/>
      <c r="M352" s="21"/>
      <c r="N352" s="21"/>
      <c r="O352" s="25"/>
      <c r="P352" s="26"/>
      <c r="Q352" s="27" t="str">
        <f aca="false">IF(A352="","",SUMIF(Expenses!$B$2:$B$3000,A352,Expenses!$E$2:$E$3000))</f>
        <v/>
      </c>
      <c r="R352" s="27" t="str">
        <f aca="false">IF(A352="","",N(P352)+N(Q352))</f>
        <v/>
      </c>
      <c r="S352" s="28"/>
      <c r="T352" s="25"/>
      <c r="U352" s="26"/>
      <c r="V352" s="26"/>
      <c r="W352" s="26"/>
      <c r="X352" s="27" t="str">
        <f aca="false">IF(B352&lt;&gt;"SOLD","",IF(C352="Consignment",N(W352)-R352,N(U352)-R352-N(V352)))</f>
        <v/>
      </c>
      <c r="Y352" s="29" t="str">
        <f aca="false">IF(OR(X352="",N(R352)=0),"",X352/R352)</f>
        <v/>
      </c>
      <c r="Z352" s="30" t="str">
        <f aca="true">IF(O352="","",IF(T352="",TODAY(),T352)-O352)</f>
        <v/>
      </c>
      <c r="AA352" s="31" t="str">
        <f aca="false">IF(T352="","",TEXT(T352,"YYYY-MM"))</f>
        <v/>
      </c>
      <c r="AB352" s="27" t="str">
        <f aca="false">IF(X352="","",X352/2)</f>
        <v/>
      </c>
      <c r="AC352" s="21"/>
    </row>
    <row r="353" customFormat="false" ht="15" hidden="false" customHeight="false" outlineLevel="0" collapsed="false">
      <c r="A353" s="20"/>
      <c r="B353" s="21"/>
      <c r="C353" s="21"/>
      <c r="D353" s="21"/>
      <c r="E353" s="21"/>
      <c r="F353" s="21"/>
      <c r="G353" s="22"/>
      <c r="H353" s="21"/>
      <c r="I353" s="21"/>
      <c r="J353" s="21"/>
      <c r="K353" s="23"/>
      <c r="L353" s="24"/>
      <c r="M353" s="21"/>
      <c r="N353" s="21"/>
      <c r="O353" s="25"/>
      <c r="P353" s="26"/>
      <c r="Q353" s="27" t="str">
        <f aca="false">IF(A353="","",SUMIF(Expenses!$B$2:$B$3000,A353,Expenses!$E$2:$E$3000))</f>
        <v/>
      </c>
      <c r="R353" s="27" t="str">
        <f aca="false">IF(A353="","",N(P353)+N(Q353))</f>
        <v/>
      </c>
      <c r="S353" s="28"/>
      <c r="T353" s="25"/>
      <c r="U353" s="26"/>
      <c r="V353" s="26"/>
      <c r="W353" s="26"/>
      <c r="X353" s="27" t="str">
        <f aca="false">IF(B353&lt;&gt;"SOLD","",IF(C353="Consignment",N(W353)-R353,N(U353)-R353-N(V353)))</f>
        <v/>
      </c>
      <c r="Y353" s="29" t="str">
        <f aca="false">IF(OR(X353="",N(R353)=0),"",X353/R353)</f>
        <v/>
      </c>
      <c r="Z353" s="30" t="str">
        <f aca="true">IF(O353="","",IF(T353="",TODAY(),T353)-O353)</f>
        <v/>
      </c>
      <c r="AA353" s="31" t="str">
        <f aca="false">IF(T353="","",TEXT(T353,"YYYY-MM"))</f>
        <v/>
      </c>
      <c r="AB353" s="27" t="str">
        <f aca="false">IF(X353="","",X353/2)</f>
        <v/>
      </c>
      <c r="AC353" s="21"/>
    </row>
    <row r="354" customFormat="false" ht="15" hidden="false" customHeight="false" outlineLevel="0" collapsed="false">
      <c r="A354" s="20"/>
      <c r="B354" s="21"/>
      <c r="C354" s="21"/>
      <c r="D354" s="21"/>
      <c r="E354" s="21"/>
      <c r="F354" s="21"/>
      <c r="G354" s="22"/>
      <c r="H354" s="21"/>
      <c r="I354" s="21"/>
      <c r="J354" s="21"/>
      <c r="K354" s="23"/>
      <c r="L354" s="24"/>
      <c r="M354" s="21"/>
      <c r="N354" s="21"/>
      <c r="O354" s="25"/>
      <c r="P354" s="26"/>
      <c r="Q354" s="27" t="str">
        <f aca="false">IF(A354="","",SUMIF(Expenses!$B$2:$B$3000,A354,Expenses!$E$2:$E$3000))</f>
        <v/>
      </c>
      <c r="R354" s="27" t="str">
        <f aca="false">IF(A354="","",N(P354)+N(Q354))</f>
        <v/>
      </c>
      <c r="S354" s="28"/>
      <c r="T354" s="25"/>
      <c r="U354" s="26"/>
      <c r="V354" s="26"/>
      <c r="W354" s="26"/>
      <c r="X354" s="27" t="str">
        <f aca="false">IF(B354&lt;&gt;"SOLD","",IF(C354="Consignment",N(W354)-R354,N(U354)-R354-N(V354)))</f>
        <v/>
      </c>
      <c r="Y354" s="29" t="str">
        <f aca="false">IF(OR(X354="",N(R354)=0),"",X354/R354)</f>
        <v/>
      </c>
      <c r="Z354" s="30" t="str">
        <f aca="true">IF(O354="","",IF(T354="",TODAY(),T354)-O354)</f>
        <v/>
      </c>
      <c r="AA354" s="31" t="str">
        <f aca="false">IF(T354="","",TEXT(T354,"YYYY-MM"))</f>
        <v/>
      </c>
      <c r="AB354" s="27" t="str">
        <f aca="false">IF(X354="","",X354/2)</f>
        <v/>
      </c>
      <c r="AC354" s="21"/>
    </row>
    <row r="355" customFormat="false" ht="15" hidden="false" customHeight="false" outlineLevel="0" collapsed="false">
      <c r="A355" s="20"/>
      <c r="B355" s="21"/>
      <c r="C355" s="21"/>
      <c r="D355" s="21"/>
      <c r="E355" s="21"/>
      <c r="F355" s="21"/>
      <c r="G355" s="22"/>
      <c r="H355" s="21"/>
      <c r="I355" s="21"/>
      <c r="J355" s="21"/>
      <c r="K355" s="23"/>
      <c r="L355" s="24"/>
      <c r="M355" s="21"/>
      <c r="N355" s="21"/>
      <c r="O355" s="25"/>
      <c r="P355" s="26"/>
      <c r="Q355" s="27" t="str">
        <f aca="false">IF(A355="","",SUMIF(Expenses!$B$2:$B$3000,A355,Expenses!$E$2:$E$3000))</f>
        <v/>
      </c>
      <c r="R355" s="27" t="str">
        <f aca="false">IF(A355="","",N(P355)+N(Q355))</f>
        <v/>
      </c>
      <c r="S355" s="28"/>
      <c r="T355" s="25"/>
      <c r="U355" s="26"/>
      <c r="V355" s="26"/>
      <c r="W355" s="26"/>
      <c r="X355" s="27" t="str">
        <f aca="false">IF(B355&lt;&gt;"SOLD","",IF(C355="Consignment",N(W355)-R355,N(U355)-R355-N(V355)))</f>
        <v/>
      </c>
      <c r="Y355" s="29" t="str">
        <f aca="false">IF(OR(X355="",N(R355)=0),"",X355/R355)</f>
        <v/>
      </c>
      <c r="Z355" s="30" t="str">
        <f aca="true">IF(O355="","",IF(T355="",TODAY(),T355)-O355)</f>
        <v/>
      </c>
      <c r="AA355" s="31" t="str">
        <f aca="false">IF(T355="","",TEXT(T355,"YYYY-MM"))</f>
        <v/>
      </c>
      <c r="AB355" s="27" t="str">
        <f aca="false">IF(X355="","",X355/2)</f>
        <v/>
      </c>
      <c r="AC355" s="21"/>
    </row>
    <row r="356" customFormat="false" ht="15" hidden="false" customHeight="false" outlineLevel="0" collapsed="false">
      <c r="A356" s="20"/>
      <c r="B356" s="21"/>
      <c r="C356" s="21"/>
      <c r="D356" s="21"/>
      <c r="E356" s="21"/>
      <c r="F356" s="21"/>
      <c r="G356" s="22"/>
      <c r="H356" s="21"/>
      <c r="I356" s="21"/>
      <c r="J356" s="21"/>
      <c r="K356" s="23"/>
      <c r="L356" s="24"/>
      <c r="M356" s="21"/>
      <c r="N356" s="21"/>
      <c r="O356" s="25"/>
      <c r="P356" s="26"/>
      <c r="Q356" s="27" t="str">
        <f aca="false">IF(A356="","",SUMIF(Expenses!$B$2:$B$3000,A356,Expenses!$E$2:$E$3000))</f>
        <v/>
      </c>
      <c r="R356" s="27" t="str">
        <f aca="false">IF(A356="","",N(P356)+N(Q356))</f>
        <v/>
      </c>
      <c r="S356" s="28"/>
      <c r="T356" s="25"/>
      <c r="U356" s="26"/>
      <c r="V356" s="26"/>
      <c r="W356" s="26"/>
      <c r="X356" s="27" t="str">
        <f aca="false">IF(B356&lt;&gt;"SOLD","",IF(C356="Consignment",N(W356)-R356,N(U356)-R356-N(V356)))</f>
        <v/>
      </c>
      <c r="Y356" s="29" t="str">
        <f aca="false">IF(OR(X356="",N(R356)=0),"",X356/R356)</f>
        <v/>
      </c>
      <c r="Z356" s="30" t="str">
        <f aca="true">IF(O356="","",IF(T356="",TODAY(),T356)-O356)</f>
        <v/>
      </c>
      <c r="AA356" s="31" t="str">
        <f aca="false">IF(T356="","",TEXT(T356,"YYYY-MM"))</f>
        <v/>
      </c>
      <c r="AB356" s="27" t="str">
        <f aca="false">IF(X356="","",X356/2)</f>
        <v/>
      </c>
      <c r="AC356" s="21"/>
    </row>
    <row r="357" customFormat="false" ht="15" hidden="false" customHeight="false" outlineLevel="0" collapsed="false">
      <c r="A357" s="20"/>
      <c r="B357" s="21"/>
      <c r="C357" s="21"/>
      <c r="D357" s="21"/>
      <c r="E357" s="21"/>
      <c r="F357" s="21"/>
      <c r="G357" s="22"/>
      <c r="H357" s="21"/>
      <c r="I357" s="21"/>
      <c r="J357" s="21"/>
      <c r="K357" s="23"/>
      <c r="L357" s="24"/>
      <c r="M357" s="21"/>
      <c r="N357" s="21"/>
      <c r="O357" s="25"/>
      <c r="P357" s="26"/>
      <c r="Q357" s="27" t="str">
        <f aca="false">IF(A357="","",SUMIF(Expenses!$B$2:$B$3000,A357,Expenses!$E$2:$E$3000))</f>
        <v/>
      </c>
      <c r="R357" s="27" t="str">
        <f aca="false">IF(A357="","",N(P357)+N(Q357))</f>
        <v/>
      </c>
      <c r="S357" s="28"/>
      <c r="T357" s="25"/>
      <c r="U357" s="26"/>
      <c r="V357" s="26"/>
      <c r="W357" s="26"/>
      <c r="X357" s="27" t="str">
        <f aca="false">IF(B357&lt;&gt;"SOLD","",IF(C357="Consignment",N(W357)-R357,N(U357)-R357-N(V357)))</f>
        <v/>
      </c>
      <c r="Y357" s="29" t="str">
        <f aca="false">IF(OR(X357="",N(R357)=0),"",X357/R357)</f>
        <v/>
      </c>
      <c r="Z357" s="30" t="str">
        <f aca="true">IF(O357="","",IF(T357="",TODAY(),T357)-O357)</f>
        <v/>
      </c>
      <c r="AA357" s="31" t="str">
        <f aca="false">IF(T357="","",TEXT(T357,"YYYY-MM"))</f>
        <v/>
      </c>
      <c r="AB357" s="27" t="str">
        <f aca="false">IF(X357="","",X357/2)</f>
        <v/>
      </c>
      <c r="AC357" s="21"/>
    </row>
    <row r="358" customFormat="false" ht="15" hidden="false" customHeight="false" outlineLevel="0" collapsed="false">
      <c r="A358" s="20"/>
      <c r="B358" s="21"/>
      <c r="C358" s="21"/>
      <c r="D358" s="21"/>
      <c r="E358" s="21"/>
      <c r="F358" s="21"/>
      <c r="G358" s="22"/>
      <c r="H358" s="21"/>
      <c r="I358" s="21"/>
      <c r="J358" s="21"/>
      <c r="K358" s="23"/>
      <c r="L358" s="24"/>
      <c r="M358" s="21"/>
      <c r="N358" s="21"/>
      <c r="O358" s="25"/>
      <c r="P358" s="26"/>
      <c r="Q358" s="27" t="str">
        <f aca="false">IF(A358="","",SUMIF(Expenses!$B$2:$B$3000,A358,Expenses!$E$2:$E$3000))</f>
        <v/>
      </c>
      <c r="R358" s="27" t="str">
        <f aca="false">IF(A358="","",N(P358)+N(Q358))</f>
        <v/>
      </c>
      <c r="S358" s="28"/>
      <c r="T358" s="25"/>
      <c r="U358" s="26"/>
      <c r="V358" s="26"/>
      <c r="W358" s="26"/>
      <c r="X358" s="27" t="str">
        <f aca="false">IF(B358&lt;&gt;"SOLD","",IF(C358="Consignment",N(W358)-R358,N(U358)-R358-N(V358)))</f>
        <v/>
      </c>
      <c r="Y358" s="29" t="str">
        <f aca="false">IF(OR(X358="",N(R358)=0),"",X358/R358)</f>
        <v/>
      </c>
      <c r="Z358" s="30" t="str">
        <f aca="true">IF(O358="","",IF(T358="",TODAY(),T358)-O358)</f>
        <v/>
      </c>
      <c r="AA358" s="31" t="str">
        <f aca="false">IF(T358="","",TEXT(T358,"YYYY-MM"))</f>
        <v/>
      </c>
      <c r="AB358" s="27" t="str">
        <f aca="false">IF(X358="","",X358/2)</f>
        <v/>
      </c>
      <c r="AC358" s="21"/>
    </row>
    <row r="359" customFormat="false" ht="15" hidden="false" customHeight="false" outlineLevel="0" collapsed="false">
      <c r="A359" s="20"/>
      <c r="B359" s="21"/>
      <c r="C359" s="21"/>
      <c r="D359" s="21"/>
      <c r="E359" s="21"/>
      <c r="F359" s="21"/>
      <c r="G359" s="22"/>
      <c r="H359" s="21"/>
      <c r="I359" s="21"/>
      <c r="J359" s="21"/>
      <c r="K359" s="23"/>
      <c r="L359" s="24"/>
      <c r="M359" s="21"/>
      <c r="N359" s="21"/>
      <c r="O359" s="25"/>
      <c r="P359" s="26"/>
      <c r="Q359" s="27" t="str">
        <f aca="false">IF(A359="","",SUMIF(Expenses!$B$2:$B$3000,A359,Expenses!$E$2:$E$3000))</f>
        <v/>
      </c>
      <c r="R359" s="27" t="str">
        <f aca="false">IF(A359="","",N(P359)+N(Q359))</f>
        <v/>
      </c>
      <c r="S359" s="28"/>
      <c r="T359" s="25"/>
      <c r="U359" s="26"/>
      <c r="V359" s="26"/>
      <c r="W359" s="26"/>
      <c r="X359" s="27" t="str">
        <f aca="false">IF(B359&lt;&gt;"SOLD","",IF(C359="Consignment",N(W359)-R359,N(U359)-R359-N(V359)))</f>
        <v/>
      </c>
      <c r="Y359" s="29" t="str">
        <f aca="false">IF(OR(X359="",N(R359)=0),"",X359/R359)</f>
        <v/>
      </c>
      <c r="Z359" s="30" t="str">
        <f aca="true">IF(O359="","",IF(T359="",TODAY(),T359)-O359)</f>
        <v/>
      </c>
      <c r="AA359" s="31" t="str">
        <f aca="false">IF(T359="","",TEXT(T359,"YYYY-MM"))</f>
        <v/>
      </c>
      <c r="AB359" s="27" t="str">
        <f aca="false">IF(X359="","",X359/2)</f>
        <v/>
      </c>
      <c r="AC359" s="21"/>
    </row>
    <row r="360" customFormat="false" ht="15" hidden="false" customHeight="false" outlineLevel="0" collapsed="false">
      <c r="A360" s="20"/>
      <c r="B360" s="21"/>
      <c r="C360" s="21"/>
      <c r="D360" s="21"/>
      <c r="E360" s="21"/>
      <c r="F360" s="21"/>
      <c r="G360" s="22"/>
      <c r="H360" s="21"/>
      <c r="I360" s="21"/>
      <c r="J360" s="21"/>
      <c r="K360" s="23"/>
      <c r="L360" s="24"/>
      <c r="M360" s="21"/>
      <c r="N360" s="21"/>
      <c r="O360" s="25"/>
      <c r="P360" s="26"/>
      <c r="Q360" s="27" t="str">
        <f aca="false">IF(A360="","",SUMIF(Expenses!$B$2:$B$3000,A360,Expenses!$E$2:$E$3000))</f>
        <v/>
      </c>
      <c r="R360" s="27" t="str">
        <f aca="false">IF(A360="","",N(P360)+N(Q360))</f>
        <v/>
      </c>
      <c r="S360" s="28"/>
      <c r="T360" s="25"/>
      <c r="U360" s="26"/>
      <c r="V360" s="26"/>
      <c r="W360" s="26"/>
      <c r="X360" s="27" t="str">
        <f aca="false">IF(B360&lt;&gt;"SOLD","",IF(C360="Consignment",N(W360)-R360,N(U360)-R360-N(V360)))</f>
        <v/>
      </c>
      <c r="Y360" s="29" t="str">
        <f aca="false">IF(OR(X360="",N(R360)=0),"",X360/R360)</f>
        <v/>
      </c>
      <c r="Z360" s="30" t="str">
        <f aca="true">IF(O360="","",IF(T360="",TODAY(),T360)-O360)</f>
        <v/>
      </c>
      <c r="AA360" s="31" t="str">
        <f aca="false">IF(T360="","",TEXT(T360,"YYYY-MM"))</f>
        <v/>
      </c>
      <c r="AB360" s="27" t="str">
        <f aca="false">IF(X360="","",X360/2)</f>
        <v/>
      </c>
      <c r="AC360" s="21"/>
    </row>
    <row r="361" customFormat="false" ht="15" hidden="false" customHeight="false" outlineLevel="0" collapsed="false">
      <c r="A361" s="20"/>
      <c r="B361" s="21"/>
      <c r="C361" s="21"/>
      <c r="D361" s="21"/>
      <c r="E361" s="21"/>
      <c r="F361" s="21"/>
      <c r="G361" s="22"/>
      <c r="H361" s="21"/>
      <c r="I361" s="21"/>
      <c r="J361" s="21"/>
      <c r="K361" s="23"/>
      <c r="L361" s="24"/>
      <c r="M361" s="21"/>
      <c r="N361" s="21"/>
      <c r="O361" s="25"/>
      <c r="P361" s="26"/>
      <c r="Q361" s="27" t="str">
        <f aca="false">IF(A361="","",SUMIF(Expenses!$B$2:$B$3000,A361,Expenses!$E$2:$E$3000))</f>
        <v/>
      </c>
      <c r="R361" s="27" t="str">
        <f aca="false">IF(A361="","",N(P361)+N(Q361))</f>
        <v/>
      </c>
      <c r="S361" s="28"/>
      <c r="T361" s="25"/>
      <c r="U361" s="26"/>
      <c r="V361" s="26"/>
      <c r="W361" s="26"/>
      <c r="X361" s="27" t="str">
        <f aca="false">IF(B361&lt;&gt;"SOLD","",IF(C361="Consignment",N(W361)-R361,N(U361)-R361-N(V361)))</f>
        <v/>
      </c>
      <c r="Y361" s="29" t="str">
        <f aca="false">IF(OR(X361="",N(R361)=0),"",X361/R361)</f>
        <v/>
      </c>
      <c r="Z361" s="30" t="str">
        <f aca="true">IF(O361="","",IF(T361="",TODAY(),T361)-O361)</f>
        <v/>
      </c>
      <c r="AA361" s="31" t="str">
        <f aca="false">IF(T361="","",TEXT(T361,"YYYY-MM"))</f>
        <v/>
      </c>
      <c r="AB361" s="27" t="str">
        <f aca="false">IF(X361="","",X361/2)</f>
        <v/>
      </c>
      <c r="AC361" s="21"/>
    </row>
    <row r="362" customFormat="false" ht="15" hidden="false" customHeight="false" outlineLevel="0" collapsed="false">
      <c r="A362" s="20"/>
      <c r="B362" s="21"/>
      <c r="C362" s="21"/>
      <c r="D362" s="21"/>
      <c r="E362" s="21"/>
      <c r="F362" s="21"/>
      <c r="G362" s="22"/>
      <c r="H362" s="21"/>
      <c r="I362" s="21"/>
      <c r="J362" s="21"/>
      <c r="K362" s="23"/>
      <c r="L362" s="24"/>
      <c r="M362" s="21"/>
      <c r="N362" s="21"/>
      <c r="O362" s="25"/>
      <c r="P362" s="26"/>
      <c r="Q362" s="27" t="str">
        <f aca="false">IF(A362="","",SUMIF(Expenses!$B$2:$B$3000,A362,Expenses!$E$2:$E$3000))</f>
        <v/>
      </c>
      <c r="R362" s="27" t="str">
        <f aca="false">IF(A362="","",N(P362)+N(Q362))</f>
        <v/>
      </c>
      <c r="S362" s="28"/>
      <c r="T362" s="25"/>
      <c r="U362" s="26"/>
      <c r="V362" s="26"/>
      <c r="W362" s="26"/>
      <c r="X362" s="27" t="str">
        <f aca="false">IF(B362&lt;&gt;"SOLD","",IF(C362="Consignment",N(W362)-R362,N(U362)-R362-N(V362)))</f>
        <v/>
      </c>
      <c r="Y362" s="29" t="str">
        <f aca="false">IF(OR(X362="",N(R362)=0),"",X362/R362)</f>
        <v/>
      </c>
      <c r="Z362" s="30" t="str">
        <f aca="true">IF(O362="","",IF(T362="",TODAY(),T362)-O362)</f>
        <v/>
      </c>
      <c r="AA362" s="31" t="str">
        <f aca="false">IF(T362="","",TEXT(T362,"YYYY-MM"))</f>
        <v/>
      </c>
      <c r="AB362" s="27" t="str">
        <f aca="false">IF(X362="","",X362/2)</f>
        <v/>
      </c>
      <c r="AC362" s="21"/>
    </row>
    <row r="363" customFormat="false" ht="15" hidden="false" customHeight="false" outlineLevel="0" collapsed="false">
      <c r="A363" s="20"/>
      <c r="B363" s="21"/>
      <c r="C363" s="21"/>
      <c r="D363" s="21"/>
      <c r="E363" s="21"/>
      <c r="F363" s="21"/>
      <c r="G363" s="22"/>
      <c r="H363" s="21"/>
      <c r="I363" s="21"/>
      <c r="J363" s="21"/>
      <c r="K363" s="23"/>
      <c r="L363" s="24"/>
      <c r="M363" s="21"/>
      <c r="N363" s="21"/>
      <c r="O363" s="25"/>
      <c r="P363" s="26"/>
      <c r="Q363" s="27" t="str">
        <f aca="false">IF(A363="","",SUMIF(Expenses!$B$2:$B$3000,A363,Expenses!$E$2:$E$3000))</f>
        <v/>
      </c>
      <c r="R363" s="27" t="str">
        <f aca="false">IF(A363="","",N(P363)+N(Q363))</f>
        <v/>
      </c>
      <c r="S363" s="28"/>
      <c r="T363" s="25"/>
      <c r="U363" s="26"/>
      <c r="V363" s="26"/>
      <c r="W363" s="26"/>
      <c r="X363" s="27" t="str">
        <f aca="false">IF(B363&lt;&gt;"SOLD","",IF(C363="Consignment",N(W363)-R363,N(U363)-R363-N(V363)))</f>
        <v/>
      </c>
      <c r="Y363" s="29" t="str">
        <f aca="false">IF(OR(X363="",N(R363)=0),"",X363/R363)</f>
        <v/>
      </c>
      <c r="Z363" s="30" t="str">
        <f aca="true">IF(O363="","",IF(T363="",TODAY(),T363)-O363)</f>
        <v/>
      </c>
      <c r="AA363" s="31" t="str">
        <f aca="false">IF(T363="","",TEXT(T363,"YYYY-MM"))</f>
        <v/>
      </c>
      <c r="AB363" s="27" t="str">
        <f aca="false">IF(X363="","",X363/2)</f>
        <v/>
      </c>
      <c r="AC363" s="21"/>
    </row>
    <row r="364" customFormat="false" ht="15" hidden="false" customHeight="false" outlineLevel="0" collapsed="false">
      <c r="A364" s="20"/>
      <c r="B364" s="21"/>
      <c r="C364" s="21"/>
      <c r="D364" s="21"/>
      <c r="E364" s="21"/>
      <c r="F364" s="21"/>
      <c r="G364" s="22"/>
      <c r="H364" s="21"/>
      <c r="I364" s="21"/>
      <c r="J364" s="21"/>
      <c r="K364" s="23"/>
      <c r="L364" s="24"/>
      <c r="M364" s="21"/>
      <c r="N364" s="21"/>
      <c r="O364" s="25"/>
      <c r="P364" s="26"/>
      <c r="Q364" s="27" t="str">
        <f aca="false">IF(A364="","",SUMIF(Expenses!$B$2:$B$3000,A364,Expenses!$E$2:$E$3000))</f>
        <v/>
      </c>
      <c r="R364" s="27" t="str">
        <f aca="false">IF(A364="","",N(P364)+N(Q364))</f>
        <v/>
      </c>
      <c r="S364" s="28"/>
      <c r="T364" s="25"/>
      <c r="U364" s="26"/>
      <c r="V364" s="26"/>
      <c r="W364" s="26"/>
      <c r="X364" s="27" t="str">
        <f aca="false">IF(B364&lt;&gt;"SOLD","",IF(C364="Consignment",N(W364)-R364,N(U364)-R364-N(V364)))</f>
        <v/>
      </c>
      <c r="Y364" s="29" t="str">
        <f aca="false">IF(OR(X364="",N(R364)=0),"",X364/R364)</f>
        <v/>
      </c>
      <c r="Z364" s="30" t="str">
        <f aca="true">IF(O364="","",IF(T364="",TODAY(),T364)-O364)</f>
        <v/>
      </c>
      <c r="AA364" s="31" t="str">
        <f aca="false">IF(T364="","",TEXT(T364,"YYYY-MM"))</f>
        <v/>
      </c>
      <c r="AB364" s="27" t="str">
        <f aca="false">IF(X364="","",X364/2)</f>
        <v/>
      </c>
      <c r="AC364" s="21"/>
    </row>
    <row r="365" customFormat="false" ht="15" hidden="false" customHeight="false" outlineLevel="0" collapsed="false">
      <c r="A365" s="20"/>
      <c r="B365" s="21"/>
      <c r="C365" s="21"/>
      <c r="D365" s="21"/>
      <c r="E365" s="21"/>
      <c r="F365" s="21"/>
      <c r="G365" s="22"/>
      <c r="H365" s="21"/>
      <c r="I365" s="21"/>
      <c r="J365" s="21"/>
      <c r="K365" s="23"/>
      <c r="L365" s="24"/>
      <c r="M365" s="21"/>
      <c r="N365" s="21"/>
      <c r="O365" s="25"/>
      <c r="P365" s="26"/>
      <c r="Q365" s="27" t="str">
        <f aca="false">IF(A365="","",SUMIF(Expenses!$B$2:$B$3000,A365,Expenses!$E$2:$E$3000))</f>
        <v/>
      </c>
      <c r="R365" s="27" t="str">
        <f aca="false">IF(A365="","",N(P365)+N(Q365))</f>
        <v/>
      </c>
      <c r="S365" s="28"/>
      <c r="T365" s="25"/>
      <c r="U365" s="26"/>
      <c r="V365" s="26"/>
      <c r="W365" s="26"/>
      <c r="X365" s="27" t="str">
        <f aca="false">IF(B365&lt;&gt;"SOLD","",IF(C365="Consignment",N(W365)-R365,N(U365)-R365-N(V365)))</f>
        <v/>
      </c>
      <c r="Y365" s="29" t="str">
        <f aca="false">IF(OR(X365="",N(R365)=0),"",X365/R365)</f>
        <v/>
      </c>
      <c r="Z365" s="30" t="str">
        <f aca="true">IF(O365="","",IF(T365="",TODAY(),T365)-O365)</f>
        <v/>
      </c>
      <c r="AA365" s="31" t="str">
        <f aca="false">IF(T365="","",TEXT(T365,"YYYY-MM"))</f>
        <v/>
      </c>
      <c r="AB365" s="27" t="str">
        <f aca="false">IF(X365="","",X365/2)</f>
        <v/>
      </c>
      <c r="AC365" s="21"/>
    </row>
    <row r="366" customFormat="false" ht="15" hidden="false" customHeight="false" outlineLevel="0" collapsed="false">
      <c r="A366" s="20"/>
      <c r="B366" s="21"/>
      <c r="C366" s="21"/>
      <c r="D366" s="21"/>
      <c r="E366" s="21"/>
      <c r="F366" s="21"/>
      <c r="G366" s="22"/>
      <c r="H366" s="21"/>
      <c r="I366" s="21"/>
      <c r="J366" s="21"/>
      <c r="K366" s="23"/>
      <c r="L366" s="24"/>
      <c r="M366" s="21"/>
      <c r="N366" s="21"/>
      <c r="O366" s="25"/>
      <c r="P366" s="26"/>
      <c r="Q366" s="27" t="str">
        <f aca="false">IF(A366="","",SUMIF(Expenses!$B$2:$B$3000,A366,Expenses!$E$2:$E$3000))</f>
        <v/>
      </c>
      <c r="R366" s="27" t="str">
        <f aca="false">IF(A366="","",N(P366)+N(Q366))</f>
        <v/>
      </c>
      <c r="S366" s="28"/>
      <c r="T366" s="25"/>
      <c r="U366" s="26"/>
      <c r="V366" s="26"/>
      <c r="W366" s="26"/>
      <c r="X366" s="27" t="str">
        <f aca="false">IF(B366&lt;&gt;"SOLD","",IF(C366="Consignment",N(W366)-R366,N(U366)-R366-N(V366)))</f>
        <v/>
      </c>
      <c r="Y366" s="29" t="str">
        <f aca="false">IF(OR(X366="",N(R366)=0),"",X366/R366)</f>
        <v/>
      </c>
      <c r="Z366" s="30" t="str">
        <f aca="true">IF(O366="","",IF(T366="",TODAY(),T366)-O366)</f>
        <v/>
      </c>
      <c r="AA366" s="31" t="str">
        <f aca="false">IF(T366="","",TEXT(T366,"YYYY-MM"))</f>
        <v/>
      </c>
      <c r="AB366" s="27" t="str">
        <f aca="false">IF(X366="","",X366/2)</f>
        <v/>
      </c>
      <c r="AC366" s="21"/>
    </row>
    <row r="367" customFormat="false" ht="15" hidden="false" customHeight="false" outlineLevel="0" collapsed="false">
      <c r="A367" s="20"/>
      <c r="B367" s="21"/>
      <c r="C367" s="21"/>
      <c r="D367" s="21"/>
      <c r="E367" s="21"/>
      <c r="F367" s="21"/>
      <c r="G367" s="22"/>
      <c r="H367" s="21"/>
      <c r="I367" s="21"/>
      <c r="J367" s="21"/>
      <c r="K367" s="23"/>
      <c r="L367" s="24"/>
      <c r="M367" s="21"/>
      <c r="N367" s="21"/>
      <c r="O367" s="25"/>
      <c r="P367" s="26"/>
      <c r="Q367" s="27" t="str">
        <f aca="false">IF(A367="","",SUMIF(Expenses!$B$2:$B$3000,A367,Expenses!$E$2:$E$3000))</f>
        <v/>
      </c>
      <c r="R367" s="27" t="str">
        <f aca="false">IF(A367="","",N(P367)+N(Q367))</f>
        <v/>
      </c>
      <c r="S367" s="28"/>
      <c r="T367" s="25"/>
      <c r="U367" s="26"/>
      <c r="V367" s="26"/>
      <c r="W367" s="26"/>
      <c r="X367" s="27" t="str">
        <f aca="false">IF(B367&lt;&gt;"SOLD","",IF(C367="Consignment",N(W367)-R367,N(U367)-R367-N(V367)))</f>
        <v/>
      </c>
      <c r="Y367" s="29" t="str">
        <f aca="false">IF(OR(X367="",N(R367)=0),"",X367/R367)</f>
        <v/>
      </c>
      <c r="Z367" s="30" t="str">
        <f aca="true">IF(O367="","",IF(T367="",TODAY(),T367)-O367)</f>
        <v/>
      </c>
      <c r="AA367" s="31" t="str">
        <f aca="false">IF(T367="","",TEXT(T367,"YYYY-MM"))</f>
        <v/>
      </c>
      <c r="AB367" s="27" t="str">
        <f aca="false">IF(X367="","",X367/2)</f>
        <v/>
      </c>
      <c r="AC367" s="21"/>
    </row>
    <row r="368" customFormat="false" ht="15" hidden="false" customHeight="false" outlineLevel="0" collapsed="false">
      <c r="A368" s="20"/>
      <c r="B368" s="21"/>
      <c r="C368" s="21"/>
      <c r="D368" s="21"/>
      <c r="E368" s="21"/>
      <c r="F368" s="21"/>
      <c r="G368" s="22"/>
      <c r="H368" s="21"/>
      <c r="I368" s="21"/>
      <c r="J368" s="21"/>
      <c r="K368" s="23"/>
      <c r="L368" s="24"/>
      <c r="M368" s="21"/>
      <c r="N368" s="21"/>
      <c r="O368" s="25"/>
      <c r="P368" s="26"/>
      <c r="Q368" s="27" t="str">
        <f aca="false">IF(A368="","",SUMIF(Expenses!$B$2:$B$3000,A368,Expenses!$E$2:$E$3000))</f>
        <v/>
      </c>
      <c r="R368" s="27" t="str">
        <f aca="false">IF(A368="","",N(P368)+N(Q368))</f>
        <v/>
      </c>
      <c r="S368" s="28"/>
      <c r="T368" s="25"/>
      <c r="U368" s="26"/>
      <c r="V368" s="26"/>
      <c r="W368" s="26"/>
      <c r="X368" s="27" t="str">
        <f aca="false">IF(B368&lt;&gt;"SOLD","",IF(C368="Consignment",N(W368)-R368,N(U368)-R368-N(V368)))</f>
        <v/>
      </c>
      <c r="Y368" s="29" t="str">
        <f aca="false">IF(OR(X368="",N(R368)=0),"",X368/R368)</f>
        <v/>
      </c>
      <c r="Z368" s="30" t="str">
        <f aca="true">IF(O368="","",IF(T368="",TODAY(),T368)-O368)</f>
        <v/>
      </c>
      <c r="AA368" s="31" t="str">
        <f aca="false">IF(T368="","",TEXT(T368,"YYYY-MM"))</f>
        <v/>
      </c>
      <c r="AB368" s="27" t="str">
        <f aca="false">IF(X368="","",X368/2)</f>
        <v/>
      </c>
      <c r="AC368" s="21"/>
    </row>
    <row r="369" customFormat="false" ht="15" hidden="false" customHeight="false" outlineLevel="0" collapsed="false">
      <c r="A369" s="20"/>
      <c r="B369" s="21"/>
      <c r="C369" s="21"/>
      <c r="D369" s="21"/>
      <c r="E369" s="21"/>
      <c r="F369" s="21"/>
      <c r="G369" s="22"/>
      <c r="H369" s="21"/>
      <c r="I369" s="21"/>
      <c r="J369" s="21"/>
      <c r="K369" s="23"/>
      <c r="L369" s="24"/>
      <c r="M369" s="21"/>
      <c r="N369" s="21"/>
      <c r="O369" s="25"/>
      <c r="P369" s="26"/>
      <c r="Q369" s="27" t="str">
        <f aca="false">IF(A369="","",SUMIF(Expenses!$B$2:$B$3000,A369,Expenses!$E$2:$E$3000))</f>
        <v/>
      </c>
      <c r="R369" s="27" t="str">
        <f aca="false">IF(A369="","",N(P369)+N(Q369))</f>
        <v/>
      </c>
      <c r="S369" s="28"/>
      <c r="T369" s="25"/>
      <c r="U369" s="26"/>
      <c r="V369" s="26"/>
      <c r="W369" s="26"/>
      <c r="X369" s="27" t="str">
        <f aca="false">IF(B369&lt;&gt;"SOLD","",IF(C369="Consignment",N(W369)-R369,N(U369)-R369-N(V369)))</f>
        <v/>
      </c>
      <c r="Y369" s="29" t="str">
        <f aca="false">IF(OR(X369="",N(R369)=0),"",X369/R369)</f>
        <v/>
      </c>
      <c r="Z369" s="30" t="str">
        <f aca="true">IF(O369="","",IF(T369="",TODAY(),T369)-O369)</f>
        <v/>
      </c>
      <c r="AA369" s="31" t="str">
        <f aca="false">IF(T369="","",TEXT(T369,"YYYY-MM"))</f>
        <v/>
      </c>
      <c r="AB369" s="27" t="str">
        <f aca="false">IF(X369="","",X369/2)</f>
        <v/>
      </c>
      <c r="AC369" s="21"/>
    </row>
    <row r="370" customFormat="false" ht="15" hidden="false" customHeight="false" outlineLevel="0" collapsed="false">
      <c r="A370" s="20"/>
      <c r="B370" s="21"/>
      <c r="C370" s="21"/>
      <c r="D370" s="21"/>
      <c r="E370" s="21"/>
      <c r="F370" s="21"/>
      <c r="G370" s="22"/>
      <c r="H370" s="21"/>
      <c r="I370" s="21"/>
      <c r="J370" s="21"/>
      <c r="K370" s="23"/>
      <c r="L370" s="24"/>
      <c r="M370" s="21"/>
      <c r="N370" s="21"/>
      <c r="O370" s="25"/>
      <c r="P370" s="26"/>
      <c r="Q370" s="27" t="str">
        <f aca="false">IF(A370="","",SUMIF(Expenses!$B$2:$B$3000,A370,Expenses!$E$2:$E$3000))</f>
        <v/>
      </c>
      <c r="R370" s="27" t="str">
        <f aca="false">IF(A370="","",N(P370)+N(Q370))</f>
        <v/>
      </c>
      <c r="S370" s="28"/>
      <c r="T370" s="25"/>
      <c r="U370" s="26"/>
      <c r="V370" s="26"/>
      <c r="W370" s="26"/>
      <c r="X370" s="27" t="str">
        <f aca="false">IF(B370&lt;&gt;"SOLD","",IF(C370="Consignment",N(W370)-R370,N(U370)-R370-N(V370)))</f>
        <v/>
      </c>
      <c r="Y370" s="29" t="str">
        <f aca="false">IF(OR(X370="",N(R370)=0),"",X370/R370)</f>
        <v/>
      </c>
      <c r="Z370" s="30" t="str">
        <f aca="true">IF(O370="","",IF(T370="",TODAY(),T370)-O370)</f>
        <v/>
      </c>
      <c r="AA370" s="31" t="str">
        <f aca="false">IF(T370="","",TEXT(T370,"YYYY-MM"))</f>
        <v/>
      </c>
      <c r="AB370" s="27" t="str">
        <f aca="false">IF(X370="","",X370/2)</f>
        <v/>
      </c>
      <c r="AC370" s="21"/>
    </row>
    <row r="371" customFormat="false" ht="15" hidden="false" customHeight="false" outlineLevel="0" collapsed="false">
      <c r="A371" s="20"/>
      <c r="B371" s="21"/>
      <c r="C371" s="21"/>
      <c r="D371" s="21"/>
      <c r="E371" s="21"/>
      <c r="F371" s="21"/>
      <c r="G371" s="22"/>
      <c r="H371" s="21"/>
      <c r="I371" s="21"/>
      <c r="J371" s="21"/>
      <c r="K371" s="23"/>
      <c r="L371" s="24"/>
      <c r="M371" s="21"/>
      <c r="N371" s="21"/>
      <c r="O371" s="25"/>
      <c r="P371" s="26"/>
      <c r="Q371" s="27" t="str">
        <f aca="false">IF(A371="","",SUMIF(Expenses!$B$2:$B$3000,A371,Expenses!$E$2:$E$3000))</f>
        <v/>
      </c>
      <c r="R371" s="27" t="str">
        <f aca="false">IF(A371="","",N(P371)+N(Q371))</f>
        <v/>
      </c>
      <c r="S371" s="28"/>
      <c r="T371" s="25"/>
      <c r="U371" s="26"/>
      <c r="V371" s="26"/>
      <c r="W371" s="26"/>
      <c r="X371" s="27" t="str">
        <f aca="false">IF(B371&lt;&gt;"SOLD","",IF(C371="Consignment",N(W371)-R371,N(U371)-R371-N(V371)))</f>
        <v/>
      </c>
      <c r="Y371" s="29" t="str">
        <f aca="false">IF(OR(X371="",N(R371)=0),"",X371/R371)</f>
        <v/>
      </c>
      <c r="Z371" s="30" t="str">
        <f aca="true">IF(O371="","",IF(T371="",TODAY(),T371)-O371)</f>
        <v/>
      </c>
      <c r="AA371" s="31" t="str">
        <f aca="false">IF(T371="","",TEXT(T371,"YYYY-MM"))</f>
        <v/>
      </c>
      <c r="AB371" s="27" t="str">
        <f aca="false">IF(X371="","",X371/2)</f>
        <v/>
      </c>
      <c r="AC371" s="21"/>
    </row>
    <row r="372" customFormat="false" ht="15" hidden="false" customHeight="false" outlineLevel="0" collapsed="false">
      <c r="A372" s="20"/>
      <c r="B372" s="21"/>
      <c r="C372" s="21"/>
      <c r="D372" s="21"/>
      <c r="E372" s="21"/>
      <c r="F372" s="21"/>
      <c r="G372" s="22"/>
      <c r="H372" s="21"/>
      <c r="I372" s="21"/>
      <c r="J372" s="21"/>
      <c r="K372" s="23"/>
      <c r="L372" s="24"/>
      <c r="M372" s="21"/>
      <c r="N372" s="21"/>
      <c r="O372" s="25"/>
      <c r="P372" s="26"/>
      <c r="Q372" s="27" t="str">
        <f aca="false">IF(A372="","",SUMIF(Expenses!$B$2:$B$3000,A372,Expenses!$E$2:$E$3000))</f>
        <v/>
      </c>
      <c r="R372" s="27" t="str">
        <f aca="false">IF(A372="","",N(P372)+N(Q372))</f>
        <v/>
      </c>
      <c r="S372" s="28"/>
      <c r="T372" s="25"/>
      <c r="U372" s="26"/>
      <c r="V372" s="26"/>
      <c r="W372" s="26"/>
      <c r="X372" s="27" t="str">
        <f aca="false">IF(B372&lt;&gt;"SOLD","",IF(C372="Consignment",N(W372)-R372,N(U372)-R372-N(V372)))</f>
        <v/>
      </c>
      <c r="Y372" s="29" t="str">
        <f aca="false">IF(OR(X372="",N(R372)=0),"",X372/R372)</f>
        <v/>
      </c>
      <c r="Z372" s="30" t="str">
        <f aca="true">IF(O372="","",IF(T372="",TODAY(),T372)-O372)</f>
        <v/>
      </c>
      <c r="AA372" s="31" t="str">
        <f aca="false">IF(T372="","",TEXT(T372,"YYYY-MM"))</f>
        <v/>
      </c>
      <c r="AB372" s="27" t="str">
        <f aca="false">IF(X372="","",X372/2)</f>
        <v/>
      </c>
      <c r="AC372" s="21"/>
    </row>
    <row r="373" customFormat="false" ht="15" hidden="false" customHeight="false" outlineLevel="0" collapsed="false">
      <c r="A373" s="20"/>
      <c r="B373" s="21"/>
      <c r="C373" s="21"/>
      <c r="D373" s="21"/>
      <c r="E373" s="21"/>
      <c r="F373" s="21"/>
      <c r="G373" s="22"/>
      <c r="H373" s="21"/>
      <c r="I373" s="21"/>
      <c r="J373" s="21"/>
      <c r="K373" s="23"/>
      <c r="L373" s="24"/>
      <c r="M373" s="21"/>
      <c r="N373" s="21"/>
      <c r="O373" s="25"/>
      <c r="P373" s="26"/>
      <c r="Q373" s="27" t="str">
        <f aca="false">IF(A373="","",SUMIF(Expenses!$B$2:$B$3000,A373,Expenses!$E$2:$E$3000))</f>
        <v/>
      </c>
      <c r="R373" s="27" t="str">
        <f aca="false">IF(A373="","",N(P373)+N(Q373))</f>
        <v/>
      </c>
      <c r="S373" s="28"/>
      <c r="T373" s="25"/>
      <c r="U373" s="26"/>
      <c r="V373" s="26"/>
      <c r="W373" s="26"/>
      <c r="X373" s="27" t="str">
        <f aca="false">IF(B373&lt;&gt;"SOLD","",IF(C373="Consignment",N(W373)-R373,N(U373)-R373-N(V373)))</f>
        <v/>
      </c>
      <c r="Y373" s="29" t="str">
        <f aca="false">IF(OR(X373="",N(R373)=0),"",X373/R373)</f>
        <v/>
      </c>
      <c r="Z373" s="30" t="str">
        <f aca="true">IF(O373="","",IF(T373="",TODAY(),T373)-O373)</f>
        <v/>
      </c>
      <c r="AA373" s="31" t="str">
        <f aca="false">IF(T373="","",TEXT(T373,"YYYY-MM"))</f>
        <v/>
      </c>
      <c r="AB373" s="27" t="str">
        <f aca="false">IF(X373="","",X373/2)</f>
        <v/>
      </c>
      <c r="AC373" s="21"/>
    </row>
    <row r="374" customFormat="false" ht="15" hidden="false" customHeight="false" outlineLevel="0" collapsed="false">
      <c r="A374" s="20"/>
      <c r="B374" s="21"/>
      <c r="C374" s="21"/>
      <c r="D374" s="21"/>
      <c r="E374" s="21"/>
      <c r="F374" s="21"/>
      <c r="G374" s="22"/>
      <c r="H374" s="21"/>
      <c r="I374" s="21"/>
      <c r="J374" s="21"/>
      <c r="K374" s="23"/>
      <c r="L374" s="24"/>
      <c r="M374" s="21"/>
      <c r="N374" s="21"/>
      <c r="O374" s="25"/>
      <c r="P374" s="26"/>
      <c r="Q374" s="27" t="str">
        <f aca="false">IF(A374="","",SUMIF(Expenses!$B$2:$B$3000,A374,Expenses!$E$2:$E$3000))</f>
        <v/>
      </c>
      <c r="R374" s="27" t="str">
        <f aca="false">IF(A374="","",N(P374)+N(Q374))</f>
        <v/>
      </c>
      <c r="S374" s="28"/>
      <c r="T374" s="25"/>
      <c r="U374" s="26"/>
      <c r="V374" s="26"/>
      <c r="W374" s="26"/>
      <c r="X374" s="27" t="str">
        <f aca="false">IF(B374&lt;&gt;"SOLD","",IF(C374="Consignment",N(W374)-R374,N(U374)-R374-N(V374)))</f>
        <v/>
      </c>
      <c r="Y374" s="29" t="str">
        <f aca="false">IF(OR(X374="",N(R374)=0),"",X374/R374)</f>
        <v/>
      </c>
      <c r="Z374" s="30" t="str">
        <f aca="true">IF(O374="","",IF(T374="",TODAY(),T374)-O374)</f>
        <v/>
      </c>
      <c r="AA374" s="31" t="str">
        <f aca="false">IF(T374="","",TEXT(T374,"YYYY-MM"))</f>
        <v/>
      </c>
      <c r="AB374" s="27" t="str">
        <f aca="false">IF(X374="","",X374/2)</f>
        <v/>
      </c>
      <c r="AC374" s="21"/>
    </row>
    <row r="375" customFormat="false" ht="15" hidden="false" customHeight="false" outlineLevel="0" collapsed="false">
      <c r="A375" s="20"/>
      <c r="B375" s="21"/>
      <c r="C375" s="21"/>
      <c r="D375" s="21"/>
      <c r="E375" s="21"/>
      <c r="F375" s="21"/>
      <c r="G375" s="22"/>
      <c r="H375" s="21"/>
      <c r="I375" s="21"/>
      <c r="J375" s="21"/>
      <c r="K375" s="23"/>
      <c r="L375" s="24"/>
      <c r="M375" s="21"/>
      <c r="N375" s="21"/>
      <c r="O375" s="25"/>
      <c r="P375" s="26"/>
      <c r="Q375" s="27" t="str">
        <f aca="false">IF(A375="","",SUMIF(Expenses!$B$2:$B$3000,A375,Expenses!$E$2:$E$3000))</f>
        <v/>
      </c>
      <c r="R375" s="27" t="str">
        <f aca="false">IF(A375="","",N(P375)+N(Q375))</f>
        <v/>
      </c>
      <c r="S375" s="28"/>
      <c r="T375" s="25"/>
      <c r="U375" s="26"/>
      <c r="V375" s="26"/>
      <c r="W375" s="26"/>
      <c r="X375" s="27" t="str">
        <f aca="false">IF(B375&lt;&gt;"SOLD","",IF(C375="Consignment",N(W375)-R375,N(U375)-R375-N(V375)))</f>
        <v/>
      </c>
      <c r="Y375" s="29" t="str">
        <f aca="false">IF(OR(X375="",N(R375)=0),"",X375/R375)</f>
        <v/>
      </c>
      <c r="Z375" s="30" t="str">
        <f aca="true">IF(O375="","",IF(T375="",TODAY(),T375)-O375)</f>
        <v/>
      </c>
      <c r="AA375" s="31" t="str">
        <f aca="false">IF(T375="","",TEXT(T375,"YYYY-MM"))</f>
        <v/>
      </c>
      <c r="AB375" s="27" t="str">
        <f aca="false">IF(X375="","",X375/2)</f>
        <v/>
      </c>
      <c r="AC375" s="21"/>
    </row>
    <row r="376" customFormat="false" ht="15" hidden="false" customHeight="false" outlineLevel="0" collapsed="false">
      <c r="A376" s="20"/>
      <c r="B376" s="21"/>
      <c r="C376" s="21"/>
      <c r="D376" s="21"/>
      <c r="E376" s="21"/>
      <c r="F376" s="21"/>
      <c r="G376" s="22"/>
      <c r="H376" s="21"/>
      <c r="I376" s="21"/>
      <c r="J376" s="21"/>
      <c r="K376" s="23"/>
      <c r="L376" s="24"/>
      <c r="M376" s="21"/>
      <c r="N376" s="21"/>
      <c r="O376" s="25"/>
      <c r="P376" s="26"/>
      <c r="Q376" s="27" t="str">
        <f aca="false">IF(A376="","",SUMIF(Expenses!$B$2:$B$3000,A376,Expenses!$E$2:$E$3000))</f>
        <v/>
      </c>
      <c r="R376" s="27" t="str">
        <f aca="false">IF(A376="","",N(P376)+N(Q376))</f>
        <v/>
      </c>
      <c r="S376" s="28"/>
      <c r="T376" s="25"/>
      <c r="U376" s="26"/>
      <c r="V376" s="26"/>
      <c r="W376" s="26"/>
      <c r="X376" s="27" t="str">
        <f aca="false">IF(B376&lt;&gt;"SOLD","",IF(C376="Consignment",N(W376)-R376,N(U376)-R376-N(V376)))</f>
        <v/>
      </c>
      <c r="Y376" s="29" t="str">
        <f aca="false">IF(OR(X376="",N(R376)=0),"",X376/R376)</f>
        <v/>
      </c>
      <c r="Z376" s="30" t="str">
        <f aca="true">IF(O376="","",IF(T376="",TODAY(),T376)-O376)</f>
        <v/>
      </c>
      <c r="AA376" s="31" t="str">
        <f aca="false">IF(T376="","",TEXT(T376,"YYYY-MM"))</f>
        <v/>
      </c>
      <c r="AB376" s="27" t="str">
        <f aca="false">IF(X376="","",X376/2)</f>
        <v/>
      </c>
      <c r="AC376" s="21"/>
    </row>
    <row r="377" customFormat="false" ht="15" hidden="false" customHeight="false" outlineLevel="0" collapsed="false">
      <c r="A377" s="20"/>
      <c r="B377" s="21"/>
      <c r="C377" s="21"/>
      <c r="D377" s="21"/>
      <c r="E377" s="21"/>
      <c r="F377" s="21"/>
      <c r="G377" s="22"/>
      <c r="H377" s="21"/>
      <c r="I377" s="21"/>
      <c r="J377" s="21"/>
      <c r="K377" s="23"/>
      <c r="L377" s="24"/>
      <c r="M377" s="21"/>
      <c r="N377" s="21"/>
      <c r="O377" s="25"/>
      <c r="P377" s="26"/>
      <c r="Q377" s="27" t="str">
        <f aca="false">IF(A377="","",SUMIF(Expenses!$B$2:$B$3000,A377,Expenses!$E$2:$E$3000))</f>
        <v/>
      </c>
      <c r="R377" s="27" t="str">
        <f aca="false">IF(A377="","",N(P377)+N(Q377))</f>
        <v/>
      </c>
      <c r="S377" s="28"/>
      <c r="T377" s="25"/>
      <c r="U377" s="26"/>
      <c r="V377" s="26"/>
      <c r="W377" s="26"/>
      <c r="X377" s="27" t="str">
        <f aca="false">IF(B377&lt;&gt;"SOLD","",IF(C377="Consignment",N(W377)-R377,N(U377)-R377-N(V377)))</f>
        <v/>
      </c>
      <c r="Y377" s="29" t="str">
        <f aca="false">IF(OR(X377="",N(R377)=0),"",X377/R377)</f>
        <v/>
      </c>
      <c r="Z377" s="30" t="str">
        <f aca="true">IF(O377="","",IF(T377="",TODAY(),T377)-O377)</f>
        <v/>
      </c>
      <c r="AA377" s="31" t="str">
        <f aca="false">IF(T377="","",TEXT(T377,"YYYY-MM"))</f>
        <v/>
      </c>
      <c r="AB377" s="27" t="str">
        <f aca="false">IF(X377="","",X377/2)</f>
        <v/>
      </c>
      <c r="AC377" s="21"/>
    </row>
    <row r="378" customFormat="false" ht="15" hidden="false" customHeight="false" outlineLevel="0" collapsed="false">
      <c r="A378" s="20"/>
      <c r="B378" s="21"/>
      <c r="C378" s="21"/>
      <c r="D378" s="21"/>
      <c r="E378" s="21"/>
      <c r="F378" s="21"/>
      <c r="G378" s="22"/>
      <c r="H378" s="21"/>
      <c r="I378" s="21"/>
      <c r="J378" s="21"/>
      <c r="K378" s="23"/>
      <c r="L378" s="24"/>
      <c r="M378" s="21"/>
      <c r="N378" s="21"/>
      <c r="O378" s="25"/>
      <c r="P378" s="26"/>
      <c r="Q378" s="27" t="str">
        <f aca="false">IF(A378="","",SUMIF(Expenses!$B$2:$B$3000,A378,Expenses!$E$2:$E$3000))</f>
        <v/>
      </c>
      <c r="R378" s="27" t="str">
        <f aca="false">IF(A378="","",N(P378)+N(Q378))</f>
        <v/>
      </c>
      <c r="S378" s="28"/>
      <c r="T378" s="25"/>
      <c r="U378" s="26"/>
      <c r="V378" s="26"/>
      <c r="W378" s="26"/>
      <c r="X378" s="27" t="str">
        <f aca="false">IF(B378&lt;&gt;"SOLD","",IF(C378="Consignment",N(W378)-R378,N(U378)-R378-N(V378)))</f>
        <v/>
      </c>
      <c r="Y378" s="29" t="str">
        <f aca="false">IF(OR(X378="",N(R378)=0),"",X378/R378)</f>
        <v/>
      </c>
      <c r="Z378" s="30" t="str">
        <f aca="true">IF(O378="","",IF(T378="",TODAY(),T378)-O378)</f>
        <v/>
      </c>
      <c r="AA378" s="31" t="str">
        <f aca="false">IF(T378="","",TEXT(T378,"YYYY-MM"))</f>
        <v/>
      </c>
      <c r="AB378" s="27" t="str">
        <f aca="false">IF(X378="","",X378/2)</f>
        <v/>
      </c>
      <c r="AC378" s="21"/>
    </row>
    <row r="379" customFormat="false" ht="15" hidden="false" customHeight="false" outlineLevel="0" collapsed="false">
      <c r="A379" s="20"/>
      <c r="B379" s="21"/>
      <c r="C379" s="21"/>
      <c r="D379" s="21"/>
      <c r="E379" s="21"/>
      <c r="F379" s="21"/>
      <c r="G379" s="22"/>
      <c r="H379" s="21"/>
      <c r="I379" s="21"/>
      <c r="J379" s="21"/>
      <c r="K379" s="23"/>
      <c r="L379" s="24"/>
      <c r="M379" s="21"/>
      <c r="N379" s="21"/>
      <c r="O379" s="25"/>
      <c r="P379" s="26"/>
      <c r="Q379" s="27" t="str">
        <f aca="false">IF(A379="","",SUMIF(Expenses!$B$2:$B$3000,A379,Expenses!$E$2:$E$3000))</f>
        <v/>
      </c>
      <c r="R379" s="27" t="str">
        <f aca="false">IF(A379="","",N(P379)+N(Q379))</f>
        <v/>
      </c>
      <c r="S379" s="28"/>
      <c r="T379" s="25"/>
      <c r="U379" s="26"/>
      <c r="V379" s="26"/>
      <c r="W379" s="26"/>
      <c r="X379" s="27" t="str">
        <f aca="false">IF(B379&lt;&gt;"SOLD","",IF(C379="Consignment",N(W379)-R379,N(U379)-R379-N(V379)))</f>
        <v/>
      </c>
      <c r="Y379" s="29" t="str">
        <f aca="false">IF(OR(X379="",N(R379)=0),"",X379/R379)</f>
        <v/>
      </c>
      <c r="Z379" s="30" t="str">
        <f aca="true">IF(O379="","",IF(T379="",TODAY(),T379)-O379)</f>
        <v/>
      </c>
      <c r="AA379" s="31" t="str">
        <f aca="false">IF(T379="","",TEXT(T379,"YYYY-MM"))</f>
        <v/>
      </c>
      <c r="AB379" s="27" t="str">
        <f aca="false">IF(X379="","",X379/2)</f>
        <v/>
      </c>
      <c r="AC379" s="21"/>
    </row>
    <row r="380" customFormat="false" ht="15" hidden="false" customHeight="false" outlineLevel="0" collapsed="false">
      <c r="A380" s="20"/>
      <c r="B380" s="21"/>
      <c r="C380" s="21"/>
      <c r="D380" s="21"/>
      <c r="E380" s="21"/>
      <c r="F380" s="21"/>
      <c r="G380" s="22"/>
      <c r="H380" s="21"/>
      <c r="I380" s="21"/>
      <c r="J380" s="21"/>
      <c r="K380" s="23"/>
      <c r="L380" s="24"/>
      <c r="M380" s="21"/>
      <c r="N380" s="21"/>
      <c r="O380" s="25"/>
      <c r="P380" s="26"/>
      <c r="Q380" s="27" t="str">
        <f aca="false">IF(A380="","",SUMIF(Expenses!$B$2:$B$3000,A380,Expenses!$E$2:$E$3000))</f>
        <v/>
      </c>
      <c r="R380" s="27" t="str">
        <f aca="false">IF(A380="","",N(P380)+N(Q380))</f>
        <v/>
      </c>
      <c r="S380" s="28"/>
      <c r="T380" s="25"/>
      <c r="U380" s="26"/>
      <c r="V380" s="26"/>
      <c r="W380" s="26"/>
      <c r="X380" s="27" t="str">
        <f aca="false">IF(B380&lt;&gt;"SOLD","",IF(C380="Consignment",N(W380)-R380,N(U380)-R380-N(V380)))</f>
        <v/>
      </c>
      <c r="Y380" s="29" t="str">
        <f aca="false">IF(OR(X380="",N(R380)=0),"",X380/R380)</f>
        <v/>
      </c>
      <c r="Z380" s="30" t="str">
        <f aca="true">IF(O380="","",IF(T380="",TODAY(),T380)-O380)</f>
        <v/>
      </c>
      <c r="AA380" s="31" t="str">
        <f aca="false">IF(T380="","",TEXT(T380,"YYYY-MM"))</f>
        <v/>
      </c>
      <c r="AB380" s="27" t="str">
        <f aca="false">IF(X380="","",X380/2)</f>
        <v/>
      </c>
      <c r="AC380" s="21"/>
    </row>
    <row r="381" customFormat="false" ht="15" hidden="false" customHeight="false" outlineLevel="0" collapsed="false">
      <c r="A381" s="20"/>
      <c r="B381" s="21"/>
      <c r="C381" s="21"/>
      <c r="D381" s="21"/>
      <c r="E381" s="21"/>
      <c r="F381" s="21"/>
      <c r="G381" s="22"/>
      <c r="H381" s="21"/>
      <c r="I381" s="21"/>
      <c r="J381" s="21"/>
      <c r="K381" s="23"/>
      <c r="L381" s="24"/>
      <c r="M381" s="21"/>
      <c r="N381" s="21"/>
      <c r="O381" s="25"/>
      <c r="P381" s="26"/>
      <c r="Q381" s="27" t="str">
        <f aca="false">IF(A381="","",SUMIF(Expenses!$B$2:$B$3000,A381,Expenses!$E$2:$E$3000))</f>
        <v/>
      </c>
      <c r="R381" s="27" t="str">
        <f aca="false">IF(A381="","",N(P381)+N(Q381))</f>
        <v/>
      </c>
      <c r="S381" s="28"/>
      <c r="T381" s="25"/>
      <c r="U381" s="26"/>
      <c r="V381" s="26"/>
      <c r="W381" s="26"/>
      <c r="X381" s="27" t="str">
        <f aca="false">IF(B381&lt;&gt;"SOLD","",IF(C381="Consignment",N(W381)-R381,N(U381)-R381-N(V381)))</f>
        <v/>
      </c>
      <c r="Y381" s="29" t="str">
        <f aca="false">IF(OR(X381="",N(R381)=0),"",X381/R381)</f>
        <v/>
      </c>
      <c r="Z381" s="30" t="str">
        <f aca="true">IF(O381="","",IF(T381="",TODAY(),T381)-O381)</f>
        <v/>
      </c>
      <c r="AA381" s="31" t="str">
        <f aca="false">IF(T381="","",TEXT(T381,"YYYY-MM"))</f>
        <v/>
      </c>
      <c r="AB381" s="27" t="str">
        <f aca="false">IF(X381="","",X381/2)</f>
        <v/>
      </c>
      <c r="AC381" s="21"/>
    </row>
    <row r="382" customFormat="false" ht="15" hidden="false" customHeight="false" outlineLevel="0" collapsed="false">
      <c r="A382" s="20"/>
      <c r="B382" s="21"/>
      <c r="C382" s="21"/>
      <c r="D382" s="21"/>
      <c r="E382" s="21"/>
      <c r="F382" s="21"/>
      <c r="G382" s="22"/>
      <c r="H382" s="21"/>
      <c r="I382" s="21"/>
      <c r="J382" s="21"/>
      <c r="K382" s="23"/>
      <c r="L382" s="24"/>
      <c r="M382" s="21"/>
      <c r="N382" s="21"/>
      <c r="O382" s="25"/>
      <c r="P382" s="26"/>
      <c r="Q382" s="27" t="str">
        <f aca="false">IF(A382="","",SUMIF(Expenses!$B$2:$B$3000,A382,Expenses!$E$2:$E$3000))</f>
        <v/>
      </c>
      <c r="R382" s="27" t="str">
        <f aca="false">IF(A382="","",N(P382)+N(Q382))</f>
        <v/>
      </c>
      <c r="S382" s="28"/>
      <c r="T382" s="25"/>
      <c r="U382" s="26"/>
      <c r="V382" s="26"/>
      <c r="W382" s="26"/>
      <c r="X382" s="27" t="str">
        <f aca="false">IF(B382&lt;&gt;"SOLD","",IF(C382="Consignment",N(W382)-R382,N(U382)-R382-N(V382)))</f>
        <v/>
      </c>
      <c r="Y382" s="29" t="str">
        <f aca="false">IF(OR(X382="",N(R382)=0),"",X382/R382)</f>
        <v/>
      </c>
      <c r="Z382" s="30" t="str">
        <f aca="true">IF(O382="","",IF(T382="",TODAY(),T382)-O382)</f>
        <v/>
      </c>
      <c r="AA382" s="31" t="str">
        <f aca="false">IF(T382="","",TEXT(T382,"YYYY-MM"))</f>
        <v/>
      </c>
      <c r="AB382" s="27" t="str">
        <f aca="false">IF(X382="","",X382/2)</f>
        <v/>
      </c>
      <c r="AC382" s="21"/>
    </row>
    <row r="383" customFormat="false" ht="15" hidden="false" customHeight="false" outlineLevel="0" collapsed="false">
      <c r="A383" s="20"/>
      <c r="B383" s="21"/>
      <c r="C383" s="21"/>
      <c r="D383" s="21"/>
      <c r="E383" s="21"/>
      <c r="F383" s="21"/>
      <c r="G383" s="22"/>
      <c r="H383" s="21"/>
      <c r="I383" s="21"/>
      <c r="J383" s="21"/>
      <c r="K383" s="23"/>
      <c r="L383" s="24"/>
      <c r="M383" s="21"/>
      <c r="N383" s="21"/>
      <c r="O383" s="25"/>
      <c r="P383" s="26"/>
      <c r="Q383" s="27" t="str">
        <f aca="false">IF(A383="","",SUMIF(Expenses!$B$2:$B$3000,A383,Expenses!$E$2:$E$3000))</f>
        <v/>
      </c>
      <c r="R383" s="27" t="str">
        <f aca="false">IF(A383="","",N(P383)+N(Q383))</f>
        <v/>
      </c>
      <c r="S383" s="28"/>
      <c r="T383" s="25"/>
      <c r="U383" s="26"/>
      <c r="V383" s="26"/>
      <c r="W383" s="26"/>
      <c r="X383" s="27" t="str">
        <f aca="false">IF(B383&lt;&gt;"SOLD","",IF(C383="Consignment",N(W383)-R383,N(U383)-R383-N(V383)))</f>
        <v/>
      </c>
      <c r="Y383" s="29" t="str">
        <f aca="false">IF(OR(X383="",N(R383)=0),"",X383/R383)</f>
        <v/>
      </c>
      <c r="Z383" s="30" t="str">
        <f aca="true">IF(O383="","",IF(T383="",TODAY(),T383)-O383)</f>
        <v/>
      </c>
      <c r="AA383" s="31" t="str">
        <f aca="false">IF(T383="","",TEXT(T383,"YYYY-MM"))</f>
        <v/>
      </c>
      <c r="AB383" s="27" t="str">
        <f aca="false">IF(X383="","",X383/2)</f>
        <v/>
      </c>
      <c r="AC383" s="21"/>
    </row>
    <row r="384" customFormat="false" ht="15" hidden="false" customHeight="false" outlineLevel="0" collapsed="false">
      <c r="A384" s="20"/>
      <c r="B384" s="21"/>
      <c r="C384" s="21"/>
      <c r="D384" s="21"/>
      <c r="E384" s="21"/>
      <c r="F384" s="21"/>
      <c r="G384" s="22"/>
      <c r="H384" s="21"/>
      <c r="I384" s="21"/>
      <c r="J384" s="21"/>
      <c r="K384" s="23"/>
      <c r="L384" s="24"/>
      <c r="M384" s="21"/>
      <c r="N384" s="21"/>
      <c r="O384" s="25"/>
      <c r="P384" s="26"/>
      <c r="Q384" s="27" t="str">
        <f aca="false">IF(A384="","",SUMIF(Expenses!$B$2:$B$3000,A384,Expenses!$E$2:$E$3000))</f>
        <v/>
      </c>
      <c r="R384" s="27" t="str">
        <f aca="false">IF(A384="","",N(P384)+N(Q384))</f>
        <v/>
      </c>
      <c r="S384" s="28"/>
      <c r="T384" s="25"/>
      <c r="U384" s="26"/>
      <c r="V384" s="26"/>
      <c r="W384" s="26"/>
      <c r="X384" s="27" t="str">
        <f aca="false">IF(B384&lt;&gt;"SOLD","",IF(C384="Consignment",N(W384)-R384,N(U384)-R384-N(V384)))</f>
        <v/>
      </c>
      <c r="Y384" s="29" t="str">
        <f aca="false">IF(OR(X384="",N(R384)=0),"",X384/R384)</f>
        <v/>
      </c>
      <c r="Z384" s="30" t="str">
        <f aca="true">IF(O384="","",IF(T384="",TODAY(),T384)-O384)</f>
        <v/>
      </c>
      <c r="AA384" s="31" t="str">
        <f aca="false">IF(T384="","",TEXT(T384,"YYYY-MM"))</f>
        <v/>
      </c>
      <c r="AB384" s="27" t="str">
        <f aca="false">IF(X384="","",X384/2)</f>
        <v/>
      </c>
      <c r="AC384" s="21"/>
    </row>
    <row r="385" customFormat="false" ht="15" hidden="false" customHeight="false" outlineLevel="0" collapsed="false">
      <c r="A385" s="20"/>
      <c r="B385" s="21"/>
      <c r="C385" s="21"/>
      <c r="D385" s="21"/>
      <c r="E385" s="21"/>
      <c r="F385" s="21"/>
      <c r="G385" s="22"/>
      <c r="H385" s="21"/>
      <c r="I385" s="21"/>
      <c r="J385" s="21"/>
      <c r="K385" s="23"/>
      <c r="L385" s="24"/>
      <c r="M385" s="21"/>
      <c r="N385" s="21"/>
      <c r="O385" s="25"/>
      <c r="P385" s="26"/>
      <c r="Q385" s="27" t="str">
        <f aca="false">IF(A385="","",SUMIF(Expenses!$B$2:$B$3000,A385,Expenses!$E$2:$E$3000))</f>
        <v/>
      </c>
      <c r="R385" s="27" t="str">
        <f aca="false">IF(A385="","",N(P385)+N(Q385))</f>
        <v/>
      </c>
      <c r="S385" s="28"/>
      <c r="T385" s="25"/>
      <c r="U385" s="26"/>
      <c r="V385" s="26"/>
      <c r="W385" s="26"/>
      <c r="X385" s="27" t="str">
        <f aca="false">IF(B385&lt;&gt;"SOLD","",IF(C385="Consignment",N(W385)-R385,N(U385)-R385-N(V385)))</f>
        <v/>
      </c>
      <c r="Y385" s="29" t="str">
        <f aca="false">IF(OR(X385="",N(R385)=0),"",X385/R385)</f>
        <v/>
      </c>
      <c r="Z385" s="30" t="str">
        <f aca="true">IF(O385="","",IF(T385="",TODAY(),T385)-O385)</f>
        <v/>
      </c>
      <c r="AA385" s="31" t="str">
        <f aca="false">IF(T385="","",TEXT(T385,"YYYY-MM"))</f>
        <v/>
      </c>
      <c r="AB385" s="27" t="str">
        <f aca="false">IF(X385="","",X385/2)</f>
        <v/>
      </c>
      <c r="AC385" s="21"/>
    </row>
    <row r="386" customFormat="false" ht="15" hidden="false" customHeight="false" outlineLevel="0" collapsed="false">
      <c r="A386" s="20"/>
      <c r="B386" s="21"/>
      <c r="C386" s="21"/>
      <c r="D386" s="21"/>
      <c r="E386" s="21"/>
      <c r="F386" s="21"/>
      <c r="G386" s="22"/>
      <c r="H386" s="21"/>
      <c r="I386" s="21"/>
      <c r="J386" s="21"/>
      <c r="K386" s="23"/>
      <c r="L386" s="24"/>
      <c r="M386" s="21"/>
      <c r="N386" s="21"/>
      <c r="O386" s="25"/>
      <c r="P386" s="26"/>
      <c r="Q386" s="27" t="str">
        <f aca="false">IF(A386="","",SUMIF(Expenses!$B$2:$B$3000,A386,Expenses!$E$2:$E$3000))</f>
        <v/>
      </c>
      <c r="R386" s="27" t="str">
        <f aca="false">IF(A386="","",N(P386)+N(Q386))</f>
        <v/>
      </c>
      <c r="S386" s="28"/>
      <c r="T386" s="25"/>
      <c r="U386" s="26"/>
      <c r="V386" s="26"/>
      <c r="W386" s="26"/>
      <c r="X386" s="27" t="str">
        <f aca="false">IF(B386&lt;&gt;"SOLD","",IF(C386="Consignment",N(W386)-R386,N(U386)-R386-N(V386)))</f>
        <v/>
      </c>
      <c r="Y386" s="29" t="str">
        <f aca="false">IF(OR(X386="",N(R386)=0),"",X386/R386)</f>
        <v/>
      </c>
      <c r="Z386" s="30" t="str">
        <f aca="true">IF(O386="","",IF(T386="",TODAY(),T386)-O386)</f>
        <v/>
      </c>
      <c r="AA386" s="31" t="str">
        <f aca="false">IF(T386="","",TEXT(T386,"YYYY-MM"))</f>
        <v/>
      </c>
      <c r="AB386" s="27" t="str">
        <f aca="false">IF(X386="","",X386/2)</f>
        <v/>
      </c>
      <c r="AC386" s="21"/>
    </row>
    <row r="387" customFormat="false" ht="15" hidden="false" customHeight="false" outlineLevel="0" collapsed="false">
      <c r="A387" s="20"/>
      <c r="B387" s="21"/>
      <c r="C387" s="21"/>
      <c r="D387" s="21"/>
      <c r="E387" s="21"/>
      <c r="F387" s="21"/>
      <c r="G387" s="22"/>
      <c r="H387" s="21"/>
      <c r="I387" s="21"/>
      <c r="J387" s="21"/>
      <c r="K387" s="23"/>
      <c r="L387" s="24"/>
      <c r="M387" s="21"/>
      <c r="N387" s="21"/>
      <c r="O387" s="25"/>
      <c r="P387" s="26"/>
      <c r="Q387" s="27" t="str">
        <f aca="false">IF(A387="","",SUMIF(Expenses!$B$2:$B$3000,A387,Expenses!$E$2:$E$3000))</f>
        <v/>
      </c>
      <c r="R387" s="27" t="str">
        <f aca="false">IF(A387="","",N(P387)+N(Q387))</f>
        <v/>
      </c>
      <c r="S387" s="28"/>
      <c r="T387" s="25"/>
      <c r="U387" s="26"/>
      <c r="V387" s="26"/>
      <c r="W387" s="26"/>
      <c r="X387" s="27" t="str">
        <f aca="false">IF(B387&lt;&gt;"SOLD","",IF(C387="Consignment",N(W387)-R387,N(U387)-R387-N(V387)))</f>
        <v/>
      </c>
      <c r="Y387" s="29" t="str">
        <f aca="false">IF(OR(X387="",N(R387)=0),"",X387/R387)</f>
        <v/>
      </c>
      <c r="Z387" s="30" t="str">
        <f aca="true">IF(O387="","",IF(T387="",TODAY(),T387)-O387)</f>
        <v/>
      </c>
      <c r="AA387" s="31" t="str">
        <f aca="false">IF(T387="","",TEXT(T387,"YYYY-MM"))</f>
        <v/>
      </c>
      <c r="AB387" s="27" t="str">
        <f aca="false">IF(X387="","",X387/2)</f>
        <v/>
      </c>
      <c r="AC387" s="21"/>
    </row>
    <row r="388" customFormat="false" ht="15" hidden="false" customHeight="false" outlineLevel="0" collapsed="false">
      <c r="A388" s="20"/>
      <c r="B388" s="21"/>
      <c r="C388" s="21"/>
      <c r="D388" s="21"/>
      <c r="E388" s="21"/>
      <c r="F388" s="21"/>
      <c r="G388" s="22"/>
      <c r="H388" s="21"/>
      <c r="I388" s="21"/>
      <c r="J388" s="21"/>
      <c r="K388" s="23"/>
      <c r="L388" s="24"/>
      <c r="M388" s="21"/>
      <c r="N388" s="21"/>
      <c r="O388" s="25"/>
      <c r="P388" s="26"/>
      <c r="Q388" s="27" t="str">
        <f aca="false">IF(A388="","",SUMIF(Expenses!$B$2:$B$3000,A388,Expenses!$E$2:$E$3000))</f>
        <v/>
      </c>
      <c r="R388" s="27" t="str">
        <f aca="false">IF(A388="","",N(P388)+N(Q388))</f>
        <v/>
      </c>
      <c r="S388" s="28"/>
      <c r="T388" s="25"/>
      <c r="U388" s="26"/>
      <c r="V388" s="26"/>
      <c r="W388" s="26"/>
      <c r="X388" s="27" t="str">
        <f aca="false">IF(B388&lt;&gt;"SOLD","",IF(C388="Consignment",N(W388)-R388,N(U388)-R388-N(V388)))</f>
        <v/>
      </c>
      <c r="Y388" s="29" t="str">
        <f aca="false">IF(OR(X388="",N(R388)=0),"",X388/R388)</f>
        <v/>
      </c>
      <c r="Z388" s="30" t="str">
        <f aca="true">IF(O388="","",IF(T388="",TODAY(),T388)-O388)</f>
        <v/>
      </c>
      <c r="AA388" s="31" t="str">
        <f aca="false">IF(T388="","",TEXT(T388,"YYYY-MM"))</f>
        <v/>
      </c>
      <c r="AB388" s="27" t="str">
        <f aca="false">IF(X388="","",X388/2)</f>
        <v/>
      </c>
      <c r="AC388" s="21"/>
    </row>
    <row r="389" customFormat="false" ht="15" hidden="false" customHeight="false" outlineLevel="0" collapsed="false">
      <c r="A389" s="20"/>
      <c r="B389" s="21"/>
      <c r="C389" s="21"/>
      <c r="D389" s="21"/>
      <c r="E389" s="21"/>
      <c r="F389" s="21"/>
      <c r="G389" s="22"/>
      <c r="H389" s="21"/>
      <c r="I389" s="21"/>
      <c r="J389" s="21"/>
      <c r="K389" s="23"/>
      <c r="L389" s="24"/>
      <c r="M389" s="21"/>
      <c r="N389" s="21"/>
      <c r="O389" s="25"/>
      <c r="P389" s="26"/>
      <c r="Q389" s="27" t="str">
        <f aca="false">IF(A389="","",SUMIF(Expenses!$B$2:$B$3000,A389,Expenses!$E$2:$E$3000))</f>
        <v/>
      </c>
      <c r="R389" s="27" t="str">
        <f aca="false">IF(A389="","",N(P389)+N(Q389))</f>
        <v/>
      </c>
      <c r="S389" s="28"/>
      <c r="T389" s="25"/>
      <c r="U389" s="26"/>
      <c r="V389" s="26"/>
      <c r="W389" s="26"/>
      <c r="X389" s="27" t="str">
        <f aca="false">IF(B389&lt;&gt;"SOLD","",IF(C389="Consignment",N(W389)-R389,N(U389)-R389-N(V389)))</f>
        <v/>
      </c>
      <c r="Y389" s="29" t="str">
        <f aca="false">IF(OR(X389="",N(R389)=0),"",X389/R389)</f>
        <v/>
      </c>
      <c r="Z389" s="30" t="str">
        <f aca="true">IF(O389="","",IF(T389="",TODAY(),T389)-O389)</f>
        <v/>
      </c>
      <c r="AA389" s="31" t="str">
        <f aca="false">IF(T389="","",TEXT(T389,"YYYY-MM"))</f>
        <v/>
      </c>
      <c r="AB389" s="27" t="str">
        <f aca="false">IF(X389="","",X389/2)</f>
        <v/>
      </c>
      <c r="AC389" s="21"/>
    </row>
    <row r="390" customFormat="false" ht="15" hidden="false" customHeight="false" outlineLevel="0" collapsed="false">
      <c r="A390" s="20"/>
      <c r="B390" s="21"/>
      <c r="C390" s="21"/>
      <c r="D390" s="21"/>
      <c r="E390" s="21"/>
      <c r="F390" s="21"/>
      <c r="G390" s="22"/>
      <c r="H390" s="21"/>
      <c r="I390" s="21"/>
      <c r="J390" s="21"/>
      <c r="K390" s="23"/>
      <c r="L390" s="24"/>
      <c r="M390" s="21"/>
      <c r="N390" s="21"/>
      <c r="O390" s="25"/>
      <c r="P390" s="26"/>
      <c r="Q390" s="27" t="str">
        <f aca="false">IF(A390="","",SUMIF(Expenses!$B$2:$B$3000,A390,Expenses!$E$2:$E$3000))</f>
        <v/>
      </c>
      <c r="R390" s="27" t="str">
        <f aca="false">IF(A390="","",N(P390)+N(Q390))</f>
        <v/>
      </c>
      <c r="S390" s="28"/>
      <c r="T390" s="25"/>
      <c r="U390" s="26"/>
      <c r="V390" s="26"/>
      <c r="W390" s="26"/>
      <c r="X390" s="27" t="str">
        <f aca="false">IF(B390&lt;&gt;"SOLD","",IF(C390="Consignment",N(W390)-R390,N(U390)-R390-N(V390)))</f>
        <v/>
      </c>
      <c r="Y390" s="29" t="str">
        <f aca="false">IF(OR(X390="",N(R390)=0),"",X390/R390)</f>
        <v/>
      </c>
      <c r="Z390" s="30" t="str">
        <f aca="true">IF(O390="","",IF(T390="",TODAY(),T390)-O390)</f>
        <v/>
      </c>
      <c r="AA390" s="31" t="str">
        <f aca="false">IF(T390="","",TEXT(T390,"YYYY-MM"))</f>
        <v/>
      </c>
      <c r="AB390" s="27" t="str">
        <f aca="false">IF(X390="","",X390/2)</f>
        <v/>
      </c>
      <c r="AC390" s="21"/>
    </row>
    <row r="391" customFormat="false" ht="15" hidden="false" customHeight="false" outlineLevel="0" collapsed="false">
      <c r="A391" s="20"/>
      <c r="B391" s="21"/>
      <c r="C391" s="21"/>
      <c r="D391" s="21"/>
      <c r="E391" s="21"/>
      <c r="F391" s="21"/>
      <c r="G391" s="22"/>
      <c r="H391" s="21"/>
      <c r="I391" s="21"/>
      <c r="J391" s="21"/>
      <c r="K391" s="23"/>
      <c r="L391" s="24"/>
      <c r="M391" s="21"/>
      <c r="N391" s="21"/>
      <c r="O391" s="25"/>
      <c r="P391" s="26"/>
      <c r="Q391" s="27" t="str">
        <f aca="false">IF(A391="","",SUMIF(Expenses!$B$2:$B$3000,A391,Expenses!$E$2:$E$3000))</f>
        <v/>
      </c>
      <c r="R391" s="27" t="str">
        <f aca="false">IF(A391="","",N(P391)+N(Q391))</f>
        <v/>
      </c>
      <c r="S391" s="28"/>
      <c r="T391" s="25"/>
      <c r="U391" s="26"/>
      <c r="V391" s="26"/>
      <c r="W391" s="26"/>
      <c r="X391" s="27" t="str">
        <f aca="false">IF(B391&lt;&gt;"SOLD","",IF(C391="Consignment",N(W391)-R391,N(U391)-R391-N(V391)))</f>
        <v/>
      </c>
      <c r="Y391" s="29" t="str">
        <f aca="false">IF(OR(X391="",N(R391)=0),"",X391/R391)</f>
        <v/>
      </c>
      <c r="Z391" s="30" t="str">
        <f aca="true">IF(O391="","",IF(T391="",TODAY(),T391)-O391)</f>
        <v/>
      </c>
      <c r="AA391" s="31" t="str">
        <f aca="false">IF(T391="","",TEXT(T391,"YYYY-MM"))</f>
        <v/>
      </c>
      <c r="AB391" s="27" t="str">
        <f aca="false">IF(X391="","",X391/2)</f>
        <v/>
      </c>
      <c r="AC391" s="21"/>
    </row>
    <row r="392" customFormat="false" ht="15" hidden="false" customHeight="false" outlineLevel="0" collapsed="false">
      <c r="A392" s="20"/>
      <c r="B392" s="21"/>
      <c r="C392" s="21"/>
      <c r="D392" s="21"/>
      <c r="E392" s="21"/>
      <c r="F392" s="21"/>
      <c r="G392" s="22"/>
      <c r="H392" s="21"/>
      <c r="I392" s="21"/>
      <c r="J392" s="21"/>
      <c r="K392" s="23"/>
      <c r="L392" s="24"/>
      <c r="M392" s="21"/>
      <c r="N392" s="21"/>
      <c r="O392" s="25"/>
      <c r="P392" s="26"/>
      <c r="Q392" s="27" t="str">
        <f aca="false">IF(A392="","",SUMIF(Expenses!$B$2:$B$3000,A392,Expenses!$E$2:$E$3000))</f>
        <v/>
      </c>
      <c r="R392" s="27" t="str">
        <f aca="false">IF(A392="","",N(P392)+N(Q392))</f>
        <v/>
      </c>
      <c r="S392" s="28"/>
      <c r="T392" s="25"/>
      <c r="U392" s="26"/>
      <c r="V392" s="26"/>
      <c r="W392" s="26"/>
      <c r="X392" s="27" t="str">
        <f aca="false">IF(B392&lt;&gt;"SOLD","",IF(C392="Consignment",N(W392)-R392,N(U392)-R392-N(V392)))</f>
        <v/>
      </c>
      <c r="Y392" s="29" t="str">
        <f aca="false">IF(OR(X392="",N(R392)=0),"",X392/R392)</f>
        <v/>
      </c>
      <c r="Z392" s="30" t="str">
        <f aca="true">IF(O392="","",IF(T392="",TODAY(),T392)-O392)</f>
        <v/>
      </c>
      <c r="AA392" s="31" t="str">
        <f aca="false">IF(T392="","",TEXT(T392,"YYYY-MM"))</f>
        <v/>
      </c>
      <c r="AB392" s="27" t="str">
        <f aca="false">IF(X392="","",X392/2)</f>
        <v/>
      </c>
      <c r="AC392" s="21"/>
    </row>
    <row r="393" customFormat="false" ht="15" hidden="false" customHeight="false" outlineLevel="0" collapsed="false">
      <c r="A393" s="20"/>
      <c r="B393" s="21"/>
      <c r="C393" s="21"/>
      <c r="D393" s="21"/>
      <c r="E393" s="21"/>
      <c r="F393" s="21"/>
      <c r="G393" s="22"/>
      <c r="H393" s="21"/>
      <c r="I393" s="21"/>
      <c r="J393" s="21"/>
      <c r="K393" s="23"/>
      <c r="L393" s="24"/>
      <c r="M393" s="21"/>
      <c r="N393" s="21"/>
      <c r="O393" s="25"/>
      <c r="P393" s="26"/>
      <c r="Q393" s="27" t="str">
        <f aca="false">IF(A393="","",SUMIF(Expenses!$B$2:$B$3000,A393,Expenses!$E$2:$E$3000))</f>
        <v/>
      </c>
      <c r="R393" s="27" t="str">
        <f aca="false">IF(A393="","",N(P393)+N(Q393))</f>
        <v/>
      </c>
      <c r="S393" s="28"/>
      <c r="T393" s="25"/>
      <c r="U393" s="26"/>
      <c r="V393" s="26"/>
      <c r="W393" s="26"/>
      <c r="X393" s="27" t="str">
        <f aca="false">IF(B393&lt;&gt;"SOLD","",IF(C393="Consignment",N(W393)-R393,N(U393)-R393-N(V393)))</f>
        <v/>
      </c>
      <c r="Y393" s="29" t="str">
        <f aca="false">IF(OR(X393="",N(R393)=0),"",X393/R393)</f>
        <v/>
      </c>
      <c r="Z393" s="30" t="str">
        <f aca="true">IF(O393="","",IF(T393="",TODAY(),T393)-O393)</f>
        <v/>
      </c>
      <c r="AA393" s="31" t="str">
        <f aca="false">IF(T393="","",TEXT(T393,"YYYY-MM"))</f>
        <v/>
      </c>
      <c r="AB393" s="27" t="str">
        <f aca="false">IF(X393="","",X393/2)</f>
        <v/>
      </c>
      <c r="AC393" s="21"/>
    </row>
    <row r="394" customFormat="false" ht="15" hidden="false" customHeight="false" outlineLevel="0" collapsed="false">
      <c r="A394" s="20"/>
      <c r="B394" s="21"/>
      <c r="C394" s="21"/>
      <c r="D394" s="21"/>
      <c r="E394" s="21"/>
      <c r="F394" s="21"/>
      <c r="G394" s="22"/>
      <c r="H394" s="21"/>
      <c r="I394" s="21"/>
      <c r="J394" s="21"/>
      <c r="K394" s="23"/>
      <c r="L394" s="24"/>
      <c r="M394" s="21"/>
      <c r="N394" s="21"/>
      <c r="O394" s="25"/>
      <c r="P394" s="26"/>
      <c r="Q394" s="27" t="str">
        <f aca="false">IF(A394="","",SUMIF(Expenses!$B$2:$B$3000,A394,Expenses!$E$2:$E$3000))</f>
        <v/>
      </c>
      <c r="R394" s="27" t="str">
        <f aca="false">IF(A394="","",N(P394)+N(Q394))</f>
        <v/>
      </c>
      <c r="S394" s="28"/>
      <c r="T394" s="25"/>
      <c r="U394" s="26"/>
      <c r="V394" s="26"/>
      <c r="W394" s="26"/>
      <c r="X394" s="27" t="str">
        <f aca="false">IF(B394&lt;&gt;"SOLD","",IF(C394="Consignment",N(W394)-R394,N(U394)-R394-N(V394)))</f>
        <v/>
      </c>
      <c r="Y394" s="29" t="str">
        <f aca="false">IF(OR(X394="",N(R394)=0),"",X394/R394)</f>
        <v/>
      </c>
      <c r="Z394" s="30" t="str">
        <f aca="true">IF(O394="","",IF(T394="",TODAY(),T394)-O394)</f>
        <v/>
      </c>
      <c r="AA394" s="31" t="str">
        <f aca="false">IF(T394="","",TEXT(T394,"YYYY-MM"))</f>
        <v/>
      </c>
      <c r="AB394" s="27" t="str">
        <f aca="false">IF(X394="","",X394/2)</f>
        <v/>
      </c>
      <c r="AC394" s="21"/>
    </row>
    <row r="395" customFormat="false" ht="15" hidden="false" customHeight="false" outlineLevel="0" collapsed="false">
      <c r="A395" s="20"/>
      <c r="B395" s="21"/>
      <c r="C395" s="21"/>
      <c r="D395" s="21"/>
      <c r="E395" s="21"/>
      <c r="F395" s="21"/>
      <c r="G395" s="22"/>
      <c r="H395" s="21"/>
      <c r="I395" s="21"/>
      <c r="J395" s="21"/>
      <c r="K395" s="23"/>
      <c r="L395" s="24"/>
      <c r="M395" s="21"/>
      <c r="N395" s="21"/>
      <c r="O395" s="25"/>
      <c r="P395" s="26"/>
      <c r="Q395" s="27" t="str">
        <f aca="false">IF(A395="","",SUMIF(Expenses!$B$2:$B$3000,A395,Expenses!$E$2:$E$3000))</f>
        <v/>
      </c>
      <c r="R395" s="27" t="str">
        <f aca="false">IF(A395="","",N(P395)+N(Q395))</f>
        <v/>
      </c>
      <c r="S395" s="28"/>
      <c r="T395" s="25"/>
      <c r="U395" s="26"/>
      <c r="V395" s="26"/>
      <c r="W395" s="26"/>
      <c r="X395" s="27" t="str">
        <f aca="false">IF(B395&lt;&gt;"SOLD","",IF(C395="Consignment",N(W395)-R395,N(U395)-R395-N(V395)))</f>
        <v/>
      </c>
      <c r="Y395" s="29" t="str">
        <f aca="false">IF(OR(X395="",N(R395)=0),"",X395/R395)</f>
        <v/>
      </c>
      <c r="Z395" s="30" t="str">
        <f aca="true">IF(O395="","",IF(T395="",TODAY(),T395)-O395)</f>
        <v/>
      </c>
      <c r="AA395" s="31" t="str">
        <f aca="false">IF(T395="","",TEXT(T395,"YYYY-MM"))</f>
        <v/>
      </c>
      <c r="AB395" s="27" t="str">
        <f aca="false">IF(X395="","",X395/2)</f>
        <v/>
      </c>
      <c r="AC395" s="21"/>
    </row>
    <row r="396" customFormat="false" ht="15" hidden="false" customHeight="false" outlineLevel="0" collapsed="false">
      <c r="A396" s="20"/>
      <c r="B396" s="21"/>
      <c r="C396" s="21"/>
      <c r="D396" s="21"/>
      <c r="E396" s="21"/>
      <c r="F396" s="21"/>
      <c r="G396" s="22"/>
      <c r="H396" s="21"/>
      <c r="I396" s="21"/>
      <c r="J396" s="21"/>
      <c r="K396" s="23"/>
      <c r="L396" s="24"/>
      <c r="M396" s="21"/>
      <c r="N396" s="21"/>
      <c r="O396" s="25"/>
      <c r="P396" s="26"/>
      <c r="Q396" s="27" t="str">
        <f aca="false">IF(A396="","",SUMIF(Expenses!$B$2:$B$3000,A396,Expenses!$E$2:$E$3000))</f>
        <v/>
      </c>
      <c r="R396" s="27" t="str">
        <f aca="false">IF(A396="","",N(P396)+N(Q396))</f>
        <v/>
      </c>
      <c r="S396" s="28"/>
      <c r="T396" s="25"/>
      <c r="U396" s="26"/>
      <c r="V396" s="26"/>
      <c r="W396" s="26"/>
      <c r="X396" s="27" t="str">
        <f aca="false">IF(B396&lt;&gt;"SOLD","",IF(C396="Consignment",N(W396)-R396,N(U396)-R396-N(V396)))</f>
        <v/>
      </c>
      <c r="Y396" s="29" t="str">
        <f aca="false">IF(OR(X396="",N(R396)=0),"",X396/R396)</f>
        <v/>
      </c>
      <c r="Z396" s="30" t="str">
        <f aca="true">IF(O396="","",IF(T396="",TODAY(),T396)-O396)</f>
        <v/>
      </c>
      <c r="AA396" s="31" t="str">
        <f aca="false">IF(T396="","",TEXT(T396,"YYYY-MM"))</f>
        <v/>
      </c>
      <c r="AB396" s="27" t="str">
        <f aca="false">IF(X396="","",X396/2)</f>
        <v/>
      </c>
      <c r="AC396" s="21"/>
    </row>
    <row r="397" customFormat="false" ht="15" hidden="false" customHeight="false" outlineLevel="0" collapsed="false">
      <c r="A397" s="20"/>
      <c r="B397" s="21"/>
      <c r="C397" s="21"/>
      <c r="D397" s="21"/>
      <c r="E397" s="21"/>
      <c r="F397" s="21"/>
      <c r="G397" s="22"/>
      <c r="H397" s="21"/>
      <c r="I397" s="21"/>
      <c r="J397" s="21"/>
      <c r="K397" s="23"/>
      <c r="L397" s="24"/>
      <c r="M397" s="21"/>
      <c r="N397" s="21"/>
      <c r="O397" s="25"/>
      <c r="P397" s="26"/>
      <c r="Q397" s="27" t="str">
        <f aca="false">IF(A397="","",SUMIF(Expenses!$B$2:$B$3000,A397,Expenses!$E$2:$E$3000))</f>
        <v/>
      </c>
      <c r="R397" s="27" t="str">
        <f aca="false">IF(A397="","",N(P397)+N(Q397))</f>
        <v/>
      </c>
      <c r="S397" s="28"/>
      <c r="T397" s="25"/>
      <c r="U397" s="26"/>
      <c r="V397" s="26"/>
      <c r="W397" s="26"/>
      <c r="X397" s="27" t="str">
        <f aca="false">IF(B397&lt;&gt;"SOLD","",IF(C397="Consignment",N(W397)-R397,N(U397)-R397-N(V397)))</f>
        <v/>
      </c>
      <c r="Y397" s="29" t="str">
        <f aca="false">IF(OR(X397="",N(R397)=0),"",X397/R397)</f>
        <v/>
      </c>
      <c r="Z397" s="30" t="str">
        <f aca="true">IF(O397="","",IF(T397="",TODAY(),T397)-O397)</f>
        <v/>
      </c>
      <c r="AA397" s="31" t="str">
        <f aca="false">IF(T397="","",TEXT(T397,"YYYY-MM"))</f>
        <v/>
      </c>
      <c r="AB397" s="27" t="str">
        <f aca="false">IF(X397="","",X397/2)</f>
        <v/>
      </c>
      <c r="AC397" s="21"/>
    </row>
    <row r="398" customFormat="false" ht="15" hidden="false" customHeight="false" outlineLevel="0" collapsed="false">
      <c r="A398" s="20"/>
      <c r="B398" s="21"/>
      <c r="C398" s="21"/>
      <c r="D398" s="21"/>
      <c r="E398" s="21"/>
      <c r="F398" s="21"/>
      <c r="G398" s="22"/>
      <c r="H398" s="21"/>
      <c r="I398" s="21"/>
      <c r="J398" s="21"/>
      <c r="K398" s="23"/>
      <c r="L398" s="24"/>
      <c r="M398" s="21"/>
      <c r="N398" s="21"/>
      <c r="O398" s="25"/>
      <c r="P398" s="26"/>
      <c r="Q398" s="27" t="str">
        <f aca="false">IF(A398="","",SUMIF(Expenses!$B$2:$B$3000,A398,Expenses!$E$2:$E$3000))</f>
        <v/>
      </c>
      <c r="R398" s="27" t="str">
        <f aca="false">IF(A398="","",N(P398)+N(Q398))</f>
        <v/>
      </c>
      <c r="S398" s="28"/>
      <c r="T398" s="25"/>
      <c r="U398" s="26"/>
      <c r="V398" s="26"/>
      <c r="W398" s="26"/>
      <c r="X398" s="27" t="str">
        <f aca="false">IF(B398&lt;&gt;"SOLD","",IF(C398="Consignment",N(W398)-R398,N(U398)-R398-N(V398)))</f>
        <v/>
      </c>
      <c r="Y398" s="29" t="str">
        <f aca="false">IF(OR(X398="",N(R398)=0),"",X398/R398)</f>
        <v/>
      </c>
      <c r="Z398" s="30" t="str">
        <f aca="true">IF(O398="","",IF(T398="",TODAY(),T398)-O398)</f>
        <v/>
      </c>
      <c r="AA398" s="31" t="str">
        <f aca="false">IF(T398="","",TEXT(T398,"YYYY-MM"))</f>
        <v/>
      </c>
      <c r="AB398" s="27" t="str">
        <f aca="false">IF(X398="","",X398/2)</f>
        <v/>
      </c>
      <c r="AC398" s="21"/>
    </row>
    <row r="399" customFormat="false" ht="15" hidden="false" customHeight="false" outlineLevel="0" collapsed="false">
      <c r="A399" s="20"/>
      <c r="B399" s="21"/>
      <c r="C399" s="21"/>
      <c r="D399" s="21"/>
      <c r="E399" s="21"/>
      <c r="F399" s="21"/>
      <c r="G399" s="22"/>
      <c r="H399" s="21"/>
      <c r="I399" s="21"/>
      <c r="J399" s="21"/>
      <c r="K399" s="23"/>
      <c r="L399" s="24"/>
      <c r="M399" s="21"/>
      <c r="N399" s="21"/>
      <c r="O399" s="25"/>
      <c r="P399" s="26"/>
      <c r="Q399" s="27" t="str">
        <f aca="false">IF(A399="","",SUMIF(Expenses!$B$2:$B$3000,A399,Expenses!$E$2:$E$3000))</f>
        <v/>
      </c>
      <c r="R399" s="27" t="str">
        <f aca="false">IF(A399="","",N(P399)+N(Q399))</f>
        <v/>
      </c>
      <c r="S399" s="28"/>
      <c r="T399" s="25"/>
      <c r="U399" s="26"/>
      <c r="V399" s="26"/>
      <c r="W399" s="26"/>
      <c r="X399" s="27" t="str">
        <f aca="false">IF(B399&lt;&gt;"SOLD","",IF(C399="Consignment",N(W399)-R399,N(U399)-R399-N(V399)))</f>
        <v/>
      </c>
      <c r="Y399" s="29" t="str">
        <f aca="false">IF(OR(X399="",N(R399)=0),"",X399/R399)</f>
        <v/>
      </c>
      <c r="Z399" s="30" t="str">
        <f aca="true">IF(O399="","",IF(T399="",TODAY(),T399)-O399)</f>
        <v/>
      </c>
      <c r="AA399" s="31" t="str">
        <f aca="false">IF(T399="","",TEXT(T399,"YYYY-MM"))</f>
        <v/>
      </c>
      <c r="AB399" s="27" t="str">
        <f aca="false">IF(X399="","",X399/2)</f>
        <v/>
      </c>
      <c r="AC399" s="21"/>
    </row>
    <row r="400" customFormat="false" ht="15" hidden="false" customHeight="false" outlineLevel="0" collapsed="false">
      <c r="A400" s="20"/>
      <c r="B400" s="21"/>
      <c r="C400" s="21"/>
      <c r="D400" s="21"/>
      <c r="E400" s="21"/>
      <c r="F400" s="21"/>
      <c r="G400" s="22"/>
      <c r="H400" s="21"/>
      <c r="I400" s="21"/>
      <c r="J400" s="21"/>
      <c r="K400" s="23"/>
      <c r="L400" s="24"/>
      <c r="M400" s="21"/>
      <c r="N400" s="21"/>
      <c r="O400" s="25"/>
      <c r="P400" s="26"/>
      <c r="Q400" s="27" t="str">
        <f aca="false">IF(A400="","",SUMIF(Expenses!$B$2:$B$3000,A400,Expenses!$E$2:$E$3000))</f>
        <v/>
      </c>
      <c r="R400" s="27" t="str">
        <f aca="false">IF(A400="","",N(P400)+N(Q400))</f>
        <v/>
      </c>
      <c r="S400" s="28"/>
      <c r="T400" s="25"/>
      <c r="U400" s="26"/>
      <c r="V400" s="26"/>
      <c r="W400" s="26"/>
      <c r="X400" s="27" t="str">
        <f aca="false">IF(B400&lt;&gt;"SOLD","",IF(C400="Consignment",N(W400)-R400,N(U400)-R400-N(V400)))</f>
        <v/>
      </c>
      <c r="Y400" s="29" t="str">
        <f aca="false">IF(OR(X400="",N(R400)=0),"",X400/R400)</f>
        <v/>
      </c>
      <c r="Z400" s="30" t="str">
        <f aca="true">IF(O400="","",IF(T400="",TODAY(),T400)-O400)</f>
        <v/>
      </c>
      <c r="AA400" s="31" t="str">
        <f aca="false">IF(T400="","",TEXT(T400,"YYYY-MM"))</f>
        <v/>
      </c>
      <c r="AB400" s="27" t="str">
        <f aca="false">IF(X400="","",X400/2)</f>
        <v/>
      </c>
      <c r="AC400" s="21"/>
    </row>
    <row r="401" customFormat="false" ht="15" hidden="false" customHeight="false" outlineLevel="0" collapsed="false">
      <c r="A401" s="20"/>
      <c r="B401" s="21"/>
      <c r="C401" s="21"/>
      <c r="D401" s="21"/>
      <c r="E401" s="21"/>
      <c r="F401" s="21"/>
      <c r="G401" s="22"/>
      <c r="H401" s="21"/>
      <c r="I401" s="21"/>
      <c r="J401" s="21"/>
      <c r="K401" s="23"/>
      <c r="L401" s="24"/>
      <c r="M401" s="21"/>
      <c r="N401" s="21"/>
      <c r="O401" s="25"/>
      <c r="P401" s="26"/>
      <c r="Q401" s="27" t="str">
        <f aca="false">IF(A401="","",SUMIF(Expenses!$B$2:$B$3000,A401,Expenses!$E$2:$E$3000))</f>
        <v/>
      </c>
      <c r="R401" s="27" t="str">
        <f aca="false">IF(A401="","",N(P401)+N(Q401))</f>
        <v/>
      </c>
      <c r="S401" s="28"/>
      <c r="T401" s="25"/>
      <c r="U401" s="26"/>
      <c r="V401" s="26"/>
      <c r="W401" s="26"/>
      <c r="X401" s="27" t="str">
        <f aca="false">IF(B401&lt;&gt;"SOLD","",IF(C401="Consignment",N(W401)-R401,N(U401)-R401-N(V401)))</f>
        <v/>
      </c>
      <c r="Y401" s="29" t="str">
        <f aca="false">IF(OR(X401="",N(R401)=0),"",X401/R401)</f>
        <v/>
      </c>
      <c r="Z401" s="30" t="str">
        <f aca="true">IF(O401="","",IF(T401="",TODAY(),T401)-O401)</f>
        <v/>
      </c>
      <c r="AA401" s="31" t="str">
        <f aca="false">IF(T401="","",TEXT(T401,"YYYY-MM"))</f>
        <v/>
      </c>
      <c r="AB401" s="27" t="str">
        <f aca="false">IF(X401="","",X401/2)</f>
        <v/>
      </c>
      <c r="AC401" s="21"/>
    </row>
    <row r="402" customFormat="false" ht="15" hidden="false" customHeight="false" outlineLevel="0" collapsed="false">
      <c r="A402" s="20"/>
      <c r="B402" s="21"/>
      <c r="C402" s="21"/>
      <c r="D402" s="21"/>
      <c r="E402" s="21"/>
      <c r="F402" s="21"/>
      <c r="G402" s="22"/>
      <c r="H402" s="21"/>
      <c r="I402" s="21"/>
      <c r="J402" s="21"/>
      <c r="K402" s="23"/>
      <c r="L402" s="24"/>
      <c r="M402" s="21"/>
      <c r="N402" s="21"/>
      <c r="O402" s="25"/>
      <c r="P402" s="26"/>
      <c r="Q402" s="27" t="str">
        <f aca="false">IF(A402="","",SUMIF(Expenses!$B$2:$B$3000,A402,Expenses!$E$2:$E$3000))</f>
        <v/>
      </c>
      <c r="R402" s="27" t="str">
        <f aca="false">IF(A402="","",N(P402)+N(Q402))</f>
        <v/>
      </c>
      <c r="S402" s="28"/>
      <c r="T402" s="25"/>
      <c r="U402" s="26"/>
      <c r="V402" s="26"/>
      <c r="W402" s="26"/>
      <c r="X402" s="27" t="str">
        <f aca="false">IF(B402&lt;&gt;"SOLD","",IF(C402="Consignment",N(W402)-R402,N(U402)-R402-N(V402)))</f>
        <v/>
      </c>
      <c r="Y402" s="29" t="str">
        <f aca="false">IF(OR(X402="",N(R402)=0),"",X402/R402)</f>
        <v/>
      </c>
      <c r="Z402" s="30" t="str">
        <f aca="true">IF(O402="","",IF(T402="",TODAY(),T402)-O402)</f>
        <v/>
      </c>
      <c r="AA402" s="31" t="str">
        <f aca="false">IF(T402="","",TEXT(T402,"YYYY-MM"))</f>
        <v/>
      </c>
      <c r="AB402" s="27" t="str">
        <f aca="false">IF(X402="","",X402/2)</f>
        <v/>
      </c>
      <c r="AC402" s="21"/>
    </row>
    <row r="403" customFormat="false" ht="15" hidden="false" customHeight="false" outlineLevel="0" collapsed="false">
      <c r="A403" s="20"/>
      <c r="B403" s="21"/>
      <c r="C403" s="21"/>
      <c r="D403" s="21"/>
      <c r="E403" s="21"/>
      <c r="F403" s="21"/>
      <c r="G403" s="22"/>
      <c r="H403" s="21"/>
      <c r="I403" s="21"/>
      <c r="J403" s="21"/>
      <c r="K403" s="23"/>
      <c r="L403" s="24"/>
      <c r="M403" s="21"/>
      <c r="N403" s="21"/>
      <c r="O403" s="25"/>
      <c r="P403" s="26"/>
      <c r="Q403" s="27" t="str">
        <f aca="false">IF(A403="","",SUMIF(Expenses!$B$2:$B$3000,A403,Expenses!$E$2:$E$3000))</f>
        <v/>
      </c>
      <c r="R403" s="27" t="str">
        <f aca="false">IF(A403="","",N(P403)+N(Q403))</f>
        <v/>
      </c>
      <c r="S403" s="28"/>
      <c r="T403" s="25"/>
      <c r="U403" s="26"/>
      <c r="V403" s="26"/>
      <c r="W403" s="26"/>
      <c r="X403" s="27" t="str">
        <f aca="false">IF(B403&lt;&gt;"SOLD","",IF(C403="Consignment",N(W403)-R403,N(U403)-R403-N(V403)))</f>
        <v/>
      </c>
      <c r="Y403" s="29" t="str">
        <f aca="false">IF(OR(X403="",N(R403)=0),"",X403/R403)</f>
        <v/>
      </c>
      <c r="Z403" s="30" t="str">
        <f aca="true">IF(O403="","",IF(T403="",TODAY(),T403)-O403)</f>
        <v/>
      </c>
      <c r="AA403" s="31" t="str">
        <f aca="false">IF(T403="","",TEXT(T403,"YYYY-MM"))</f>
        <v/>
      </c>
      <c r="AB403" s="27" t="str">
        <f aca="false">IF(X403="","",X403/2)</f>
        <v/>
      </c>
      <c r="AC403" s="21"/>
    </row>
    <row r="404" customFormat="false" ht="15" hidden="false" customHeight="false" outlineLevel="0" collapsed="false">
      <c r="A404" s="20"/>
      <c r="B404" s="21"/>
      <c r="C404" s="21"/>
      <c r="D404" s="21"/>
      <c r="E404" s="21"/>
      <c r="F404" s="21"/>
      <c r="G404" s="22"/>
      <c r="H404" s="21"/>
      <c r="I404" s="21"/>
      <c r="J404" s="21"/>
      <c r="K404" s="23"/>
      <c r="L404" s="24"/>
      <c r="M404" s="21"/>
      <c r="N404" s="21"/>
      <c r="O404" s="25"/>
      <c r="P404" s="26"/>
      <c r="Q404" s="27" t="str">
        <f aca="false">IF(A404="","",SUMIF(Expenses!$B$2:$B$3000,A404,Expenses!$E$2:$E$3000))</f>
        <v/>
      </c>
      <c r="R404" s="27" t="str">
        <f aca="false">IF(A404="","",N(P404)+N(Q404))</f>
        <v/>
      </c>
      <c r="S404" s="28"/>
      <c r="T404" s="25"/>
      <c r="U404" s="26"/>
      <c r="V404" s="26"/>
      <c r="W404" s="26"/>
      <c r="X404" s="27" t="str">
        <f aca="false">IF(B404&lt;&gt;"SOLD","",IF(C404="Consignment",N(W404)-R404,N(U404)-R404-N(V404)))</f>
        <v/>
      </c>
      <c r="Y404" s="29" t="str">
        <f aca="false">IF(OR(X404="",N(R404)=0),"",X404/R404)</f>
        <v/>
      </c>
      <c r="Z404" s="30" t="str">
        <f aca="true">IF(O404="","",IF(T404="",TODAY(),T404)-O404)</f>
        <v/>
      </c>
      <c r="AA404" s="31" t="str">
        <f aca="false">IF(T404="","",TEXT(T404,"YYYY-MM"))</f>
        <v/>
      </c>
      <c r="AB404" s="27" t="str">
        <f aca="false">IF(X404="","",X404/2)</f>
        <v/>
      </c>
      <c r="AC404" s="21"/>
    </row>
    <row r="405" customFormat="false" ht="15" hidden="false" customHeight="false" outlineLevel="0" collapsed="false">
      <c r="A405" s="20"/>
      <c r="B405" s="21"/>
      <c r="C405" s="21"/>
      <c r="D405" s="21"/>
      <c r="E405" s="21"/>
      <c r="F405" s="21"/>
      <c r="G405" s="22"/>
      <c r="H405" s="21"/>
      <c r="I405" s="21"/>
      <c r="J405" s="21"/>
      <c r="K405" s="23"/>
      <c r="L405" s="24"/>
      <c r="M405" s="21"/>
      <c r="N405" s="21"/>
      <c r="O405" s="25"/>
      <c r="P405" s="26"/>
      <c r="Q405" s="27" t="str">
        <f aca="false">IF(A405="","",SUMIF(Expenses!$B$2:$B$3000,A405,Expenses!$E$2:$E$3000))</f>
        <v/>
      </c>
      <c r="R405" s="27" t="str">
        <f aca="false">IF(A405="","",N(P405)+N(Q405))</f>
        <v/>
      </c>
      <c r="S405" s="28"/>
      <c r="T405" s="25"/>
      <c r="U405" s="26"/>
      <c r="V405" s="26"/>
      <c r="W405" s="26"/>
      <c r="X405" s="27" t="str">
        <f aca="false">IF(B405&lt;&gt;"SOLD","",IF(C405="Consignment",N(W405)-R405,N(U405)-R405-N(V405)))</f>
        <v/>
      </c>
      <c r="Y405" s="29" t="str">
        <f aca="false">IF(OR(X405="",N(R405)=0),"",X405/R405)</f>
        <v/>
      </c>
      <c r="Z405" s="30" t="str">
        <f aca="true">IF(O405="","",IF(T405="",TODAY(),T405)-O405)</f>
        <v/>
      </c>
      <c r="AA405" s="31" t="str">
        <f aca="false">IF(T405="","",TEXT(T405,"YYYY-MM"))</f>
        <v/>
      </c>
      <c r="AB405" s="27" t="str">
        <f aca="false">IF(X405="","",X405/2)</f>
        <v/>
      </c>
      <c r="AC405" s="21"/>
    </row>
    <row r="406" customFormat="false" ht="15" hidden="false" customHeight="false" outlineLevel="0" collapsed="false">
      <c r="A406" s="20"/>
      <c r="B406" s="21"/>
      <c r="C406" s="21"/>
      <c r="D406" s="21"/>
      <c r="E406" s="21"/>
      <c r="F406" s="21"/>
      <c r="G406" s="22"/>
      <c r="H406" s="21"/>
      <c r="I406" s="21"/>
      <c r="J406" s="21"/>
      <c r="K406" s="23"/>
      <c r="L406" s="24"/>
      <c r="M406" s="21"/>
      <c r="N406" s="21"/>
      <c r="O406" s="25"/>
      <c r="P406" s="26"/>
      <c r="Q406" s="27" t="str">
        <f aca="false">IF(A406="","",SUMIF(Expenses!$B$2:$B$3000,A406,Expenses!$E$2:$E$3000))</f>
        <v/>
      </c>
      <c r="R406" s="27" t="str">
        <f aca="false">IF(A406="","",N(P406)+N(Q406))</f>
        <v/>
      </c>
      <c r="S406" s="28"/>
      <c r="T406" s="25"/>
      <c r="U406" s="26"/>
      <c r="V406" s="26"/>
      <c r="W406" s="26"/>
      <c r="X406" s="27" t="str">
        <f aca="false">IF(B406&lt;&gt;"SOLD","",IF(C406="Consignment",N(W406)-R406,N(U406)-R406-N(V406)))</f>
        <v/>
      </c>
      <c r="Y406" s="29" t="str">
        <f aca="false">IF(OR(X406="",N(R406)=0),"",X406/R406)</f>
        <v/>
      </c>
      <c r="Z406" s="30" t="str">
        <f aca="true">IF(O406="","",IF(T406="",TODAY(),T406)-O406)</f>
        <v/>
      </c>
      <c r="AA406" s="31" t="str">
        <f aca="false">IF(T406="","",TEXT(T406,"YYYY-MM"))</f>
        <v/>
      </c>
      <c r="AB406" s="27" t="str">
        <f aca="false">IF(X406="","",X406/2)</f>
        <v/>
      </c>
      <c r="AC406" s="21"/>
    </row>
    <row r="407" customFormat="false" ht="15" hidden="false" customHeight="false" outlineLevel="0" collapsed="false">
      <c r="A407" s="20"/>
      <c r="B407" s="21"/>
      <c r="C407" s="21"/>
      <c r="D407" s="21"/>
      <c r="E407" s="21"/>
      <c r="F407" s="21"/>
      <c r="G407" s="22"/>
      <c r="H407" s="21"/>
      <c r="I407" s="21"/>
      <c r="J407" s="21"/>
      <c r="K407" s="23"/>
      <c r="L407" s="24"/>
      <c r="M407" s="21"/>
      <c r="N407" s="21"/>
      <c r="O407" s="25"/>
      <c r="P407" s="26"/>
      <c r="Q407" s="27" t="str">
        <f aca="false">IF(A407="","",SUMIF(Expenses!$B$2:$B$3000,A407,Expenses!$E$2:$E$3000))</f>
        <v/>
      </c>
      <c r="R407" s="27" t="str">
        <f aca="false">IF(A407="","",N(P407)+N(Q407))</f>
        <v/>
      </c>
      <c r="S407" s="28"/>
      <c r="T407" s="25"/>
      <c r="U407" s="26"/>
      <c r="V407" s="26"/>
      <c r="W407" s="26"/>
      <c r="X407" s="27" t="str">
        <f aca="false">IF(B407&lt;&gt;"SOLD","",IF(C407="Consignment",N(W407)-R407,N(U407)-R407-N(V407)))</f>
        <v/>
      </c>
      <c r="Y407" s="29" t="str">
        <f aca="false">IF(OR(X407="",N(R407)=0),"",X407/R407)</f>
        <v/>
      </c>
      <c r="Z407" s="30" t="str">
        <f aca="true">IF(O407="","",IF(T407="",TODAY(),T407)-O407)</f>
        <v/>
      </c>
      <c r="AA407" s="31" t="str">
        <f aca="false">IF(T407="","",TEXT(T407,"YYYY-MM"))</f>
        <v/>
      </c>
      <c r="AB407" s="27" t="str">
        <f aca="false">IF(X407="","",X407/2)</f>
        <v/>
      </c>
      <c r="AC407" s="21"/>
    </row>
    <row r="408" customFormat="false" ht="15" hidden="false" customHeight="false" outlineLevel="0" collapsed="false">
      <c r="A408" s="20"/>
      <c r="B408" s="21"/>
      <c r="C408" s="21"/>
      <c r="D408" s="21"/>
      <c r="E408" s="21"/>
      <c r="F408" s="21"/>
      <c r="G408" s="22"/>
      <c r="H408" s="21"/>
      <c r="I408" s="21"/>
      <c r="J408" s="21"/>
      <c r="K408" s="23"/>
      <c r="L408" s="24"/>
      <c r="M408" s="21"/>
      <c r="N408" s="21"/>
      <c r="O408" s="25"/>
      <c r="P408" s="26"/>
      <c r="Q408" s="27" t="str">
        <f aca="false">IF(A408="","",SUMIF(Expenses!$B$2:$B$3000,A408,Expenses!$E$2:$E$3000))</f>
        <v/>
      </c>
      <c r="R408" s="27" t="str">
        <f aca="false">IF(A408="","",N(P408)+N(Q408))</f>
        <v/>
      </c>
      <c r="S408" s="28"/>
      <c r="T408" s="25"/>
      <c r="U408" s="26"/>
      <c r="V408" s="26"/>
      <c r="W408" s="26"/>
      <c r="X408" s="27" t="str">
        <f aca="false">IF(B408&lt;&gt;"SOLD","",IF(C408="Consignment",N(W408)-R408,N(U408)-R408-N(V408)))</f>
        <v/>
      </c>
      <c r="Y408" s="29" t="str">
        <f aca="false">IF(OR(X408="",N(R408)=0),"",X408/R408)</f>
        <v/>
      </c>
      <c r="Z408" s="30" t="str">
        <f aca="true">IF(O408="","",IF(T408="",TODAY(),T408)-O408)</f>
        <v/>
      </c>
      <c r="AA408" s="31" t="str">
        <f aca="false">IF(T408="","",TEXT(T408,"YYYY-MM"))</f>
        <v/>
      </c>
      <c r="AB408" s="27" t="str">
        <f aca="false">IF(X408="","",X408/2)</f>
        <v/>
      </c>
      <c r="AC408" s="21"/>
    </row>
    <row r="409" customFormat="false" ht="15" hidden="false" customHeight="false" outlineLevel="0" collapsed="false">
      <c r="A409" s="20"/>
      <c r="B409" s="21"/>
      <c r="C409" s="21"/>
      <c r="D409" s="21"/>
      <c r="E409" s="21"/>
      <c r="F409" s="21"/>
      <c r="G409" s="22"/>
      <c r="H409" s="21"/>
      <c r="I409" s="21"/>
      <c r="J409" s="21"/>
      <c r="K409" s="23"/>
      <c r="L409" s="24"/>
      <c r="M409" s="21"/>
      <c r="N409" s="21"/>
      <c r="O409" s="25"/>
      <c r="P409" s="26"/>
      <c r="Q409" s="27" t="str">
        <f aca="false">IF(A409="","",SUMIF(Expenses!$B$2:$B$3000,A409,Expenses!$E$2:$E$3000))</f>
        <v/>
      </c>
      <c r="R409" s="27" t="str">
        <f aca="false">IF(A409="","",N(P409)+N(Q409))</f>
        <v/>
      </c>
      <c r="S409" s="28"/>
      <c r="T409" s="25"/>
      <c r="U409" s="26"/>
      <c r="V409" s="26"/>
      <c r="W409" s="26"/>
      <c r="X409" s="27" t="str">
        <f aca="false">IF(B409&lt;&gt;"SOLD","",IF(C409="Consignment",N(W409)-R409,N(U409)-R409-N(V409)))</f>
        <v/>
      </c>
      <c r="Y409" s="29" t="str">
        <f aca="false">IF(OR(X409="",N(R409)=0),"",X409/R409)</f>
        <v/>
      </c>
      <c r="Z409" s="30" t="str">
        <f aca="true">IF(O409="","",IF(T409="",TODAY(),T409)-O409)</f>
        <v/>
      </c>
      <c r="AA409" s="31" t="str">
        <f aca="false">IF(T409="","",TEXT(T409,"YYYY-MM"))</f>
        <v/>
      </c>
      <c r="AB409" s="27" t="str">
        <f aca="false">IF(X409="","",X409/2)</f>
        <v/>
      </c>
      <c r="AC409" s="21"/>
    </row>
    <row r="410" customFormat="false" ht="15" hidden="false" customHeight="false" outlineLevel="0" collapsed="false">
      <c r="A410" s="20"/>
      <c r="B410" s="21"/>
      <c r="C410" s="21"/>
      <c r="D410" s="21"/>
      <c r="E410" s="21"/>
      <c r="F410" s="21"/>
      <c r="G410" s="22"/>
      <c r="H410" s="21"/>
      <c r="I410" s="21"/>
      <c r="J410" s="21"/>
      <c r="K410" s="23"/>
      <c r="L410" s="24"/>
      <c r="M410" s="21"/>
      <c r="N410" s="21"/>
      <c r="O410" s="25"/>
      <c r="P410" s="26"/>
      <c r="Q410" s="27" t="str">
        <f aca="false">IF(A410="","",SUMIF(Expenses!$B$2:$B$3000,A410,Expenses!$E$2:$E$3000))</f>
        <v/>
      </c>
      <c r="R410" s="27" t="str">
        <f aca="false">IF(A410="","",N(P410)+N(Q410))</f>
        <v/>
      </c>
      <c r="S410" s="28"/>
      <c r="T410" s="25"/>
      <c r="U410" s="26"/>
      <c r="V410" s="26"/>
      <c r="W410" s="26"/>
      <c r="X410" s="27" t="str">
        <f aca="false">IF(B410&lt;&gt;"SOLD","",IF(C410="Consignment",N(W410)-R410,N(U410)-R410-N(V410)))</f>
        <v/>
      </c>
      <c r="Y410" s="29" t="str">
        <f aca="false">IF(OR(X410="",N(R410)=0),"",X410/R410)</f>
        <v/>
      </c>
      <c r="Z410" s="30" t="str">
        <f aca="true">IF(O410="","",IF(T410="",TODAY(),T410)-O410)</f>
        <v/>
      </c>
      <c r="AA410" s="31" t="str">
        <f aca="false">IF(T410="","",TEXT(T410,"YYYY-MM"))</f>
        <v/>
      </c>
      <c r="AB410" s="27" t="str">
        <f aca="false">IF(X410="","",X410/2)</f>
        <v/>
      </c>
      <c r="AC410" s="21"/>
    </row>
    <row r="411" customFormat="false" ht="15" hidden="false" customHeight="false" outlineLevel="0" collapsed="false">
      <c r="A411" s="20"/>
      <c r="B411" s="21"/>
      <c r="C411" s="21"/>
      <c r="D411" s="21"/>
      <c r="E411" s="21"/>
      <c r="F411" s="21"/>
      <c r="G411" s="22"/>
      <c r="H411" s="21"/>
      <c r="I411" s="21"/>
      <c r="J411" s="21"/>
      <c r="K411" s="23"/>
      <c r="L411" s="24"/>
      <c r="M411" s="21"/>
      <c r="N411" s="21"/>
      <c r="O411" s="25"/>
      <c r="P411" s="26"/>
      <c r="Q411" s="27" t="str">
        <f aca="false">IF(A411="","",SUMIF(Expenses!$B$2:$B$3000,A411,Expenses!$E$2:$E$3000))</f>
        <v/>
      </c>
      <c r="R411" s="27" t="str">
        <f aca="false">IF(A411="","",N(P411)+N(Q411))</f>
        <v/>
      </c>
      <c r="S411" s="28"/>
      <c r="T411" s="25"/>
      <c r="U411" s="26"/>
      <c r="V411" s="26"/>
      <c r="W411" s="26"/>
      <c r="X411" s="27" t="str">
        <f aca="false">IF(B411&lt;&gt;"SOLD","",IF(C411="Consignment",N(W411)-R411,N(U411)-R411-N(V411)))</f>
        <v/>
      </c>
      <c r="Y411" s="29" t="str">
        <f aca="false">IF(OR(X411="",N(R411)=0),"",X411/R411)</f>
        <v/>
      </c>
      <c r="Z411" s="30" t="str">
        <f aca="true">IF(O411="","",IF(T411="",TODAY(),T411)-O411)</f>
        <v/>
      </c>
      <c r="AA411" s="31" t="str">
        <f aca="false">IF(T411="","",TEXT(T411,"YYYY-MM"))</f>
        <v/>
      </c>
      <c r="AB411" s="27" t="str">
        <f aca="false">IF(X411="","",X411/2)</f>
        <v/>
      </c>
      <c r="AC411" s="21"/>
    </row>
    <row r="412" customFormat="false" ht="15" hidden="false" customHeight="false" outlineLevel="0" collapsed="false">
      <c r="A412" s="20"/>
      <c r="B412" s="21"/>
      <c r="C412" s="21"/>
      <c r="D412" s="21"/>
      <c r="E412" s="21"/>
      <c r="F412" s="21"/>
      <c r="G412" s="22"/>
      <c r="H412" s="21"/>
      <c r="I412" s="21"/>
      <c r="J412" s="21"/>
      <c r="K412" s="23"/>
      <c r="L412" s="24"/>
      <c r="M412" s="21"/>
      <c r="N412" s="21"/>
      <c r="O412" s="25"/>
      <c r="P412" s="26"/>
      <c r="Q412" s="27" t="str">
        <f aca="false">IF(A412="","",SUMIF(Expenses!$B$2:$B$3000,A412,Expenses!$E$2:$E$3000))</f>
        <v/>
      </c>
      <c r="R412" s="27" t="str">
        <f aca="false">IF(A412="","",N(P412)+N(Q412))</f>
        <v/>
      </c>
      <c r="S412" s="28"/>
      <c r="T412" s="25"/>
      <c r="U412" s="26"/>
      <c r="V412" s="26"/>
      <c r="W412" s="26"/>
      <c r="X412" s="27" t="str">
        <f aca="false">IF(B412&lt;&gt;"SOLD","",IF(C412="Consignment",N(W412)-R412,N(U412)-R412-N(V412)))</f>
        <v/>
      </c>
      <c r="Y412" s="29" t="str">
        <f aca="false">IF(OR(X412="",N(R412)=0),"",X412/R412)</f>
        <v/>
      </c>
      <c r="Z412" s="30" t="str">
        <f aca="true">IF(O412="","",IF(T412="",TODAY(),T412)-O412)</f>
        <v/>
      </c>
      <c r="AA412" s="31" t="str">
        <f aca="false">IF(T412="","",TEXT(T412,"YYYY-MM"))</f>
        <v/>
      </c>
      <c r="AB412" s="27" t="str">
        <f aca="false">IF(X412="","",X412/2)</f>
        <v/>
      </c>
      <c r="AC412" s="21"/>
    </row>
    <row r="413" customFormat="false" ht="15" hidden="false" customHeight="false" outlineLevel="0" collapsed="false">
      <c r="A413" s="20"/>
      <c r="B413" s="21"/>
      <c r="C413" s="21"/>
      <c r="D413" s="21"/>
      <c r="E413" s="21"/>
      <c r="F413" s="21"/>
      <c r="G413" s="22"/>
      <c r="H413" s="21"/>
      <c r="I413" s="21"/>
      <c r="J413" s="21"/>
      <c r="K413" s="23"/>
      <c r="L413" s="24"/>
      <c r="M413" s="21"/>
      <c r="N413" s="21"/>
      <c r="O413" s="25"/>
      <c r="P413" s="26"/>
      <c r="Q413" s="27" t="str">
        <f aca="false">IF(A413="","",SUMIF(Expenses!$B$2:$B$3000,A413,Expenses!$E$2:$E$3000))</f>
        <v/>
      </c>
      <c r="R413" s="27" t="str">
        <f aca="false">IF(A413="","",N(P413)+N(Q413))</f>
        <v/>
      </c>
      <c r="S413" s="28"/>
      <c r="T413" s="25"/>
      <c r="U413" s="26"/>
      <c r="V413" s="26"/>
      <c r="W413" s="26"/>
      <c r="X413" s="27" t="str">
        <f aca="false">IF(B413&lt;&gt;"SOLD","",IF(C413="Consignment",N(W413)-R413,N(U413)-R413-N(V413)))</f>
        <v/>
      </c>
      <c r="Y413" s="29" t="str">
        <f aca="false">IF(OR(X413="",N(R413)=0),"",X413/R413)</f>
        <v/>
      </c>
      <c r="Z413" s="30" t="str">
        <f aca="true">IF(O413="","",IF(T413="",TODAY(),T413)-O413)</f>
        <v/>
      </c>
      <c r="AA413" s="31" t="str">
        <f aca="false">IF(T413="","",TEXT(T413,"YYYY-MM"))</f>
        <v/>
      </c>
      <c r="AB413" s="27" t="str">
        <f aca="false">IF(X413="","",X413/2)</f>
        <v/>
      </c>
      <c r="AC413" s="21"/>
    </row>
    <row r="414" customFormat="false" ht="15" hidden="false" customHeight="false" outlineLevel="0" collapsed="false">
      <c r="A414" s="20"/>
      <c r="B414" s="21"/>
      <c r="C414" s="21"/>
      <c r="D414" s="21"/>
      <c r="E414" s="21"/>
      <c r="F414" s="21"/>
      <c r="G414" s="22"/>
      <c r="H414" s="21"/>
      <c r="I414" s="21"/>
      <c r="J414" s="21"/>
      <c r="K414" s="23"/>
      <c r="L414" s="24"/>
      <c r="M414" s="21"/>
      <c r="N414" s="21"/>
      <c r="O414" s="25"/>
      <c r="P414" s="26"/>
      <c r="Q414" s="27" t="str">
        <f aca="false">IF(A414="","",SUMIF(Expenses!$B$2:$B$3000,A414,Expenses!$E$2:$E$3000))</f>
        <v/>
      </c>
      <c r="R414" s="27" t="str">
        <f aca="false">IF(A414="","",N(P414)+N(Q414))</f>
        <v/>
      </c>
      <c r="S414" s="28"/>
      <c r="T414" s="25"/>
      <c r="U414" s="26"/>
      <c r="V414" s="26"/>
      <c r="W414" s="26"/>
      <c r="X414" s="27" t="str">
        <f aca="false">IF(B414&lt;&gt;"SOLD","",IF(C414="Consignment",N(W414)-R414,N(U414)-R414-N(V414)))</f>
        <v/>
      </c>
      <c r="Y414" s="29" t="str">
        <f aca="false">IF(OR(X414="",N(R414)=0),"",X414/R414)</f>
        <v/>
      </c>
      <c r="Z414" s="30" t="str">
        <f aca="true">IF(O414="","",IF(T414="",TODAY(),T414)-O414)</f>
        <v/>
      </c>
      <c r="AA414" s="31" t="str">
        <f aca="false">IF(T414="","",TEXT(T414,"YYYY-MM"))</f>
        <v/>
      </c>
      <c r="AB414" s="27" t="str">
        <f aca="false">IF(X414="","",X414/2)</f>
        <v/>
      </c>
      <c r="AC414" s="21"/>
    </row>
    <row r="415" customFormat="false" ht="15" hidden="false" customHeight="false" outlineLevel="0" collapsed="false">
      <c r="A415" s="20"/>
      <c r="B415" s="21"/>
      <c r="C415" s="21"/>
      <c r="D415" s="21"/>
      <c r="E415" s="21"/>
      <c r="F415" s="21"/>
      <c r="G415" s="22"/>
      <c r="H415" s="21"/>
      <c r="I415" s="21"/>
      <c r="J415" s="21"/>
      <c r="K415" s="23"/>
      <c r="L415" s="24"/>
      <c r="M415" s="21"/>
      <c r="N415" s="21"/>
      <c r="O415" s="25"/>
      <c r="P415" s="26"/>
      <c r="Q415" s="27" t="str">
        <f aca="false">IF(A415="","",SUMIF(Expenses!$B$2:$B$3000,A415,Expenses!$E$2:$E$3000))</f>
        <v/>
      </c>
      <c r="R415" s="27" t="str">
        <f aca="false">IF(A415="","",N(P415)+N(Q415))</f>
        <v/>
      </c>
      <c r="S415" s="28"/>
      <c r="T415" s="25"/>
      <c r="U415" s="26"/>
      <c r="V415" s="26"/>
      <c r="W415" s="26"/>
      <c r="X415" s="27" t="str">
        <f aca="false">IF(B415&lt;&gt;"SOLD","",IF(C415="Consignment",N(W415)-R415,N(U415)-R415-N(V415)))</f>
        <v/>
      </c>
      <c r="Y415" s="29" t="str">
        <f aca="false">IF(OR(X415="",N(R415)=0),"",X415/R415)</f>
        <v/>
      </c>
      <c r="Z415" s="30" t="str">
        <f aca="true">IF(O415="","",IF(T415="",TODAY(),T415)-O415)</f>
        <v/>
      </c>
      <c r="AA415" s="31" t="str">
        <f aca="false">IF(T415="","",TEXT(T415,"YYYY-MM"))</f>
        <v/>
      </c>
      <c r="AB415" s="27" t="str">
        <f aca="false">IF(X415="","",X415/2)</f>
        <v/>
      </c>
      <c r="AC415" s="21"/>
    </row>
    <row r="416" customFormat="false" ht="15" hidden="false" customHeight="false" outlineLevel="0" collapsed="false">
      <c r="A416" s="20"/>
      <c r="B416" s="21"/>
      <c r="C416" s="21"/>
      <c r="D416" s="21"/>
      <c r="E416" s="21"/>
      <c r="F416" s="21"/>
      <c r="G416" s="22"/>
      <c r="H416" s="21"/>
      <c r="I416" s="21"/>
      <c r="J416" s="21"/>
      <c r="K416" s="23"/>
      <c r="L416" s="24"/>
      <c r="M416" s="21"/>
      <c r="N416" s="21"/>
      <c r="O416" s="25"/>
      <c r="P416" s="26"/>
      <c r="Q416" s="27" t="str">
        <f aca="false">IF(A416="","",SUMIF(Expenses!$B$2:$B$3000,A416,Expenses!$E$2:$E$3000))</f>
        <v/>
      </c>
      <c r="R416" s="27" t="str">
        <f aca="false">IF(A416="","",N(P416)+N(Q416))</f>
        <v/>
      </c>
      <c r="S416" s="28"/>
      <c r="T416" s="25"/>
      <c r="U416" s="26"/>
      <c r="V416" s="26"/>
      <c r="W416" s="26"/>
      <c r="X416" s="27" t="str">
        <f aca="false">IF(B416&lt;&gt;"SOLD","",IF(C416="Consignment",N(W416)-R416,N(U416)-R416-N(V416)))</f>
        <v/>
      </c>
      <c r="Y416" s="29" t="str">
        <f aca="false">IF(OR(X416="",N(R416)=0),"",X416/R416)</f>
        <v/>
      </c>
      <c r="Z416" s="30" t="str">
        <f aca="true">IF(O416="","",IF(T416="",TODAY(),T416)-O416)</f>
        <v/>
      </c>
      <c r="AA416" s="31" t="str">
        <f aca="false">IF(T416="","",TEXT(T416,"YYYY-MM"))</f>
        <v/>
      </c>
      <c r="AB416" s="27" t="str">
        <f aca="false">IF(X416="","",X416/2)</f>
        <v/>
      </c>
      <c r="AC416" s="21"/>
    </row>
    <row r="417" customFormat="false" ht="15" hidden="false" customHeight="false" outlineLevel="0" collapsed="false">
      <c r="A417" s="20"/>
      <c r="B417" s="21"/>
      <c r="C417" s="21"/>
      <c r="D417" s="21"/>
      <c r="E417" s="21"/>
      <c r="F417" s="21"/>
      <c r="G417" s="22"/>
      <c r="H417" s="21"/>
      <c r="I417" s="21"/>
      <c r="J417" s="21"/>
      <c r="K417" s="23"/>
      <c r="L417" s="24"/>
      <c r="M417" s="21"/>
      <c r="N417" s="21"/>
      <c r="O417" s="25"/>
      <c r="P417" s="26"/>
      <c r="Q417" s="27" t="str">
        <f aca="false">IF(A417="","",SUMIF(Expenses!$B$2:$B$3000,A417,Expenses!$E$2:$E$3000))</f>
        <v/>
      </c>
      <c r="R417" s="27" t="str">
        <f aca="false">IF(A417="","",N(P417)+N(Q417))</f>
        <v/>
      </c>
      <c r="S417" s="28"/>
      <c r="T417" s="25"/>
      <c r="U417" s="26"/>
      <c r="V417" s="26"/>
      <c r="W417" s="26"/>
      <c r="X417" s="27" t="str">
        <f aca="false">IF(B417&lt;&gt;"SOLD","",IF(C417="Consignment",N(W417)-R417,N(U417)-R417-N(V417)))</f>
        <v/>
      </c>
      <c r="Y417" s="29" t="str">
        <f aca="false">IF(OR(X417="",N(R417)=0),"",X417/R417)</f>
        <v/>
      </c>
      <c r="Z417" s="30" t="str">
        <f aca="true">IF(O417="","",IF(T417="",TODAY(),T417)-O417)</f>
        <v/>
      </c>
      <c r="AA417" s="31" t="str">
        <f aca="false">IF(T417="","",TEXT(T417,"YYYY-MM"))</f>
        <v/>
      </c>
      <c r="AB417" s="27" t="str">
        <f aca="false">IF(X417="","",X417/2)</f>
        <v/>
      </c>
      <c r="AC417" s="21"/>
    </row>
    <row r="418" customFormat="false" ht="15" hidden="false" customHeight="false" outlineLevel="0" collapsed="false">
      <c r="A418" s="20"/>
      <c r="B418" s="21"/>
      <c r="C418" s="21"/>
      <c r="D418" s="21"/>
      <c r="E418" s="21"/>
      <c r="F418" s="21"/>
      <c r="G418" s="22"/>
      <c r="H418" s="21"/>
      <c r="I418" s="21"/>
      <c r="J418" s="21"/>
      <c r="K418" s="23"/>
      <c r="L418" s="24"/>
      <c r="M418" s="21"/>
      <c r="N418" s="21"/>
      <c r="O418" s="25"/>
      <c r="P418" s="26"/>
      <c r="Q418" s="27" t="str">
        <f aca="false">IF(A418="","",SUMIF(Expenses!$B$2:$B$3000,A418,Expenses!$E$2:$E$3000))</f>
        <v/>
      </c>
      <c r="R418" s="27" t="str">
        <f aca="false">IF(A418="","",N(P418)+N(Q418))</f>
        <v/>
      </c>
      <c r="S418" s="28"/>
      <c r="T418" s="25"/>
      <c r="U418" s="26"/>
      <c r="V418" s="26"/>
      <c r="W418" s="26"/>
      <c r="X418" s="27" t="str">
        <f aca="false">IF(B418&lt;&gt;"SOLD","",IF(C418="Consignment",N(W418)-R418,N(U418)-R418-N(V418)))</f>
        <v/>
      </c>
      <c r="Y418" s="29" t="str">
        <f aca="false">IF(OR(X418="",N(R418)=0),"",X418/R418)</f>
        <v/>
      </c>
      <c r="Z418" s="30" t="str">
        <f aca="true">IF(O418="","",IF(T418="",TODAY(),T418)-O418)</f>
        <v/>
      </c>
      <c r="AA418" s="31" t="str">
        <f aca="false">IF(T418="","",TEXT(T418,"YYYY-MM"))</f>
        <v/>
      </c>
      <c r="AB418" s="27" t="str">
        <f aca="false">IF(X418="","",X418/2)</f>
        <v/>
      </c>
      <c r="AC418" s="21"/>
    </row>
    <row r="419" customFormat="false" ht="15" hidden="false" customHeight="false" outlineLevel="0" collapsed="false">
      <c r="A419" s="20"/>
      <c r="B419" s="21"/>
      <c r="C419" s="21"/>
      <c r="D419" s="21"/>
      <c r="E419" s="21"/>
      <c r="F419" s="21"/>
      <c r="G419" s="22"/>
      <c r="H419" s="21"/>
      <c r="I419" s="21"/>
      <c r="J419" s="21"/>
      <c r="K419" s="23"/>
      <c r="L419" s="24"/>
      <c r="M419" s="21"/>
      <c r="N419" s="21"/>
      <c r="O419" s="25"/>
      <c r="P419" s="26"/>
      <c r="Q419" s="27" t="str">
        <f aca="false">IF(A419="","",SUMIF(Expenses!$B$2:$B$3000,A419,Expenses!$E$2:$E$3000))</f>
        <v/>
      </c>
      <c r="R419" s="27" t="str">
        <f aca="false">IF(A419="","",N(P419)+N(Q419))</f>
        <v/>
      </c>
      <c r="S419" s="28"/>
      <c r="T419" s="25"/>
      <c r="U419" s="26"/>
      <c r="V419" s="26"/>
      <c r="W419" s="26"/>
      <c r="X419" s="27" t="str">
        <f aca="false">IF(B419&lt;&gt;"SOLD","",IF(C419="Consignment",N(W419)-R419,N(U419)-R419-N(V419)))</f>
        <v/>
      </c>
      <c r="Y419" s="29" t="str">
        <f aca="false">IF(OR(X419="",N(R419)=0),"",X419/R419)</f>
        <v/>
      </c>
      <c r="Z419" s="30" t="str">
        <f aca="true">IF(O419="","",IF(T419="",TODAY(),T419)-O419)</f>
        <v/>
      </c>
      <c r="AA419" s="31" t="str">
        <f aca="false">IF(T419="","",TEXT(T419,"YYYY-MM"))</f>
        <v/>
      </c>
      <c r="AB419" s="27" t="str">
        <f aca="false">IF(X419="","",X419/2)</f>
        <v/>
      </c>
      <c r="AC419" s="21"/>
    </row>
    <row r="420" customFormat="false" ht="15" hidden="false" customHeight="false" outlineLevel="0" collapsed="false">
      <c r="A420" s="20"/>
      <c r="B420" s="21"/>
      <c r="C420" s="21"/>
      <c r="D420" s="21"/>
      <c r="E420" s="21"/>
      <c r="F420" s="21"/>
      <c r="G420" s="22"/>
      <c r="H420" s="21"/>
      <c r="I420" s="21"/>
      <c r="J420" s="21"/>
      <c r="K420" s="23"/>
      <c r="L420" s="24"/>
      <c r="M420" s="21"/>
      <c r="N420" s="21"/>
      <c r="O420" s="25"/>
      <c r="P420" s="26"/>
      <c r="Q420" s="27" t="str">
        <f aca="false">IF(A420="","",SUMIF(Expenses!$B$2:$B$3000,A420,Expenses!$E$2:$E$3000))</f>
        <v/>
      </c>
      <c r="R420" s="27" t="str">
        <f aca="false">IF(A420="","",N(P420)+N(Q420))</f>
        <v/>
      </c>
      <c r="S420" s="28"/>
      <c r="T420" s="25"/>
      <c r="U420" s="26"/>
      <c r="V420" s="26"/>
      <c r="W420" s="26"/>
      <c r="X420" s="27" t="str">
        <f aca="false">IF(B420&lt;&gt;"SOLD","",IF(C420="Consignment",N(W420)-R420,N(U420)-R420-N(V420)))</f>
        <v/>
      </c>
      <c r="Y420" s="29" t="str">
        <f aca="false">IF(OR(X420="",N(R420)=0),"",X420/R420)</f>
        <v/>
      </c>
      <c r="Z420" s="30" t="str">
        <f aca="true">IF(O420="","",IF(T420="",TODAY(),T420)-O420)</f>
        <v/>
      </c>
      <c r="AA420" s="31" t="str">
        <f aca="false">IF(T420="","",TEXT(T420,"YYYY-MM"))</f>
        <v/>
      </c>
      <c r="AB420" s="27" t="str">
        <f aca="false">IF(X420="","",X420/2)</f>
        <v/>
      </c>
      <c r="AC420" s="21"/>
    </row>
    <row r="421" customFormat="false" ht="15" hidden="false" customHeight="false" outlineLevel="0" collapsed="false">
      <c r="A421" s="20"/>
      <c r="B421" s="21"/>
      <c r="C421" s="21"/>
      <c r="D421" s="21"/>
      <c r="E421" s="21"/>
      <c r="F421" s="21"/>
      <c r="G421" s="22"/>
      <c r="H421" s="21"/>
      <c r="I421" s="21"/>
      <c r="J421" s="21"/>
      <c r="K421" s="23"/>
      <c r="L421" s="24"/>
      <c r="M421" s="21"/>
      <c r="N421" s="21"/>
      <c r="O421" s="25"/>
      <c r="P421" s="26"/>
      <c r="Q421" s="27" t="str">
        <f aca="false">IF(A421="","",SUMIF(Expenses!$B$2:$B$3000,A421,Expenses!$E$2:$E$3000))</f>
        <v/>
      </c>
      <c r="R421" s="27" t="str">
        <f aca="false">IF(A421="","",N(P421)+N(Q421))</f>
        <v/>
      </c>
      <c r="S421" s="28"/>
      <c r="T421" s="25"/>
      <c r="U421" s="26"/>
      <c r="V421" s="26"/>
      <c r="W421" s="26"/>
      <c r="X421" s="27" t="str">
        <f aca="false">IF(B421&lt;&gt;"SOLD","",IF(C421="Consignment",N(W421)-R421,N(U421)-R421-N(V421)))</f>
        <v/>
      </c>
      <c r="Y421" s="29" t="str">
        <f aca="false">IF(OR(X421="",N(R421)=0),"",X421/R421)</f>
        <v/>
      </c>
      <c r="Z421" s="30" t="str">
        <f aca="true">IF(O421="","",IF(T421="",TODAY(),T421)-O421)</f>
        <v/>
      </c>
      <c r="AA421" s="31" t="str">
        <f aca="false">IF(T421="","",TEXT(T421,"YYYY-MM"))</f>
        <v/>
      </c>
      <c r="AB421" s="27" t="str">
        <f aca="false">IF(X421="","",X421/2)</f>
        <v/>
      </c>
      <c r="AC421" s="21"/>
    </row>
    <row r="422" customFormat="false" ht="15" hidden="false" customHeight="false" outlineLevel="0" collapsed="false">
      <c r="A422" s="20"/>
      <c r="B422" s="21"/>
      <c r="C422" s="21"/>
      <c r="D422" s="21"/>
      <c r="E422" s="21"/>
      <c r="F422" s="21"/>
      <c r="G422" s="22"/>
      <c r="H422" s="21"/>
      <c r="I422" s="21"/>
      <c r="J422" s="21"/>
      <c r="K422" s="23"/>
      <c r="L422" s="24"/>
      <c r="M422" s="21"/>
      <c r="N422" s="21"/>
      <c r="O422" s="25"/>
      <c r="P422" s="26"/>
      <c r="Q422" s="27" t="str">
        <f aca="false">IF(A422="","",SUMIF(Expenses!$B$2:$B$3000,A422,Expenses!$E$2:$E$3000))</f>
        <v/>
      </c>
      <c r="R422" s="27" t="str">
        <f aca="false">IF(A422="","",N(P422)+N(Q422))</f>
        <v/>
      </c>
      <c r="S422" s="28"/>
      <c r="T422" s="25"/>
      <c r="U422" s="26"/>
      <c r="V422" s="26"/>
      <c r="W422" s="26"/>
      <c r="X422" s="27" t="str">
        <f aca="false">IF(B422&lt;&gt;"SOLD","",IF(C422="Consignment",N(W422)-R422,N(U422)-R422-N(V422)))</f>
        <v/>
      </c>
      <c r="Y422" s="29" t="str">
        <f aca="false">IF(OR(X422="",N(R422)=0),"",X422/R422)</f>
        <v/>
      </c>
      <c r="Z422" s="30" t="str">
        <f aca="true">IF(O422="","",IF(T422="",TODAY(),T422)-O422)</f>
        <v/>
      </c>
      <c r="AA422" s="31" t="str">
        <f aca="false">IF(T422="","",TEXT(T422,"YYYY-MM"))</f>
        <v/>
      </c>
      <c r="AB422" s="27" t="str">
        <f aca="false">IF(X422="","",X422/2)</f>
        <v/>
      </c>
      <c r="AC422" s="21"/>
    </row>
    <row r="423" customFormat="false" ht="15" hidden="false" customHeight="false" outlineLevel="0" collapsed="false">
      <c r="A423" s="20"/>
      <c r="B423" s="21"/>
      <c r="C423" s="21"/>
      <c r="D423" s="21"/>
      <c r="E423" s="21"/>
      <c r="F423" s="21"/>
      <c r="G423" s="22"/>
      <c r="H423" s="21"/>
      <c r="I423" s="21"/>
      <c r="J423" s="21"/>
      <c r="K423" s="23"/>
      <c r="L423" s="24"/>
      <c r="M423" s="21"/>
      <c r="N423" s="21"/>
      <c r="O423" s="25"/>
      <c r="P423" s="26"/>
      <c r="Q423" s="27" t="str">
        <f aca="false">IF(A423="","",SUMIF(Expenses!$B$2:$B$3000,A423,Expenses!$E$2:$E$3000))</f>
        <v/>
      </c>
      <c r="R423" s="27" t="str">
        <f aca="false">IF(A423="","",N(P423)+N(Q423))</f>
        <v/>
      </c>
      <c r="S423" s="28"/>
      <c r="T423" s="25"/>
      <c r="U423" s="26"/>
      <c r="V423" s="26"/>
      <c r="W423" s="26"/>
      <c r="X423" s="27" t="str">
        <f aca="false">IF(B423&lt;&gt;"SOLD","",IF(C423="Consignment",N(W423)-R423,N(U423)-R423-N(V423)))</f>
        <v/>
      </c>
      <c r="Y423" s="29" t="str">
        <f aca="false">IF(OR(X423="",N(R423)=0),"",X423/R423)</f>
        <v/>
      </c>
      <c r="Z423" s="30" t="str">
        <f aca="true">IF(O423="","",IF(T423="",TODAY(),T423)-O423)</f>
        <v/>
      </c>
      <c r="AA423" s="31" t="str">
        <f aca="false">IF(T423="","",TEXT(T423,"YYYY-MM"))</f>
        <v/>
      </c>
      <c r="AB423" s="27" t="str">
        <f aca="false">IF(X423="","",X423/2)</f>
        <v/>
      </c>
      <c r="AC423" s="21"/>
    </row>
    <row r="424" customFormat="false" ht="15" hidden="false" customHeight="false" outlineLevel="0" collapsed="false">
      <c r="A424" s="20"/>
      <c r="B424" s="21"/>
      <c r="C424" s="21"/>
      <c r="D424" s="21"/>
      <c r="E424" s="21"/>
      <c r="F424" s="21"/>
      <c r="G424" s="22"/>
      <c r="H424" s="21"/>
      <c r="I424" s="21"/>
      <c r="J424" s="21"/>
      <c r="K424" s="23"/>
      <c r="L424" s="24"/>
      <c r="M424" s="21"/>
      <c r="N424" s="21"/>
      <c r="O424" s="25"/>
      <c r="P424" s="26"/>
      <c r="Q424" s="27" t="str">
        <f aca="false">IF(A424="","",SUMIF(Expenses!$B$2:$B$3000,A424,Expenses!$E$2:$E$3000))</f>
        <v/>
      </c>
      <c r="R424" s="27" t="str">
        <f aca="false">IF(A424="","",N(P424)+N(Q424))</f>
        <v/>
      </c>
      <c r="S424" s="28"/>
      <c r="T424" s="25"/>
      <c r="U424" s="26"/>
      <c r="V424" s="26"/>
      <c r="W424" s="26"/>
      <c r="X424" s="27" t="str">
        <f aca="false">IF(B424&lt;&gt;"SOLD","",IF(C424="Consignment",N(W424)-R424,N(U424)-R424-N(V424)))</f>
        <v/>
      </c>
      <c r="Y424" s="29" t="str">
        <f aca="false">IF(OR(X424="",N(R424)=0),"",X424/R424)</f>
        <v/>
      </c>
      <c r="Z424" s="30" t="str">
        <f aca="true">IF(O424="","",IF(T424="",TODAY(),T424)-O424)</f>
        <v/>
      </c>
      <c r="AA424" s="31" t="str">
        <f aca="false">IF(T424="","",TEXT(T424,"YYYY-MM"))</f>
        <v/>
      </c>
      <c r="AB424" s="27" t="str">
        <f aca="false">IF(X424="","",X424/2)</f>
        <v/>
      </c>
      <c r="AC424" s="21"/>
    </row>
    <row r="425" customFormat="false" ht="15" hidden="false" customHeight="false" outlineLevel="0" collapsed="false">
      <c r="A425" s="20"/>
      <c r="B425" s="21"/>
      <c r="C425" s="21"/>
      <c r="D425" s="21"/>
      <c r="E425" s="21"/>
      <c r="F425" s="21"/>
      <c r="G425" s="22"/>
      <c r="H425" s="21"/>
      <c r="I425" s="21"/>
      <c r="J425" s="21"/>
      <c r="K425" s="23"/>
      <c r="L425" s="24"/>
      <c r="M425" s="21"/>
      <c r="N425" s="21"/>
      <c r="O425" s="25"/>
      <c r="P425" s="26"/>
      <c r="Q425" s="27" t="str">
        <f aca="false">IF(A425="","",SUMIF(Expenses!$B$2:$B$3000,A425,Expenses!$E$2:$E$3000))</f>
        <v/>
      </c>
      <c r="R425" s="27" t="str">
        <f aca="false">IF(A425="","",N(P425)+N(Q425))</f>
        <v/>
      </c>
      <c r="S425" s="28"/>
      <c r="T425" s="25"/>
      <c r="U425" s="26"/>
      <c r="V425" s="26"/>
      <c r="W425" s="26"/>
      <c r="X425" s="27" t="str">
        <f aca="false">IF(B425&lt;&gt;"SOLD","",IF(C425="Consignment",N(W425)-R425,N(U425)-R425-N(V425)))</f>
        <v/>
      </c>
      <c r="Y425" s="29" t="str">
        <f aca="false">IF(OR(X425="",N(R425)=0),"",X425/R425)</f>
        <v/>
      </c>
      <c r="Z425" s="30" t="str">
        <f aca="true">IF(O425="","",IF(T425="",TODAY(),T425)-O425)</f>
        <v/>
      </c>
      <c r="AA425" s="31" t="str">
        <f aca="false">IF(T425="","",TEXT(T425,"YYYY-MM"))</f>
        <v/>
      </c>
      <c r="AB425" s="27" t="str">
        <f aca="false">IF(X425="","",X425/2)</f>
        <v/>
      </c>
      <c r="AC425" s="21"/>
    </row>
    <row r="426" customFormat="false" ht="15" hidden="false" customHeight="false" outlineLevel="0" collapsed="false">
      <c r="A426" s="20"/>
      <c r="B426" s="21"/>
      <c r="C426" s="21"/>
      <c r="D426" s="21"/>
      <c r="E426" s="21"/>
      <c r="F426" s="21"/>
      <c r="G426" s="22"/>
      <c r="H426" s="21"/>
      <c r="I426" s="21"/>
      <c r="J426" s="21"/>
      <c r="K426" s="23"/>
      <c r="L426" s="24"/>
      <c r="M426" s="21"/>
      <c r="N426" s="21"/>
      <c r="O426" s="25"/>
      <c r="P426" s="26"/>
      <c r="Q426" s="27" t="str">
        <f aca="false">IF(A426="","",SUMIF(Expenses!$B$2:$B$3000,A426,Expenses!$E$2:$E$3000))</f>
        <v/>
      </c>
      <c r="R426" s="27" t="str">
        <f aca="false">IF(A426="","",N(P426)+N(Q426))</f>
        <v/>
      </c>
      <c r="S426" s="28"/>
      <c r="T426" s="25"/>
      <c r="U426" s="26"/>
      <c r="V426" s="26"/>
      <c r="W426" s="26"/>
      <c r="X426" s="27" t="str">
        <f aca="false">IF(B426&lt;&gt;"SOLD","",IF(C426="Consignment",N(W426)-R426,N(U426)-R426-N(V426)))</f>
        <v/>
      </c>
      <c r="Y426" s="29" t="str">
        <f aca="false">IF(OR(X426="",N(R426)=0),"",X426/R426)</f>
        <v/>
      </c>
      <c r="Z426" s="30" t="str">
        <f aca="true">IF(O426="","",IF(T426="",TODAY(),T426)-O426)</f>
        <v/>
      </c>
      <c r="AA426" s="31" t="str">
        <f aca="false">IF(T426="","",TEXT(T426,"YYYY-MM"))</f>
        <v/>
      </c>
      <c r="AB426" s="27" t="str">
        <f aca="false">IF(X426="","",X426/2)</f>
        <v/>
      </c>
      <c r="AC426" s="21"/>
    </row>
    <row r="427" customFormat="false" ht="15" hidden="false" customHeight="false" outlineLevel="0" collapsed="false">
      <c r="A427" s="20"/>
      <c r="B427" s="21"/>
      <c r="C427" s="21"/>
      <c r="D427" s="21"/>
      <c r="E427" s="21"/>
      <c r="F427" s="21"/>
      <c r="G427" s="22"/>
      <c r="H427" s="21"/>
      <c r="I427" s="21"/>
      <c r="J427" s="21"/>
      <c r="K427" s="23"/>
      <c r="L427" s="24"/>
      <c r="M427" s="21"/>
      <c r="N427" s="21"/>
      <c r="O427" s="25"/>
      <c r="P427" s="26"/>
      <c r="Q427" s="27" t="str">
        <f aca="false">IF(A427="","",SUMIF(Expenses!$B$2:$B$3000,A427,Expenses!$E$2:$E$3000))</f>
        <v/>
      </c>
      <c r="R427" s="27" t="str">
        <f aca="false">IF(A427="","",N(P427)+N(Q427))</f>
        <v/>
      </c>
      <c r="S427" s="28"/>
      <c r="T427" s="25"/>
      <c r="U427" s="26"/>
      <c r="V427" s="26"/>
      <c r="W427" s="26"/>
      <c r="X427" s="27" t="str">
        <f aca="false">IF(B427&lt;&gt;"SOLD","",IF(C427="Consignment",N(W427)-R427,N(U427)-R427-N(V427)))</f>
        <v/>
      </c>
      <c r="Y427" s="29" t="str">
        <f aca="false">IF(OR(X427="",N(R427)=0),"",X427/R427)</f>
        <v/>
      </c>
      <c r="Z427" s="30" t="str">
        <f aca="true">IF(O427="","",IF(T427="",TODAY(),T427)-O427)</f>
        <v/>
      </c>
      <c r="AA427" s="31" t="str">
        <f aca="false">IF(T427="","",TEXT(T427,"YYYY-MM"))</f>
        <v/>
      </c>
      <c r="AB427" s="27" t="str">
        <f aca="false">IF(X427="","",X427/2)</f>
        <v/>
      </c>
      <c r="AC427" s="21"/>
    </row>
    <row r="428" customFormat="false" ht="15" hidden="false" customHeight="false" outlineLevel="0" collapsed="false">
      <c r="A428" s="20"/>
      <c r="B428" s="21"/>
      <c r="C428" s="21"/>
      <c r="D428" s="21"/>
      <c r="E428" s="21"/>
      <c r="F428" s="21"/>
      <c r="G428" s="22"/>
      <c r="H428" s="21"/>
      <c r="I428" s="21"/>
      <c r="J428" s="21"/>
      <c r="K428" s="23"/>
      <c r="L428" s="24"/>
      <c r="M428" s="21"/>
      <c r="N428" s="21"/>
      <c r="O428" s="25"/>
      <c r="P428" s="26"/>
      <c r="Q428" s="27" t="str">
        <f aca="false">IF(A428="","",SUMIF(Expenses!$B$2:$B$3000,A428,Expenses!$E$2:$E$3000))</f>
        <v/>
      </c>
      <c r="R428" s="27" t="str">
        <f aca="false">IF(A428="","",N(P428)+N(Q428))</f>
        <v/>
      </c>
      <c r="S428" s="28"/>
      <c r="T428" s="25"/>
      <c r="U428" s="26"/>
      <c r="V428" s="26"/>
      <c r="W428" s="26"/>
      <c r="X428" s="27" t="str">
        <f aca="false">IF(B428&lt;&gt;"SOLD","",IF(C428="Consignment",N(W428)-R428,N(U428)-R428-N(V428)))</f>
        <v/>
      </c>
      <c r="Y428" s="29" t="str">
        <f aca="false">IF(OR(X428="",N(R428)=0),"",X428/R428)</f>
        <v/>
      </c>
      <c r="Z428" s="30" t="str">
        <f aca="true">IF(O428="","",IF(T428="",TODAY(),T428)-O428)</f>
        <v/>
      </c>
      <c r="AA428" s="31" t="str">
        <f aca="false">IF(T428="","",TEXT(T428,"YYYY-MM"))</f>
        <v/>
      </c>
      <c r="AB428" s="27" t="str">
        <f aca="false">IF(X428="","",X428/2)</f>
        <v/>
      </c>
      <c r="AC428" s="21"/>
    </row>
    <row r="429" customFormat="false" ht="15" hidden="false" customHeight="false" outlineLevel="0" collapsed="false">
      <c r="A429" s="20"/>
      <c r="B429" s="21"/>
      <c r="C429" s="21"/>
      <c r="D429" s="21"/>
      <c r="E429" s="21"/>
      <c r="F429" s="21"/>
      <c r="G429" s="22"/>
      <c r="H429" s="21"/>
      <c r="I429" s="21"/>
      <c r="J429" s="21"/>
      <c r="K429" s="23"/>
      <c r="L429" s="24"/>
      <c r="M429" s="21"/>
      <c r="N429" s="21"/>
      <c r="O429" s="25"/>
      <c r="P429" s="26"/>
      <c r="Q429" s="27" t="str">
        <f aca="false">IF(A429="","",SUMIF(Expenses!$B$2:$B$3000,A429,Expenses!$E$2:$E$3000))</f>
        <v/>
      </c>
      <c r="R429" s="27" t="str">
        <f aca="false">IF(A429="","",N(P429)+N(Q429))</f>
        <v/>
      </c>
      <c r="S429" s="28"/>
      <c r="T429" s="25"/>
      <c r="U429" s="26"/>
      <c r="V429" s="26"/>
      <c r="W429" s="26"/>
      <c r="X429" s="27" t="str">
        <f aca="false">IF(B429&lt;&gt;"SOLD","",IF(C429="Consignment",N(W429)-R429,N(U429)-R429-N(V429)))</f>
        <v/>
      </c>
      <c r="Y429" s="29" t="str">
        <f aca="false">IF(OR(X429="",N(R429)=0),"",X429/R429)</f>
        <v/>
      </c>
      <c r="Z429" s="30" t="str">
        <f aca="true">IF(O429="","",IF(T429="",TODAY(),T429)-O429)</f>
        <v/>
      </c>
      <c r="AA429" s="31" t="str">
        <f aca="false">IF(T429="","",TEXT(T429,"YYYY-MM"))</f>
        <v/>
      </c>
      <c r="AB429" s="27" t="str">
        <f aca="false">IF(X429="","",X429/2)</f>
        <v/>
      </c>
      <c r="AC429" s="21"/>
    </row>
    <row r="430" customFormat="false" ht="15" hidden="false" customHeight="false" outlineLevel="0" collapsed="false">
      <c r="A430" s="20"/>
      <c r="B430" s="21"/>
      <c r="C430" s="21"/>
      <c r="D430" s="21"/>
      <c r="E430" s="21"/>
      <c r="F430" s="21"/>
      <c r="G430" s="22"/>
      <c r="H430" s="21"/>
      <c r="I430" s="21"/>
      <c r="J430" s="21"/>
      <c r="K430" s="23"/>
      <c r="L430" s="24"/>
      <c r="M430" s="21"/>
      <c r="N430" s="21"/>
      <c r="O430" s="25"/>
      <c r="P430" s="26"/>
      <c r="Q430" s="27" t="str">
        <f aca="false">IF(A430="","",SUMIF(Expenses!$B$2:$B$3000,A430,Expenses!$E$2:$E$3000))</f>
        <v/>
      </c>
      <c r="R430" s="27" t="str">
        <f aca="false">IF(A430="","",N(P430)+N(Q430))</f>
        <v/>
      </c>
      <c r="S430" s="28"/>
      <c r="T430" s="25"/>
      <c r="U430" s="26"/>
      <c r="V430" s="26"/>
      <c r="W430" s="26"/>
      <c r="X430" s="27" t="str">
        <f aca="false">IF(B430&lt;&gt;"SOLD","",IF(C430="Consignment",N(W430)-R430,N(U430)-R430-N(V430)))</f>
        <v/>
      </c>
      <c r="Y430" s="29" t="str">
        <f aca="false">IF(OR(X430="",N(R430)=0),"",X430/R430)</f>
        <v/>
      </c>
      <c r="Z430" s="30" t="str">
        <f aca="true">IF(O430="","",IF(T430="",TODAY(),T430)-O430)</f>
        <v/>
      </c>
      <c r="AA430" s="31" t="str">
        <f aca="false">IF(T430="","",TEXT(T430,"YYYY-MM"))</f>
        <v/>
      </c>
      <c r="AB430" s="27" t="str">
        <f aca="false">IF(X430="","",X430/2)</f>
        <v/>
      </c>
      <c r="AC430" s="21"/>
    </row>
    <row r="431" customFormat="false" ht="15" hidden="false" customHeight="false" outlineLevel="0" collapsed="false">
      <c r="A431" s="20"/>
      <c r="B431" s="21"/>
      <c r="C431" s="21"/>
      <c r="D431" s="21"/>
      <c r="E431" s="21"/>
      <c r="F431" s="21"/>
      <c r="G431" s="22"/>
      <c r="H431" s="21"/>
      <c r="I431" s="21"/>
      <c r="J431" s="21"/>
      <c r="K431" s="23"/>
      <c r="L431" s="24"/>
      <c r="M431" s="21"/>
      <c r="N431" s="21"/>
      <c r="O431" s="25"/>
      <c r="P431" s="26"/>
      <c r="Q431" s="27" t="str">
        <f aca="false">IF(A431="","",SUMIF(Expenses!$B$2:$B$3000,A431,Expenses!$E$2:$E$3000))</f>
        <v/>
      </c>
      <c r="R431" s="27" t="str">
        <f aca="false">IF(A431="","",N(P431)+N(Q431))</f>
        <v/>
      </c>
      <c r="S431" s="28"/>
      <c r="T431" s="25"/>
      <c r="U431" s="26"/>
      <c r="V431" s="26"/>
      <c r="W431" s="26"/>
      <c r="X431" s="27" t="str">
        <f aca="false">IF(B431&lt;&gt;"SOLD","",IF(C431="Consignment",N(W431)-R431,N(U431)-R431-N(V431)))</f>
        <v/>
      </c>
      <c r="Y431" s="29" t="str">
        <f aca="false">IF(OR(X431="",N(R431)=0),"",X431/R431)</f>
        <v/>
      </c>
      <c r="Z431" s="30" t="str">
        <f aca="true">IF(O431="","",IF(T431="",TODAY(),T431)-O431)</f>
        <v/>
      </c>
      <c r="AA431" s="31" t="str">
        <f aca="false">IF(T431="","",TEXT(T431,"YYYY-MM"))</f>
        <v/>
      </c>
      <c r="AB431" s="27" t="str">
        <f aca="false">IF(X431="","",X431/2)</f>
        <v/>
      </c>
      <c r="AC431" s="21"/>
    </row>
    <row r="432" customFormat="false" ht="15" hidden="false" customHeight="false" outlineLevel="0" collapsed="false">
      <c r="A432" s="20"/>
      <c r="B432" s="21"/>
      <c r="C432" s="21"/>
      <c r="D432" s="21"/>
      <c r="E432" s="21"/>
      <c r="F432" s="21"/>
      <c r="G432" s="22"/>
      <c r="H432" s="21"/>
      <c r="I432" s="21"/>
      <c r="J432" s="21"/>
      <c r="K432" s="23"/>
      <c r="L432" s="24"/>
      <c r="M432" s="21"/>
      <c r="N432" s="21"/>
      <c r="O432" s="25"/>
      <c r="P432" s="26"/>
      <c r="Q432" s="27" t="str">
        <f aca="false">IF(A432="","",SUMIF(Expenses!$B$2:$B$3000,A432,Expenses!$E$2:$E$3000))</f>
        <v/>
      </c>
      <c r="R432" s="27" t="str">
        <f aca="false">IF(A432="","",N(P432)+N(Q432))</f>
        <v/>
      </c>
      <c r="S432" s="28"/>
      <c r="T432" s="25"/>
      <c r="U432" s="26"/>
      <c r="V432" s="26"/>
      <c r="W432" s="26"/>
      <c r="X432" s="27" t="str">
        <f aca="false">IF(B432&lt;&gt;"SOLD","",IF(C432="Consignment",N(W432)-R432,N(U432)-R432-N(V432)))</f>
        <v/>
      </c>
      <c r="Y432" s="29" t="str">
        <f aca="false">IF(OR(X432="",N(R432)=0),"",X432/R432)</f>
        <v/>
      </c>
      <c r="Z432" s="30" t="str">
        <f aca="true">IF(O432="","",IF(T432="",TODAY(),T432)-O432)</f>
        <v/>
      </c>
      <c r="AA432" s="31" t="str">
        <f aca="false">IF(T432="","",TEXT(T432,"YYYY-MM"))</f>
        <v/>
      </c>
      <c r="AB432" s="27" t="str">
        <f aca="false">IF(X432="","",X432/2)</f>
        <v/>
      </c>
      <c r="AC432" s="21"/>
    </row>
    <row r="433" customFormat="false" ht="15" hidden="false" customHeight="false" outlineLevel="0" collapsed="false">
      <c r="A433" s="20"/>
      <c r="B433" s="21"/>
      <c r="C433" s="21"/>
      <c r="D433" s="21"/>
      <c r="E433" s="21"/>
      <c r="F433" s="21"/>
      <c r="G433" s="22"/>
      <c r="H433" s="21"/>
      <c r="I433" s="21"/>
      <c r="J433" s="21"/>
      <c r="K433" s="23"/>
      <c r="L433" s="24"/>
      <c r="M433" s="21"/>
      <c r="N433" s="21"/>
      <c r="O433" s="25"/>
      <c r="P433" s="26"/>
      <c r="Q433" s="27" t="str">
        <f aca="false">IF(A433="","",SUMIF(Expenses!$B$2:$B$3000,A433,Expenses!$E$2:$E$3000))</f>
        <v/>
      </c>
      <c r="R433" s="27" t="str">
        <f aca="false">IF(A433="","",N(P433)+N(Q433))</f>
        <v/>
      </c>
      <c r="S433" s="28"/>
      <c r="T433" s="25"/>
      <c r="U433" s="26"/>
      <c r="V433" s="26"/>
      <c r="W433" s="26"/>
      <c r="X433" s="27" t="str">
        <f aca="false">IF(B433&lt;&gt;"SOLD","",IF(C433="Consignment",N(W433)-R433,N(U433)-R433-N(V433)))</f>
        <v/>
      </c>
      <c r="Y433" s="29" t="str">
        <f aca="false">IF(OR(X433="",N(R433)=0),"",X433/R433)</f>
        <v/>
      </c>
      <c r="Z433" s="30" t="str">
        <f aca="true">IF(O433="","",IF(T433="",TODAY(),T433)-O433)</f>
        <v/>
      </c>
      <c r="AA433" s="31" t="str">
        <f aca="false">IF(T433="","",TEXT(T433,"YYYY-MM"))</f>
        <v/>
      </c>
      <c r="AB433" s="27" t="str">
        <f aca="false">IF(X433="","",X433/2)</f>
        <v/>
      </c>
      <c r="AC433" s="21"/>
    </row>
    <row r="434" customFormat="false" ht="15" hidden="false" customHeight="false" outlineLevel="0" collapsed="false">
      <c r="A434" s="20"/>
      <c r="B434" s="21"/>
      <c r="C434" s="21"/>
      <c r="D434" s="21"/>
      <c r="E434" s="21"/>
      <c r="F434" s="21"/>
      <c r="G434" s="22"/>
      <c r="H434" s="21"/>
      <c r="I434" s="21"/>
      <c r="J434" s="21"/>
      <c r="K434" s="23"/>
      <c r="L434" s="24"/>
      <c r="M434" s="21"/>
      <c r="N434" s="21"/>
      <c r="O434" s="25"/>
      <c r="P434" s="26"/>
      <c r="Q434" s="27" t="str">
        <f aca="false">IF(A434="","",SUMIF(Expenses!$B$2:$B$3000,A434,Expenses!$E$2:$E$3000))</f>
        <v/>
      </c>
      <c r="R434" s="27" t="str">
        <f aca="false">IF(A434="","",N(P434)+N(Q434))</f>
        <v/>
      </c>
      <c r="S434" s="28"/>
      <c r="T434" s="25"/>
      <c r="U434" s="26"/>
      <c r="V434" s="26"/>
      <c r="W434" s="26"/>
      <c r="X434" s="27" t="str">
        <f aca="false">IF(B434&lt;&gt;"SOLD","",IF(C434="Consignment",N(W434)-R434,N(U434)-R434-N(V434)))</f>
        <v/>
      </c>
      <c r="Y434" s="29" t="str">
        <f aca="false">IF(OR(X434="",N(R434)=0),"",X434/R434)</f>
        <v/>
      </c>
      <c r="Z434" s="30" t="str">
        <f aca="true">IF(O434="","",IF(T434="",TODAY(),T434)-O434)</f>
        <v/>
      </c>
      <c r="AA434" s="31" t="str">
        <f aca="false">IF(T434="","",TEXT(T434,"YYYY-MM"))</f>
        <v/>
      </c>
      <c r="AB434" s="27" t="str">
        <f aca="false">IF(X434="","",X434/2)</f>
        <v/>
      </c>
      <c r="AC434" s="21"/>
    </row>
    <row r="435" customFormat="false" ht="15" hidden="false" customHeight="false" outlineLevel="0" collapsed="false">
      <c r="A435" s="20"/>
      <c r="B435" s="21"/>
      <c r="C435" s="21"/>
      <c r="D435" s="21"/>
      <c r="E435" s="21"/>
      <c r="F435" s="21"/>
      <c r="G435" s="22"/>
      <c r="H435" s="21"/>
      <c r="I435" s="21"/>
      <c r="J435" s="21"/>
      <c r="K435" s="23"/>
      <c r="L435" s="24"/>
      <c r="M435" s="21"/>
      <c r="N435" s="21"/>
      <c r="O435" s="25"/>
      <c r="P435" s="26"/>
      <c r="Q435" s="27" t="str">
        <f aca="false">IF(A435="","",SUMIF(Expenses!$B$2:$B$3000,A435,Expenses!$E$2:$E$3000))</f>
        <v/>
      </c>
      <c r="R435" s="27" t="str">
        <f aca="false">IF(A435="","",N(P435)+N(Q435))</f>
        <v/>
      </c>
      <c r="S435" s="28"/>
      <c r="T435" s="25"/>
      <c r="U435" s="26"/>
      <c r="V435" s="26"/>
      <c r="W435" s="26"/>
      <c r="X435" s="27" t="str">
        <f aca="false">IF(B435&lt;&gt;"SOLD","",IF(C435="Consignment",N(W435)-R435,N(U435)-R435-N(V435)))</f>
        <v/>
      </c>
      <c r="Y435" s="29" t="str">
        <f aca="false">IF(OR(X435="",N(R435)=0),"",X435/R435)</f>
        <v/>
      </c>
      <c r="Z435" s="30" t="str">
        <f aca="true">IF(O435="","",IF(T435="",TODAY(),T435)-O435)</f>
        <v/>
      </c>
      <c r="AA435" s="31" t="str">
        <f aca="false">IF(T435="","",TEXT(T435,"YYYY-MM"))</f>
        <v/>
      </c>
      <c r="AB435" s="27" t="str">
        <f aca="false">IF(X435="","",X435/2)</f>
        <v/>
      </c>
      <c r="AC435" s="21"/>
    </row>
    <row r="436" customFormat="false" ht="15" hidden="false" customHeight="false" outlineLevel="0" collapsed="false">
      <c r="A436" s="20"/>
      <c r="B436" s="21"/>
      <c r="C436" s="21"/>
      <c r="D436" s="21"/>
      <c r="E436" s="21"/>
      <c r="F436" s="21"/>
      <c r="G436" s="22"/>
      <c r="H436" s="21"/>
      <c r="I436" s="21"/>
      <c r="J436" s="21"/>
      <c r="K436" s="23"/>
      <c r="L436" s="24"/>
      <c r="M436" s="21"/>
      <c r="N436" s="21"/>
      <c r="O436" s="25"/>
      <c r="P436" s="26"/>
      <c r="Q436" s="27" t="str">
        <f aca="false">IF(A436="","",SUMIF(Expenses!$B$2:$B$3000,A436,Expenses!$E$2:$E$3000))</f>
        <v/>
      </c>
      <c r="R436" s="27" t="str">
        <f aca="false">IF(A436="","",N(P436)+N(Q436))</f>
        <v/>
      </c>
      <c r="S436" s="28"/>
      <c r="T436" s="25"/>
      <c r="U436" s="26"/>
      <c r="V436" s="26"/>
      <c r="W436" s="26"/>
      <c r="X436" s="27" t="str">
        <f aca="false">IF(B436&lt;&gt;"SOLD","",IF(C436="Consignment",N(W436)-R436,N(U436)-R436-N(V436)))</f>
        <v/>
      </c>
      <c r="Y436" s="29" t="str">
        <f aca="false">IF(OR(X436="",N(R436)=0),"",X436/R436)</f>
        <v/>
      </c>
      <c r="Z436" s="30" t="str">
        <f aca="true">IF(O436="","",IF(T436="",TODAY(),T436)-O436)</f>
        <v/>
      </c>
      <c r="AA436" s="31" t="str">
        <f aca="false">IF(T436="","",TEXT(T436,"YYYY-MM"))</f>
        <v/>
      </c>
      <c r="AB436" s="27" t="str">
        <f aca="false">IF(X436="","",X436/2)</f>
        <v/>
      </c>
      <c r="AC436" s="21"/>
    </row>
    <row r="437" customFormat="false" ht="15" hidden="false" customHeight="false" outlineLevel="0" collapsed="false">
      <c r="A437" s="20"/>
      <c r="B437" s="21"/>
      <c r="C437" s="21"/>
      <c r="D437" s="21"/>
      <c r="E437" s="21"/>
      <c r="F437" s="21"/>
      <c r="G437" s="22"/>
      <c r="H437" s="21"/>
      <c r="I437" s="21"/>
      <c r="J437" s="21"/>
      <c r="K437" s="23"/>
      <c r="L437" s="24"/>
      <c r="M437" s="21"/>
      <c r="N437" s="21"/>
      <c r="O437" s="25"/>
      <c r="P437" s="26"/>
      <c r="Q437" s="27" t="str">
        <f aca="false">IF(A437="","",SUMIF(Expenses!$B$2:$B$3000,A437,Expenses!$E$2:$E$3000))</f>
        <v/>
      </c>
      <c r="R437" s="27" t="str">
        <f aca="false">IF(A437="","",N(P437)+N(Q437))</f>
        <v/>
      </c>
      <c r="S437" s="28"/>
      <c r="T437" s="25"/>
      <c r="U437" s="26"/>
      <c r="V437" s="26"/>
      <c r="W437" s="26"/>
      <c r="X437" s="27" t="str">
        <f aca="false">IF(B437&lt;&gt;"SOLD","",IF(C437="Consignment",N(W437)-R437,N(U437)-R437-N(V437)))</f>
        <v/>
      </c>
      <c r="Y437" s="29" t="str">
        <f aca="false">IF(OR(X437="",N(R437)=0),"",X437/R437)</f>
        <v/>
      </c>
      <c r="Z437" s="30" t="str">
        <f aca="true">IF(O437="","",IF(T437="",TODAY(),T437)-O437)</f>
        <v/>
      </c>
      <c r="AA437" s="31" t="str">
        <f aca="false">IF(T437="","",TEXT(T437,"YYYY-MM"))</f>
        <v/>
      </c>
      <c r="AB437" s="27" t="str">
        <f aca="false">IF(X437="","",X437/2)</f>
        <v/>
      </c>
      <c r="AC437" s="21"/>
    </row>
    <row r="438" customFormat="false" ht="15" hidden="false" customHeight="false" outlineLevel="0" collapsed="false">
      <c r="A438" s="20"/>
      <c r="B438" s="21"/>
      <c r="C438" s="21"/>
      <c r="D438" s="21"/>
      <c r="E438" s="21"/>
      <c r="F438" s="21"/>
      <c r="G438" s="22"/>
      <c r="H438" s="21"/>
      <c r="I438" s="21"/>
      <c r="J438" s="21"/>
      <c r="K438" s="23"/>
      <c r="L438" s="24"/>
      <c r="M438" s="21"/>
      <c r="N438" s="21"/>
      <c r="O438" s="25"/>
      <c r="P438" s="26"/>
      <c r="Q438" s="27" t="str">
        <f aca="false">IF(A438="","",SUMIF(Expenses!$B$2:$B$3000,A438,Expenses!$E$2:$E$3000))</f>
        <v/>
      </c>
      <c r="R438" s="27" t="str">
        <f aca="false">IF(A438="","",N(P438)+N(Q438))</f>
        <v/>
      </c>
      <c r="S438" s="28"/>
      <c r="T438" s="25"/>
      <c r="U438" s="26"/>
      <c r="V438" s="26"/>
      <c r="W438" s="26"/>
      <c r="X438" s="27" t="str">
        <f aca="false">IF(B438&lt;&gt;"SOLD","",IF(C438="Consignment",N(W438)-R438,N(U438)-R438-N(V438)))</f>
        <v/>
      </c>
      <c r="Y438" s="29" t="str">
        <f aca="false">IF(OR(X438="",N(R438)=0),"",X438/R438)</f>
        <v/>
      </c>
      <c r="Z438" s="30" t="str">
        <f aca="true">IF(O438="","",IF(T438="",TODAY(),T438)-O438)</f>
        <v/>
      </c>
      <c r="AA438" s="31" t="str">
        <f aca="false">IF(T438="","",TEXT(T438,"YYYY-MM"))</f>
        <v/>
      </c>
      <c r="AB438" s="27" t="str">
        <f aca="false">IF(X438="","",X438/2)</f>
        <v/>
      </c>
      <c r="AC438" s="21"/>
    </row>
    <row r="439" customFormat="false" ht="15" hidden="false" customHeight="false" outlineLevel="0" collapsed="false">
      <c r="A439" s="20"/>
      <c r="B439" s="21"/>
      <c r="C439" s="21"/>
      <c r="D439" s="21"/>
      <c r="E439" s="21"/>
      <c r="F439" s="21"/>
      <c r="G439" s="22"/>
      <c r="H439" s="21"/>
      <c r="I439" s="21"/>
      <c r="J439" s="21"/>
      <c r="K439" s="23"/>
      <c r="L439" s="24"/>
      <c r="M439" s="21"/>
      <c r="N439" s="21"/>
      <c r="O439" s="25"/>
      <c r="P439" s="26"/>
      <c r="Q439" s="27" t="str">
        <f aca="false">IF(A439="","",SUMIF(Expenses!$B$2:$B$3000,A439,Expenses!$E$2:$E$3000))</f>
        <v/>
      </c>
      <c r="R439" s="27" t="str">
        <f aca="false">IF(A439="","",N(P439)+N(Q439))</f>
        <v/>
      </c>
      <c r="S439" s="28"/>
      <c r="T439" s="25"/>
      <c r="U439" s="26"/>
      <c r="V439" s="26"/>
      <c r="W439" s="26"/>
      <c r="X439" s="27" t="str">
        <f aca="false">IF(B439&lt;&gt;"SOLD","",IF(C439="Consignment",N(W439)-R439,N(U439)-R439-N(V439)))</f>
        <v/>
      </c>
      <c r="Y439" s="29" t="str">
        <f aca="false">IF(OR(X439="",N(R439)=0),"",X439/R439)</f>
        <v/>
      </c>
      <c r="Z439" s="30" t="str">
        <f aca="true">IF(O439="","",IF(T439="",TODAY(),T439)-O439)</f>
        <v/>
      </c>
      <c r="AA439" s="31" t="str">
        <f aca="false">IF(T439="","",TEXT(T439,"YYYY-MM"))</f>
        <v/>
      </c>
      <c r="AB439" s="27" t="str">
        <f aca="false">IF(X439="","",X439/2)</f>
        <v/>
      </c>
      <c r="AC439" s="21"/>
    </row>
    <row r="440" customFormat="false" ht="15" hidden="false" customHeight="false" outlineLevel="0" collapsed="false">
      <c r="A440" s="20"/>
      <c r="B440" s="21"/>
      <c r="C440" s="21"/>
      <c r="D440" s="21"/>
      <c r="E440" s="21"/>
      <c r="F440" s="21"/>
      <c r="G440" s="22"/>
      <c r="H440" s="21"/>
      <c r="I440" s="21"/>
      <c r="J440" s="21"/>
      <c r="K440" s="23"/>
      <c r="L440" s="24"/>
      <c r="M440" s="21"/>
      <c r="N440" s="21"/>
      <c r="O440" s="25"/>
      <c r="P440" s="26"/>
      <c r="Q440" s="27" t="str">
        <f aca="false">IF(A440="","",SUMIF(Expenses!$B$2:$B$3000,A440,Expenses!$E$2:$E$3000))</f>
        <v/>
      </c>
      <c r="R440" s="27" t="str">
        <f aca="false">IF(A440="","",N(P440)+N(Q440))</f>
        <v/>
      </c>
      <c r="S440" s="28"/>
      <c r="T440" s="25"/>
      <c r="U440" s="26"/>
      <c r="V440" s="26"/>
      <c r="W440" s="26"/>
      <c r="X440" s="27" t="str">
        <f aca="false">IF(B440&lt;&gt;"SOLD","",IF(C440="Consignment",N(W440)-R440,N(U440)-R440-N(V440)))</f>
        <v/>
      </c>
      <c r="Y440" s="29" t="str">
        <f aca="false">IF(OR(X440="",N(R440)=0),"",X440/R440)</f>
        <v/>
      </c>
      <c r="Z440" s="30" t="str">
        <f aca="true">IF(O440="","",IF(T440="",TODAY(),T440)-O440)</f>
        <v/>
      </c>
      <c r="AA440" s="31" t="str">
        <f aca="false">IF(T440="","",TEXT(T440,"YYYY-MM"))</f>
        <v/>
      </c>
      <c r="AB440" s="27" t="str">
        <f aca="false">IF(X440="","",X440/2)</f>
        <v/>
      </c>
      <c r="AC440" s="21"/>
    </row>
    <row r="441" customFormat="false" ht="15" hidden="false" customHeight="false" outlineLevel="0" collapsed="false">
      <c r="A441" s="20"/>
      <c r="B441" s="21"/>
      <c r="C441" s="21"/>
      <c r="D441" s="21"/>
      <c r="E441" s="21"/>
      <c r="F441" s="21"/>
      <c r="G441" s="22"/>
      <c r="H441" s="21"/>
      <c r="I441" s="21"/>
      <c r="J441" s="21"/>
      <c r="K441" s="23"/>
      <c r="L441" s="24"/>
      <c r="M441" s="21"/>
      <c r="N441" s="21"/>
      <c r="O441" s="25"/>
      <c r="P441" s="26"/>
      <c r="Q441" s="27" t="str">
        <f aca="false">IF(A441="","",SUMIF(Expenses!$B$2:$B$3000,A441,Expenses!$E$2:$E$3000))</f>
        <v/>
      </c>
      <c r="R441" s="27" t="str">
        <f aca="false">IF(A441="","",N(P441)+N(Q441))</f>
        <v/>
      </c>
      <c r="S441" s="28"/>
      <c r="T441" s="25"/>
      <c r="U441" s="26"/>
      <c r="V441" s="26"/>
      <c r="W441" s="26"/>
      <c r="X441" s="27" t="str">
        <f aca="false">IF(B441&lt;&gt;"SOLD","",IF(C441="Consignment",N(W441)-R441,N(U441)-R441-N(V441)))</f>
        <v/>
      </c>
      <c r="Y441" s="29" t="str">
        <f aca="false">IF(OR(X441="",N(R441)=0),"",X441/R441)</f>
        <v/>
      </c>
      <c r="Z441" s="30" t="str">
        <f aca="true">IF(O441="","",IF(T441="",TODAY(),T441)-O441)</f>
        <v/>
      </c>
      <c r="AA441" s="31" t="str">
        <f aca="false">IF(T441="","",TEXT(T441,"YYYY-MM"))</f>
        <v/>
      </c>
      <c r="AB441" s="27" t="str">
        <f aca="false">IF(X441="","",X441/2)</f>
        <v/>
      </c>
      <c r="AC441" s="21"/>
    </row>
    <row r="442" customFormat="false" ht="15" hidden="false" customHeight="false" outlineLevel="0" collapsed="false">
      <c r="A442" s="20"/>
      <c r="B442" s="21"/>
      <c r="C442" s="21"/>
      <c r="D442" s="21"/>
      <c r="E442" s="21"/>
      <c r="F442" s="21"/>
      <c r="G442" s="22"/>
      <c r="H442" s="21"/>
      <c r="I442" s="21"/>
      <c r="J442" s="21"/>
      <c r="K442" s="23"/>
      <c r="L442" s="24"/>
      <c r="M442" s="21"/>
      <c r="N442" s="21"/>
      <c r="O442" s="25"/>
      <c r="P442" s="26"/>
      <c r="Q442" s="27" t="str">
        <f aca="false">IF(A442="","",SUMIF(Expenses!$B$2:$B$3000,A442,Expenses!$E$2:$E$3000))</f>
        <v/>
      </c>
      <c r="R442" s="27" t="str">
        <f aca="false">IF(A442="","",N(P442)+N(Q442))</f>
        <v/>
      </c>
      <c r="S442" s="28"/>
      <c r="T442" s="25"/>
      <c r="U442" s="26"/>
      <c r="V442" s="26"/>
      <c r="W442" s="26"/>
      <c r="X442" s="27" t="str">
        <f aca="false">IF(B442&lt;&gt;"SOLD","",IF(C442="Consignment",N(W442)-R442,N(U442)-R442-N(V442)))</f>
        <v/>
      </c>
      <c r="Y442" s="29" t="str">
        <f aca="false">IF(OR(X442="",N(R442)=0),"",X442/R442)</f>
        <v/>
      </c>
      <c r="Z442" s="30" t="str">
        <f aca="true">IF(O442="","",IF(T442="",TODAY(),T442)-O442)</f>
        <v/>
      </c>
      <c r="AA442" s="31" t="str">
        <f aca="false">IF(T442="","",TEXT(T442,"YYYY-MM"))</f>
        <v/>
      </c>
      <c r="AB442" s="27" t="str">
        <f aca="false">IF(X442="","",X442/2)</f>
        <v/>
      </c>
      <c r="AC442" s="21"/>
    </row>
    <row r="443" customFormat="false" ht="15" hidden="false" customHeight="false" outlineLevel="0" collapsed="false">
      <c r="A443" s="20"/>
      <c r="B443" s="21"/>
      <c r="C443" s="21"/>
      <c r="D443" s="21"/>
      <c r="E443" s="21"/>
      <c r="F443" s="21"/>
      <c r="G443" s="22"/>
      <c r="H443" s="21"/>
      <c r="I443" s="21"/>
      <c r="J443" s="21"/>
      <c r="K443" s="23"/>
      <c r="L443" s="24"/>
      <c r="M443" s="21"/>
      <c r="N443" s="21"/>
      <c r="O443" s="25"/>
      <c r="P443" s="26"/>
      <c r="Q443" s="27" t="str">
        <f aca="false">IF(A443="","",SUMIF(Expenses!$B$2:$B$3000,A443,Expenses!$E$2:$E$3000))</f>
        <v/>
      </c>
      <c r="R443" s="27" t="str">
        <f aca="false">IF(A443="","",N(P443)+N(Q443))</f>
        <v/>
      </c>
      <c r="S443" s="28"/>
      <c r="T443" s="25"/>
      <c r="U443" s="26"/>
      <c r="V443" s="26"/>
      <c r="W443" s="26"/>
      <c r="X443" s="27" t="str">
        <f aca="false">IF(B443&lt;&gt;"SOLD","",IF(C443="Consignment",N(W443)-R443,N(U443)-R443-N(V443)))</f>
        <v/>
      </c>
      <c r="Y443" s="29" t="str">
        <f aca="false">IF(OR(X443="",N(R443)=0),"",X443/R443)</f>
        <v/>
      </c>
      <c r="Z443" s="30" t="str">
        <f aca="true">IF(O443="","",IF(T443="",TODAY(),T443)-O443)</f>
        <v/>
      </c>
      <c r="AA443" s="31" t="str">
        <f aca="false">IF(T443="","",TEXT(T443,"YYYY-MM"))</f>
        <v/>
      </c>
      <c r="AB443" s="27" t="str">
        <f aca="false">IF(X443="","",X443/2)</f>
        <v/>
      </c>
      <c r="AC443" s="21"/>
    </row>
    <row r="444" customFormat="false" ht="15" hidden="false" customHeight="false" outlineLevel="0" collapsed="false">
      <c r="A444" s="20"/>
      <c r="B444" s="21"/>
      <c r="C444" s="21"/>
      <c r="D444" s="21"/>
      <c r="E444" s="21"/>
      <c r="F444" s="21"/>
      <c r="G444" s="22"/>
      <c r="H444" s="21"/>
      <c r="I444" s="21"/>
      <c r="J444" s="21"/>
      <c r="K444" s="23"/>
      <c r="L444" s="24"/>
      <c r="M444" s="21"/>
      <c r="N444" s="21"/>
      <c r="O444" s="25"/>
      <c r="P444" s="26"/>
      <c r="Q444" s="27" t="str">
        <f aca="false">IF(A444="","",SUMIF(Expenses!$B$2:$B$3000,A444,Expenses!$E$2:$E$3000))</f>
        <v/>
      </c>
      <c r="R444" s="27" t="str">
        <f aca="false">IF(A444="","",N(P444)+N(Q444))</f>
        <v/>
      </c>
      <c r="S444" s="28"/>
      <c r="T444" s="25"/>
      <c r="U444" s="26"/>
      <c r="V444" s="26"/>
      <c r="W444" s="26"/>
      <c r="X444" s="27" t="str">
        <f aca="false">IF(B444&lt;&gt;"SOLD","",IF(C444="Consignment",N(W444)-R444,N(U444)-R444-N(V444)))</f>
        <v/>
      </c>
      <c r="Y444" s="29" t="str">
        <f aca="false">IF(OR(X444="",N(R444)=0),"",X444/R444)</f>
        <v/>
      </c>
      <c r="Z444" s="30" t="str">
        <f aca="true">IF(O444="","",IF(T444="",TODAY(),T444)-O444)</f>
        <v/>
      </c>
      <c r="AA444" s="31" t="str">
        <f aca="false">IF(T444="","",TEXT(T444,"YYYY-MM"))</f>
        <v/>
      </c>
      <c r="AB444" s="27" t="str">
        <f aca="false">IF(X444="","",X444/2)</f>
        <v/>
      </c>
      <c r="AC444" s="21"/>
    </row>
    <row r="445" customFormat="false" ht="15" hidden="false" customHeight="false" outlineLevel="0" collapsed="false">
      <c r="A445" s="20"/>
      <c r="B445" s="21"/>
      <c r="C445" s="21"/>
      <c r="D445" s="21"/>
      <c r="E445" s="21"/>
      <c r="F445" s="21"/>
      <c r="G445" s="22"/>
      <c r="H445" s="21"/>
      <c r="I445" s="21"/>
      <c r="J445" s="21"/>
      <c r="K445" s="23"/>
      <c r="L445" s="24"/>
      <c r="M445" s="21"/>
      <c r="N445" s="21"/>
      <c r="O445" s="25"/>
      <c r="P445" s="26"/>
      <c r="Q445" s="27" t="str">
        <f aca="false">IF(A445="","",SUMIF(Expenses!$B$2:$B$3000,A445,Expenses!$E$2:$E$3000))</f>
        <v/>
      </c>
      <c r="R445" s="27" t="str">
        <f aca="false">IF(A445="","",N(P445)+N(Q445))</f>
        <v/>
      </c>
      <c r="S445" s="28"/>
      <c r="T445" s="25"/>
      <c r="U445" s="26"/>
      <c r="V445" s="26"/>
      <c r="W445" s="26"/>
      <c r="X445" s="27" t="str">
        <f aca="false">IF(B445&lt;&gt;"SOLD","",IF(C445="Consignment",N(W445)-R445,N(U445)-R445-N(V445)))</f>
        <v/>
      </c>
      <c r="Y445" s="29" t="str">
        <f aca="false">IF(OR(X445="",N(R445)=0),"",X445/R445)</f>
        <v/>
      </c>
      <c r="Z445" s="30" t="str">
        <f aca="true">IF(O445="","",IF(T445="",TODAY(),T445)-O445)</f>
        <v/>
      </c>
      <c r="AA445" s="31" t="str">
        <f aca="false">IF(T445="","",TEXT(T445,"YYYY-MM"))</f>
        <v/>
      </c>
      <c r="AB445" s="27" t="str">
        <f aca="false">IF(X445="","",X445/2)</f>
        <v/>
      </c>
      <c r="AC445" s="21"/>
    </row>
    <row r="446" customFormat="false" ht="15" hidden="false" customHeight="false" outlineLevel="0" collapsed="false">
      <c r="A446" s="20"/>
      <c r="B446" s="21"/>
      <c r="C446" s="21"/>
      <c r="D446" s="21"/>
      <c r="E446" s="21"/>
      <c r="F446" s="21"/>
      <c r="G446" s="22"/>
      <c r="H446" s="21"/>
      <c r="I446" s="21"/>
      <c r="J446" s="21"/>
      <c r="K446" s="23"/>
      <c r="L446" s="24"/>
      <c r="M446" s="21"/>
      <c r="N446" s="21"/>
      <c r="O446" s="25"/>
      <c r="P446" s="26"/>
      <c r="Q446" s="27" t="str">
        <f aca="false">IF(A446="","",SUMIF(Expenses!$B$2:$B$3000,A446,Expenses!$E$2:$E$3000))</f>
        <v/>
      </c>
      <c r="R446" s="27" t="str">
        <f aca="false">IF(A446="","",N(P446)+N(Q446))</f>
        <v/>
      </c>
      <c r="S446" s="28"/>
      <c r="T446" s="25"/>
      <c r="U446" s="26"/>
      <c r="V446" s="26"/>
      <c r="W446" s="26"/>
      <c r="X446" s="27" t="str">
        <f aca="false">IF(B446&lt;&gt;"SOLD","",IF(C446="Consignment",N(W446)-R446,N(U446)-R446-N(V446)))</f>
        <v/>
      </c>
      <c r="Y446" s="29" t="str">
        <f aca="false">IF(OR(X446="",N(R446)=0),"",X446/R446)</f>
        <v/>
      </c>
      <c r="Z446" s="30" t="str">
        <f aca="true">IF(O446="","",IF(T446="",TODAY(),T446)-O446)</f>
        <v/>
      </c>
      <c r="AA446" s="31" t="str">
        <f aca="false">IF(T446="","",TEXT(T446,"YYYY-MM"))</f>
        <v/>
      </c>
      <c r="AB446" s="27" t="str">
        <f aca="false">IF(X446="","",X446/2)</f>
        <v/>
      </c>
      <c r="AC446" s="21"/>
    </row>
    <row r="447" customFormat="false" ht="15" hidden="false" customHeight="false" outlineLevel="0" collapsed="false">
      <c r="A447" s="20"/>
      <c r="B447" s="21"/>
      <c r="C447" s="21"/>
      <c r="D447" s="21"/>
      <c r="E447" s="21"/>
      <c r="F447" s="21"/>
      <c r="G447" s="22"/>
      <c r="H447" s="21"/>
      <c r="I447" s="21"/>
      <c r="J447" s="21"/>
      <c r="K447" s="23"/>
      <c r="L447" s="24"/>
      <c r="M447" s="21"/>
      <c r="N447" s="21"/>
      <c r="O447" s="25"/>
      <c r="P447" s="26"/>
      <c r="Q447" s="27" t="str">
        <f aca="false">IF(A447="","",SUMIF(Expenses!$B$2:$B$3000,A447,Expenses!$E$2:$E$3000))</f>
        <v/>
      </c>
      <c r="R447" s="27" t="str">
        <f aca="false">IF(A447="","",N(P447)+N(Q447))</f>
        <v/>
      </c>
      <c r="S447" s="28"/>
      <c r="T447" s="25"/>
      <c r="U447" s="26"/>
      <c r="V447" s="26"/>
      <c r="W447" s="26"/>
      <c r="X447" s="27" t="str">
        <f aca="false">IF(B447&lt;&gt;"SOLD","",IF(C447="Consignment",N(W447)-R447,N(U447)-R447-N(V447)))</f>
        <v/>
      </c>
      <c r="Y447" s="29" t="str">
        <f aca="false">IF(OR(X447="",N(R447)=0),"",X447/R447)</f>
        <v/>
      </c>
      <c r="Z447" s="30" t="str">
        <f aca="true">IF(O447="","",IF(T447="",TODAY(),T447)-O447)</f>
        <v/>
      </c>
      <c r="AA447" s="31" t="str">
        <f aca="false">IF(T447="","",TEXT(T447,"YYYY-MM"))</f>
        <v/>
      </c>
      <c r="AB447" s="27" t="str">
        <f aca="false">IF(X447="","",X447/2)</f>
        <v/>
      </c>
      <c r="AC447" s="21"/>
    </row>
    <row r="448" customFormat="false" ht="15" hidden="false" customHeight="false" outlineLevel="0" collapsed="false">
      <c r="A448" s="20"/>
      <c r="B448" s="21"/>
      <c r="C448" s="21"/>
      <c r="D448" s="21"/>
      <c r="E448" s="21"/>
      <c r="F448" s="21"/>
      <c r="G448" s="22"/>
      <c r="H448" s="21"/>
      <c r="I448" s="21"/>
      <c r="J448" s="21"/>
      <c r="K448" s="23"/>
      <c r="L448" s="24"/>
      <c r="M448" s="21"/>
      <c r="N448" s="21"/>
      <c r="O448" s="25"/>
      <c r="P448" s="26"/>
      <c r="Q448" s="27" t="str">
        <f aca="false">IF(A448="","",SUMIF(Expenses!$B$2:$B$3000,A448,Expenses!$E$2:$E$3000))</f>
        <v/>
      </c>
      <c r="R448" s="27" t="str">
        <f aca="false">IF(A448="","",N(P448)+N(Q448))</f>
        <v/>
      </c>
      <c r="S448" s="28"/>
      <c r="T448" s="25"/>
      <c r="U448" s="26"/>
      <c r="V448" s="26"/>
      <c r="W448" s="26"/>
      <c r="X448" s="27" t="str">
        <f aca="false">IF(B448&lt;&gt;"SOLD","",IF(C448="Consignment",N(W448)-R448,N(U448)-R448-N(V448)))</f>
        <v/>
      </c>
      <c r="Y448" s="29" t="str">
        <f aca="false">IF(OR(X448="",N(R448)=0),"",X448/R448)</f>
        <v/>
      </c>
      <c r="Z448" s="30" t="str">
        <f aca="true">IF(O448="","",IF(T448="",TODAY(),T448)-O448)</f>
        <v/>
      </c>
      <c r="AA448" s="31" t="str">
        <f aca="false">IF(T448="","",TEXT(T448,"YYYY-MM"))</f>
        <v/>
      </c>
      <c r="AB448" s="27" t="str">
        <f aca="false">IF(X448="","",X448/2)</f>
        <v/>
      </c>
      <c r="AC448" s="21"/>
    </row>
    <row r="449" customFormat="false" ht="15" hidden="false" customHeight="false" outlineLevel="0" collapsed="false">
      <c r="A449" s="20"/>
      <c r="B449" s="21"/>
      <c r="C449" s="21"/>
      <c r="D449" s="21"/>
      <c r="E449" s="21"/>
      <c r="F449" s="21"/>
      <c r="G449" s="22"/>
      <c r="H449" s="21"/>
      <c r="I449" s="21"/>
      <c r="J449" s="21"/>
      <c r="K449" s="23"/>
      <c r="L449" s="24"/>
      <c r="M449" s="21"/>
      <c r="N449" s="21"/>
      <c r="O449" s="25"/>
      <c r="P449" s="26"/>
      <c r="Q449" s="27" t="str">
        <f aca="false">IF(A449="","",SUMIF(Expenses!$B$2:$B$3000,A449,Expenses!$E$2:$E$3000))</f>
        <v/>
      </c>
      <c r="R449" s="27" t="str">
        <f aca="false">IF(A449="","",N(P449)+N(Q449))</f>
        <v/>
      </c>
      <c r="S449" s="28"/>
      <c r="T449" s="25"/>
      <c r="U449" s="26"/>
      <c r="V449" s="26"/>
      <c r="W449" s="26"/>
      <c r="X449" s="27" t="str">
        <f aca="false">IF(B449&lt;&gt;"SOLD","",IF(C449="Consignment",N(W449)-R449,N(U449)-R449-N(V449)))</f>
        <v/>
      </c>
      <c r="Y449" s="29" t="str">
        <f aca="false">IF(OR(X449="",N(R449)=0),"",X449/R449)</f>
        <v/>
      </c>
      <c r="Z449" s="30" t="str">
        <f aca="true">IF(O449="","",IF(T449="",TODAY(),T449)-O449)</f>
        <v/>
      </c>
      <c r="AA449" s="31" t="str">
        <f aca="false">IF(T449="","",TEXT(T449,"YYYY-MM"))</f>
        <v/>
      </c>
      <c r="AB449" s="27" t="str">
        <f aca="false">IF(X449="","",X449/2)</f>
        <v/>
      </c>
      <c r="AC449" s="21"/>
    </row>
    <row r="450" customFormat="false" ht="15" hidden="false" customHeight="false" outlineLevel="0" collapsed="false">
      <c r="A450" s="20"/>
      <c r="B450" s="21"/>
      <c r="C450" s="21"/>
      <c r="D450" s="21"/>
      <c r="E450" s="21"/>
      <c r="F450" s="21"/>
      <c r="G450" s="22"/>
      <c r="H450" s="21"/>
      <c r="I450" s="21"/>
      <c r="J450" s="21"/>
      <c r="K450" s="23"/>
      <c r="L450" s="24"/>
      <c r="M450" s="21"/>
      <c r="N450" s="21"/>
      <c r="O450" s="25"/>
      <c r="P450" s="26"/>
      <c r="Q450" s="27" t="str">
        <f aca="false">IF(A450="","",SUMIF(Expenses!$B$2:$B$3000,A450,Expenses!$E$2:$E$3000))</f>
        <v/>
      </c>
      <c r="R450" s="27" t="str">
        <f aca="false">IF(A450="","",N(P450)+N(Q450))</f>
        <v/>
      </c>
      <c r="S450" s="28"/>
      <c r="T450" s="25"/>
      <c r="U450" s="26"/>
      <c r="V450" s="26"/>
      <c r="W450" s="26"/>
      <c r="X450" s="27" t="str">
        <f aca="false">IF(B450&lt;&gt;"SOLD","",IF(C450="Consignment",N(W450)-R450,N(U450)-R450-N(V450)))</f>
        <v/>
      </c>
      <c r="Y450" s="29" t="str">
        <f aca="false">IF(OR(X450="",N(R450)=0),"",X450/R450)</f>
        <v/>
      </c>
      <c r="Z450" s="30" t="str">
        <f aca="true">IF(O450="","",IF(T450="",TODAY(),T450)-O450)</f>
        <v/>
      </c>
      <c r="AA450" s="31" t="str">
        <f aca="false">IF(T450="","",TEXT(T450,"YYYY-MM"))</f>
        <v/>
      </c>
      <c r="AB450" s="27" t="str">
        <f aca="false">IF(X450="","",X450/2)</f>
        <v/>
      </c>
      <c r="AC450" s="21"/>
    </row>
    <row r="451" customFormat="false" ht="15" hidden="false" customHeight="false" outlineLevel="0" collapsed="false">
      <c r="A451" s="20"/>
      <c r="B451" s="21"/>
      <c r="C451" s="21"/>
      <c r="D451" s="21"/>
      <c r="E451" s="21"/>
      <c r="F451" s="21"/>
      <c r="G451" s="22"/>
      <c r="H451" s="21"/>
      <c r="I451" s="21"/>
      <c r="J451" s="21"/>
      <c r="K451" s="23"/>
      <c r="L451" s="24"/>
      <c r="M451" s="21"/>
      <c r="N451" s="21"/>
      <c r="O451" s="25"/>
      <c r="P451" s="26"/>
      <c r="Q451" s="27" t="str">
        <f aca="false">IF(A451="","",SUMIF(Expenses!$B$2:$B$3000,A451,Expenses!$E$2:$E$3000))</f>
        <v/>
      </c>
      <c r="R451" s="27" t="str">
        <f aca="false">IF(A451="","",N(P451)+N(Q451))</f>
        <v/>
      </c>
      <c r="S451" s="28"/>
      <c r="T451" s="25"/>
      <c r="U451" s="26"/>
      <c r="V451" s="26"/>
      <c r="W451" s="26"/>
      <c r="X451" s="27" t="str">
        <f aca="false">IF(B451&lt;&gt;"SOLD","",IF(C451="Consignment",N(W451)-R451,N(U451)-R451-N(V451)))</f>
        <v/>
      </c>
      <c r="Y451" s="29" t="str">
        <f aca="false">IF(OR(X451="",N(R451)=0),"",X451/R451)</f>
        <v/>
      </c>
      <c r="Z451" s="30" t="str">
        <f aca="true">IF(O451="","",IF(T451="",TODAY(),T451)-O451)</f>
        <v/>
      </c>
      <c r="AA451" s="31" t="str">
        <f aca="false">IF(T451="","",TEXT(T451,"YYYY-MM"))</f>
        <v/>
      </c>
      <c r="AB451" s="27" t="str">
        <f aca="false">IF(X451="","",X451/2)</f>
        <v/>
      </c>
      <c r="AC451" s="21"/>
    </row>
    <row r="452" customFormat="false" ht="15" hidden="false" customHeight="false" outlineLevel="0" collapsed="false">
      <c r="A452" s="20"/>
      <c r="B452" s="21"/>
      <c r="C452" s="21"/>
      <c r="D452" s="21"/>
      <c r="E452" s="21"/>
      <c r="F452" s="21"/>
      <c r="G452" s="22"/>
      <c r="H452" s="21"/>
      <c r="I452" s="21"/>
      <c r="J452" s="21"/>
      <c r="K452" s="23"/>
      <c r="L452" s="24"/>
      <c r="M452" s="21"/>
      <c r="N452" s="21"/>
      <c r="O452" s="25"/>
      <c r="P452" s="26"/>
      <c r="Q452" s="27" t="str">
        <f aca="false">IF(A452="","",SUMIF(Expenses!$B$2:$B$3000,A452,Expenses!$E$2:$E$3000))</f>
        <v/>
      </c>
      <c r="R452" s="27" t="str">
        <f aca="false">IF(A452="","",N(P452)+N(Q452))</f>
        <v/>
      </c>
      <c r="S452" s="28"/>
      <c r="T452" s="25"/>
      <c r="U452" s="26"/>
      <c r="V452" s="26"/>
      <c r="W452" s="26"/>
      <c r="X452" s="27" t="str">
        <f aca="false">IF(B452&lt;&gt;"SOLD","",IF(C452="Consignment",N(W452)-R452,N(U452)-R452-N(V452)))</f>
        <v/>
      </c>
      <c r="Y452" s="29" t="str">
        <f aca="false">IF(OR(X452="",N(R452)=0),"",X452/R452)</f>
        <v/>
      </c>
      <c r="Z452" s="30" t="str">
        <f aca="true">IF(O452="","",IF(T452="",TODAY(),T452)-O452)</f>
        <v/>
      </c>
      <c r="AA452" s="31" t="str">
        <f aca="false">IF(T452="","",TEXT(T452,"YYYY-MM"))</f>
        <v/>
      </c>
      <c r="AB452" s="27" t="str">
        <f aca="false">IF(X452="","",X452/2)</f>
        <v/>
      </c>
      <c r="AC452" s="21"/>
    </row>
    <row r="453" customFormat="false" ht="15" hidden="false" customHeight="false" outlineLevel="0" collapsed="false">
      <c r="A453" s="20"/>
      <c r="B453" s="21"/>
      <c r="C453" s="21"/>
      <c r="D453" s="21"/>
      <c r="E453" s="21"/>
      <c r="F453" s="21"/>
      <c r="G453" s="22"/>
      <c r="H453" s="21"/>
      <c r="I453" s="21"/>
      <c r="J453" s="21"/>
      <c r="K453" s="23"/>
      <c r="L453" s="24"/>
      <c r="M453" s="21"/>
      <c r="N453" s="21"/>
      <c r="O453" s="25"/>
      <c r="P453" s="26"/>
      <c r="Q453" s="27" t="str">
        <f aca="false">IF(A453="","",SUMIF(Expenses!$B$2:$B$3000,A453,Expenses!$E$2:$E$3000))</f>
        <v/>
      </c>
      <c r="R453" s="27" t="str">
        <f aca="false">IF(A453="","",N(P453)+N(Q453))</f>
        <v/>
      </c>
      <c r="S453" s="28"/>
      <c r="T453" s="25"/>
      <c r="U453" s="26"/>
      <c r="V453" s="26"/>
      <c r="W453" s="26"/>
      <c r="X453" s="27" t="str">
        <f aca="false">IF(B453&lt;&gt;"SOLD","",IF(C453="Consignment",N(W453)-R453,N(U453)-R453-N(V453)))</f>
        <v/>
      </c>
      <c r="Y453" s="29" t="str">
        <f aca="false">IF(OR(X453="",N(R453)=0),"",X453/R453)</f>
        <v/>
      </c>
      <c r="Z453" s="30" t="str">
        <f aca="true">IF(O453="","",IF(T453="",TODAY(),T453)-O453)</f>
        <v/>
      </c>
      <c r="AA453" s="31" t="str">
        <f aca="false">IF(T453="","",TEXT(T453,"YYYY-MM"))</f>
        <v/>
      </c>
      <c r="AB453" s="27" t="str">
        <f aca="false">IF(X453="","",X453/2)</f>
        <v/>
      </c>
      <c r="AC453" s="21"/>
    </row>
    <row r="454" customFormat="false" ht="15" hidden="false" customHeight="false" outlineLevel="0" collapsed="false">
      <c r="A454" s="20"/>
      <c r="B454" s="21"/>
      <c r="C454" s="21"/>
      <c r="D454" s="21"/>
      <c r="E454" s="21"/>
      <c r="F454" s="21"/>
      <c r="G454" s="22"/>
      <c r="H454" s="21"/>
      <c r="I454" s="21"/>
      <c r="J454" s="21"/>
      <c r="K454" s="23"/>
      <c r="L454" s="24"/>
      <c r="M454" s="21"/>
      <c r="N454" s="21"/>
      <c r="O454" s="25"/>
      <c r="P454" s="26"/>
      <c r="Q454" s="27" t="str">
        <f aca="false">IF(A454="","",SUMIF(Expenses!$B$2:$B$3000,A454,Expenses!$E$2:$E$3000))</f>
        <v/>
      </c>
      <c r="R454" s="27" t="str">
        <f aca="false">IF(A454="","",N(P454)+N(Q454))</f>
        <v/>
      </c>
      <c r="S454" s="28"/>
      <c r="T454" s="25"/>
      <c r="U454" s="26"/>
      <c r="V454" s="26"/>
      <c r="W454" s="26"/>
      <c r="X454" s="27" t="str">
        <f aca="false">IF(B454&lt;&gt;"SOLD","",IF(C454="Consignment",N(W454)-R454,N(U454)-R454-N(V454)))</f>
        <v/>
      </c>
      <c r="Y454" s="29" t="str">
        <f aca="false">IF(OR(X454="",N(R454)=0),"",X454/R454)</f>
        <v/>
      </c>
      <c r="Z454" s="30" t="str">
        <f aca="true">IF(O454="","",IF(T454="",TODAY(),T454)-O454)</f>
        <v/>
      </c>
      <c r="AA454" s="31" t="str">
        <f aca="false">IF(T454="","",TEXT(T454,"YYYY-MM"))</f>
        <v/>
      </c>
      <c r="AB454" s="27" t="str">
        <f aca="false">IF(X454="","",X454/2)</f>
        <v/>
      </c>
      <c r="AC454" s="21"/>
    </row>
    <row r="455" customFormat="false" ht="15" hidden="false" customHeight="false" outlineLevel="0" collapsed="false">
      <c r="A455" s="20"/>
      <c r="B455" s="21"/>
      <c r="C455" s="21"/>
      <c r="D455" s="21"/>
      <c r="E455" s="21"/>
      <c r="F455" s="21"/>
      <c r="G455" s="22"/>
      <c r="H455" s="21"/>
      <c r="I455" s="21"/>
      <c r="J455" s="21"/>
      <c r="K455" s="23"/>
      <c r="L455" s="24"/>
      <c r="M455" s="21"/>
      <c r="N455" s="21"/>
      <c r="O455" s="25"/>
      <c r="P455" s="26"/>
      <c r="Q455" s="27" t="str">
        <f aca="false">IF(A455="","",SUMIF(Expenses!$B$2:$B$3000,A455,Expenses!$E$2:$E$3000))</f>
        <v/>
      </c>
      <c r="R455" s="27" t="str">
        <f aca="false">IF(A455="","",N(P455)+N(Q455))</f>
        <v/>
      </c>
      <c r="S455" s="28"/>
      <c r="T455" s="25"/>
      <c r="U455" s="26"/>
      <c r="V455" s="26"/>
      <c r="W455" s="26"/>
      <c r="X455" s="27" t="str">
        <f aca="false">IF(B455&lt;&gt;"SOLD","",IF(C455="Consignment",N(W455)-R455,N(U455)-R455-N(V455)))</f>
        <v/>
      </c>
      <c r="Y455" s="29" t="str">
        <f aca="false">IF(OR(X455="",N(R455)=0),"",X455/R455)</f>
        <v/>
      </c>
      <c r="Z455" s="30" t="str">
        <f aca="true">IF(O455="","",IF(T455="",TODAY(),T455)-O455)</f>
        <v/>
      </c>
      <c r="AA455" s="31" t="str">
        <f aca="false">IF(T455="","",TEXT(T455,"YYYY-MM"))</f>
        <v/>
      </c>
      <c r="AB455" s="27" t="str">
        <f aca="false">IF(X455="","",X455/2)</f>
        <v/>
      </c>
      <c r="AC455" s="21"/>
    </row>
    <row r="456" customFormat="false" ht="15" hidden="false" customHeight="false" outlineLevel="0" collapsed="false">
      <c r="A456" s="20"/>
      <c r="B456" s="21"/>
      <c r="C456" s="21"/>
      <c r="D456" s="21"/>
      <c r="E456" s="21"/>
      <c r="F456" s="21"/>
      <c r="G456" s="22"/>
      <c r="H456" s="21"/>
      <c r="I456" s="21"/>
      <c r="J456" s="21"/>
      <c r="K456" s="23"/>
      <c r="L456" s="24"/>
      <c r="M456" s="21"/>
      <c r="N456" s="21"/>
      <c r="O456" s="25"/>
      <c r="P456" s="26"/>
      <c r="Q456" s="27" t="str">
        <f aca="false">IF(A456="","",SUMIF(Expenses!$B$2:$B$3000,A456,Expenses!$E$2:$E$3000))</f>
        <v/>
      </c>
      <c r="R456" s="27" t="str">
        <f aca="false">IF(A456="","",N(P456)+N(Q456))</f>
        <v/>
      </c>
      <c r="S456" s="28"/>
      <c r="T456" s="25"/>
      <c r="U456" s="26"/>
      <c r="V456" s="26"/>
      <c r="W456" s="26"/>
      <c r="X456" s="27" t="str">
        <f aca="false">IF(B456&lt;&gt;"SOLD","",IF(C456="Consignment",N(W456)-R456,N(U456)-R456-N(V456)))</f>
        <v/>
      </c>
      <c r="Y456" s="29" t="str">
        <f aca="false">IF(OR(X456="",N(R456)=0),"",X456/R456)</f>
        <v/>
      </c>
      <c r="Z456" s="30" t="str">
        <f aca="true">IF(O456="","",IF(T456="",TODAY(),T456)-O456)</f>
        <v/>
      </c>
      <c r="AA456" s="31" t="str">
        <f aca="false">IF(T456="","",TEXT(T456,"YYYY-MM"))</f>
        <v/>
      </c>
      <c r="AB456" s="27" t="str">
        <f aca="false">IF(X456="","",X456/2)</f>
        <v/>
      </c>
      <c r="AC456" s="21"/>
    </row>
    <row r="457" customFormat="false" ht="15" hidden="false" customHeight="false" outlineLevel="0" collapsed="false">
      <c r="A457" s="20"/>
      <c r="B457" s="21"/>
      <c r="C457" s="21"/>
      <c r="D457" s="21"/>
      <c r="E457" s="21"/>
      <c r="F457" s="21"/>
      <c r="G457" s="22"/>
      <c r="H457" s="21"/>
      <c r="I457" s="21"/>
      <c r="J457" s="21"/>
      <c r="K457" s="23"/>
      <c r="L457" s="24"/>
      <c r="M457" s="21"/>
      <c r="N457" s="21"/>
      <c r="O457" s="25"/>
      <c r="P457" s="26"/>
      <c r="Q457" s="27" t="str">
        <f aca="false">IF(A457="","",SUMIF(Expenses!$B$2:$B$3000,A457,Expenses!$E$2:$E$3000))</f>
        <v/>
      </c>
      <c r="R457" s="27" t="str">
        <f aca="false">IF(A457="","",N(P457)+N(Q457))</f>
        <v/>
      </c>
      <c r="S457" s="28"/>
      <c r="T457" s="25"/>
      <c r="U457" s="26"/>
      <c r="V457" s="26"/>
      <c r="W457" s="26"/>
      <c r="X457" s="27" t="str">
        <f aca="false">IF(B457&lt;&gt;"SOLD","",IF(C457="Consignment",N(W457)-R457,N(U457)-R457-N(V457)))</f>
        <v/>
      </c>
      <c r="Y457" s="29" t="str">
        <f aca="false">IF(OR(X457="",N(R457)=0),"",X457/R457)</f>
        <v/>
      </c>
      <c r="Z457" s="30" t="str">
        <f aca="true">IF(O457="","",IF(T457="",TODAY(),T457)-O457)</f>
        <v/>
      </c>
      <c r="AA457" s="31" t="str">
        <f aca="false">IF(T457="","",TEXT(T457,"YYYY-MM"))</f>
        <v/>
      </c>
      <c r="AB457" s="27" t="str">
        <f aca="false">IF(X457="","",X457/2)</f>
        <v/>
      </c>
      <c r="AC457" s="21"/>
    </row>
    <row r="458" customFormat="false" ht="15" hidden="false" customHeight="false" outlineLevel="0" collapsed="false">
      <c r="A458" s="20"/>
      <c r="B458" s="21"/>
      <c r="C458" s="21"/>
      <c r="D458" s="21"/>
      <c r="E458" s="21"/>
      <c r="F458" s="21"/>
      <c r="G458" s="22"/>
      <c r="H458" s="21"/>
      <c r="I458" s="21"/>
      <c r="J458" s="21"/>
      <c r="K458" s="23"/>
      <c r="L458" s="24"/>
      <c r="M458" s="21"/>
      <c r="N458" s="21"/>
      <c r="O458" s="25"/>
      <c r="P458" s="26"/>
      <c r="Q458" s="27" t="str">
        <f aca="false">IF(A458="","",SUMIF(Expenses!$B$2:$B$3000,A458,Expenses!$E$2:$E$3000))</f>
        <v/>
      </c>
      <c r="R458" s="27" t="str">
        <f aca="false">IF(A458="","",N(P458)+N(Q458))</f>
        <v/>
      </c>
      <c r="S458" s="28"/>
      <c r="T458" s="25"/>
      <c r="U458" s="26"/>
      <c r="V458" s="26"/>
      <c r="W458" s="26"/>
      <c r="X458" s="27" t="str">
        <f aca="false">IF(B458&lt;&gt;"SOLD","",IF(C458="Consignment",N(W458)-R458,N(U458)-R458-N(V458)))</f>
        <v/>
      </c>
      <c r="Y458" s="29" t="str">
        <f aca="false">IF(OR(X458="",N(R458)=0),"",X458/R458)</f>
        <v/>
      </c>
      <c r="Z458" s="30" t="str">
        <f aca="true">IF(O458="","",IF(T458="",TODAY(),T458)-O458)</f>
        <v/>
      </c>
      <c r="AA458" s="31" t="str">
        <f aca="false">IF(T458="","",TEXT(T458,"YYYY-MM"))</f>
        <v/>
      </c>
      <c r="AB458" s="27" t="str">
        <f aca="false">IF(X458="","",X458/2)</f>
        <v/>
      </c>
      <c r="AC458" s="21"/>
    </row>
    <row r="459" customFormat="false" ht="15" hidden="false" customHeight="false" outlineLevel="0" collapsed="false">
      <c r="A459" s="20"/>
      <c r="B459" s="21"/>
      <c r="C459" s="21"/>
      <c r="D459" s="21"/>
      <c r="E459" s="21"/>
      <c r="F459" s="21"/>
      <c r="G459" s="22"/>
      <c r="H459" s="21"/>
      <c r="I459" s="21"/>
      <c r="J459" s="21"/>
      <c r="K459" s="23"/>
      <c r="L459" s="24"/>
      <c r="M459" s="21"/>
      <c r="N459" s="21"/>
      <c r="O459" s="25"/>
      <c r="P459" s="26"/>
      <c r="Q459" s="27" t="str">
        <f aca="false">IF(A459="","",SUMIF(Expenses!$B$2:$B$3000,A459,Expenses!$E$2:$E$3000))</f>
        <v/>
      </c>
      <c r="R459" s="27" t="str">
        <f aca="false">IF(A459="","",N(P459)+N(Q459))</f>
        <v/>
      </c>
      <c r="S459" s="28"/>
      <c r="T459" s="25"/>
      <c r="U459" s="26"/>
      <c r="V459" s="26"/>
      <c r="W459" s="26"/>
      <c r="X459" s="27" t="str">
        <f aca="false">IF(B459&lt;&gt;"SOLD","",IF(C459="Consignment",N(W459)-R459,N(U459)-R459-N(V459)))</f>
        <v/>
      </c>
      <c r="Y459" s="29" t="str">
        <f aca="false">IF(OR(X459="",N(R459)=0),"",X459/R459)</f>
        <v/>
      </c>
      <c r="Z459" s="30" t="str">
        <f aca="true">IF(O459="","",IF(T459="",TODAY(),T459)-O459)</f>
        <v/>
      </c>
      <c r="AA459" s="31" t="str">
        <f aca="false">IF(T459="","",TEXT(T459,"YYYY-MM"))</f>
        <v/>
      </c>
      <c r="AB459" s="27" t="str">
        <f aca="false">IF(X459="","",X459/2)</f>
        <v/>
      </c>
      <c r="AC459" s="21"/>
    </row>
    <row r="460" customFormat="false" ht="15" hidden="false" customHeight="false" outlineLevel="0" collapsed="false">
      <c r="A460" s="20"/>
      <c r="B460" s="21"/>
      <c r="C460" s="21"/>
      <c r="D460" s="21"/>
      <c r="E460" s="21"/>
      <c r="F460" s="21"/>
      <c r="G460" s="22"/>
      <c r="H460" s="21"/>
      <c r="I460" s="21"/>
      <c r="J460" s="21"/>
      <c r="K460" s="23"/>
      <c r="L460" s="24"/>
      <c r="M460" s="21"/>
      <c r="N460" s="21"/>
      <c r="O460" s="25"/>
      <c r="P460" s="26"/>
      <c r="Q460" s="27" t="str">
        <f aca="false">IF(A460="","",SUMIF(Expenses!$B$2:$B$3000,A460,Expenses!$E$2:$E$3000))</f>
        <v/>
      </c>
      <c r="R460" s="27" t="str">
        <f aca="false">IF(A460="","",N(P460)+N(Q460))</f>
        <v/>
      </c>
      <c r="S460" s="28"/>
      <c r="T460" s="25"/>
      <c r="U460" s="26"/>
      <c r="V460" s="26"/>
      <c r="W460" s="26"/>
      <c r="X460" s="27" t="str">
        <f aca="false">IF(B460&lt;&gt;"SOLD","",IF(C460="Consignment",N(W460)-R460,N(U460)-R460-N(V460)))</f>
        <v/>
      </c>
      <c r="Y460" s="29" t="str">
        <f aca="false">IF(OR(X460="",N(R460)=0),"",X460/R460)</f>
        <v/>
      </c>
      <c r="Z460" s="30" t="str">
        <f aca="true">IF(O460="","",IF(T460="",TODAY(),T460)-O460)</f>
        <v/>
      </c>
      <c r="AA460" s="31" t="str">
        <f aca="false">IF(T460="","",TEXT(T460,"YYYY-MM"))</f>
        <v/>
      </c>
      <c r="AB460" s="27" t="str">
        <f aca="false">IF(X460="","",X460/2)</f>
        <v/>
      </c>
      <c r="AC460" s="21"/>
    </row>
    <row r="461" customFormat="false" ht="15" hidden="false" customHeight="false" outlineLevel="0" collapsed="false">
      <c r="A461" s="20"/>
      <c r="B461" s="21"/>
      <c r="C461" s="21"/>
      <c r="D461" s="21"/>
      <c r="E461" s="21"/>
      <c r="F461" s="21"/>
      <c r="G461" s="22"/>
      <c r="H461" s="21"/>
      <c r="I461" s="21"/>
      <c r="J461" s="21"/>
      <c r="K461" s="23"/>
      <c r="L461" s="24"/>
      <c r="M461" s="21"/>
      <c r="N461" s="21"/>
      <c r="O461" s="25"/>
      <c r="P461" s="26"/>
      <c r="Q461" s="27" t="str">
        <f aca="false">IF(A461="","",SUMIF(Expenses!$B$2:$B$3000,A461,Expenses!$E$2:$E$3000))</f>
        <v/>
      </c>
      <c r="R461" s="27" t="str">
        <f aca="false">IF(A461="","",N(P461)+N(Q461))</f>
        <v/>
      </c>
      <c r="S461" s="28"/>
      <c r="T461" s="25"/>
      <c r="U461" s="26"/>
      <c r="V461" s="26"/>
      <c r="W461" s="26"/>
      <c r="X461" s="27" t="str">
        <f aca="false">IF(B461&lt;&gt;"SOLD","",IF(C461="Consignment",N(W461)-R461,N(U461)-R461-N(V461)))</f>
        <v/>
      </c>
      <c r="Y461" s="29" t="str">
        <f aca="false">IF(OR(X461="",N(R461)=0),"",X461/R461)</f>
        <v/>
      </c>
      <c r="Z461" s="30" t="str">
        <f aca="true">IF(O461="","",IF(T461="",TODAY(),T461)-O461)</f>
        <v/>
      </c>
      <c r="AA461" s="31" t="str">
        <f aca="false">IF(T461="","",TEXT(T461,"YYYY-MM"))</f>
        <v/>
      </c>
      <c r="AB461" s="27" t="str">
        <f aca="false">IF(X461="","",X461/2)</f>
        <v/>
      </c>
      <c r="AC461" s="21"/>
    </row>
    <row r="462" customFormat="false" ht="15" hidden="false" customHeight="false" outlineLevel="0" collapsed="false">
      <c r="A462" s="20"/>
      <c r="B462" s="21"/>
      <c r="C462" s="21"/>
      <c r="D462" s="21"/>
      <c r="E462" s="21"/>
      <c r="F462" s="21"/>
      <c r="G462" s="22"/>
      <c r="H462" s="21"/>
      <c r="I462" s="21"/>
      <c r="J462" s="21"/>
      <c r="K462" s="23"/>
      <c r="L462" s="24"/>
      <c r="M462" s="21"/>
      <c r="N462" s="21"/>
      <c r="O462" s="25"/>
      <c r="P462" s="26"/>
      <c r="Q462" s="27" t="str">
        <f aca="false">IF(A462="","",SUMIF(Expenses!$B$2:$B$3000,A462,Expenses!$E$2:$E$3000))</f>
        <v/>
      </c>
      <c r="R462" s="27" t="str">
        <f aca="false">IF(A462="","",N(P462)+N(Q462))</f>
        <v/>
      </c>
      <c r="S462" s="28"/>
      <c r="T462" s="25"/>
      <c r="U462" s="26"/>
      <c r="V462" s="26"/>
      <c r="W462" s="26"/>
      <c r="X462" s="27" t="str">
        <f aca="false">IF(B462&lt;&gt;"SOLD","",IF(C462="Consignment",N(W462)-R462,N(U462)-R462-N(V462)))</f>
        <v/>
      </c>
      <c r="Y462" s="29" t="str">
        <f aca="false">IF(OR(X462="",N(R462)=0),"",X462/R462)</f>
        <v/>
      </c>
      <c r="Z462" s="30" t="str">
        <f aca="true">IF(O462="","",IF(T462="",TODAY(),T462)-O462)</f>
        <v/>
      </c>
      <c r="AA462" s="31" t="str">
        <f aca="false">IF(T462="","",TEXT(T462,"YYYY-MM"))</f>
        <v/>
      </c>
      <c r="AB462" s="27" t="str">
        <f aca="false">IF(X462="","",X462/2)</f>
        <v/>
      </c>
      <c r="AC462" s="21"/>
    </row>
    <row r="463" customFormat="false" ht="15" hidden="false" customHeight="false" outlineLevel="0" collapsed="false">
      <c r="A463" s="20"/>
      <c r="B463" s="21"/>
      <c r="C463" s="21"/>
      <c r="D463" s="21"/>
      <c r="E463" s="21"/>
      <c r="F463" s="21"/>
      <c r="G463" s="22"/>
      <c r="H463" s="21"/>
      <c r="I463" s="21"/>
      <c r="J463" s="21"/>
      <c r="K463" s="23"/>
      <c r="L463" s="24"/>
      <c r="M463" s="21"/>
      <c r="N463" s="21"/>
      <c r="O463" s="25"/>
      <c r="P463" s="26"/>
      <c r="Q463" s="27" t="str">
        <f aca="false">IF(A463="","",SUMIF(Expenses!$B$2:$B$3000,A463,Expenses!$E$2:$E$3000))</f>
        <v/>
      </c>
      <c r="R463" s="27" t="str">
        <f aca="false">IF(A463="","",N(P463)+N(Q463))</f>
        <v/>
      </c>
      <c r="S463" s="28"/>
      <c r="T463" s="25"/>
      <c r="U463" s="26"/>
      <c r="V463" s="26"/>
      <c r="W463" s="26"/>
      <c r="X463" s="27" t="str">
        <f aca="false">IF(B463&lt;&gt;"SOLD","",IF(C463="Consignment",N(W463)-R463,N(U463)-R463-N(V463)))</f>
        <v/>
      </c>
      <c r="Y463" s="29" t="str">
        <f aca="false">IF(OR(X463="",N(R463)=0),"",X463/R463)</f>
        <v/>
      </c>
      <c r="Z463" s="30" t="str">
        <f aca="true">IF(O463="","",IF(T463="",TODAY(),T463)-O463)</f>
        <v/>
      </c>
      <c r="AA463" s="31" t="str">
        <f aca="false">IF(T463="","",TEXT(T463,"YYYY-MM"))</f>
        <v/>
      </c>
      <c r="AB463" s="27" t="str">
        <f aca="false">IF(X463="","",X463/2)</f>
        <v/>
      </c>
      <c r="AC463" s="21"/>
    </row>
    <row r="464" customFormat="false" ht="15" hidden="false" customHeight="false" outlineLevel="0" collapsed="false">
      <c r="A464" s="20"/>
      <c r="B464" s="21"/>
      <c r="C464" s="21"/>
      <c r="D464" s="21"/>
      <c r="E464" s="21"/>
      <c r="F464" s="21"/>
      <c r="G464" s="22"/>
      <c r="H464" s="21"/>
      <c r="I464" s="21"/>
      <c r="J464" s="21"/>
      <c r="K464" s="23"/>
      <c r="L464" s="24"/>
      <c r="M464" s="21"/>
      <c r="N464" s="21"/>
      <c r="O464" s="25"/>
      <c r="P464" s="26"/>
      <c r="Q464" s="27" t="str">
        <f aca="false">IF(A464="","",SUMIF(Expenses!$B$2:$B$3000,A464,Expenses!$E$2:$E$3000))</f>
        <v/>
      </c>
      <c r="R464" s="27" t="str">
        <f aca="false">IF(A464="","",N(P464)+N(Q464))</f>
        <v/>
      </c>
      <c r="S464" s="28"/>
      <c r="T464" s="25"/>
      <c r="U464" s="26"/>
      <c r="V464" s="26"/>
      <c r="W464" s="26"/>
      <c r="X464" s="27" t="str">
        <f aca="false">IF(B464&lt;&gt;"SOLD","",IF(C464="Consignment",N(W464)-R464,N(U464)-R464-N(V464)))</f>
        <v/>
      </c>
      <c r="Y464" s="29" t="str">
        <f aca="false">IF(OR(X464="",N(R464)=0),"",X464/R464)</f>
        <v/>
      </c>
      <c r="Z464" s="30" t="str">
        <f aca="true">IF(O464="","",IF(T464="",TODAY(),T464)-O464)</f>
        <v/>
      </c>
      <c r="AA464" s="31" t="str">
        <f aca="false">IF(T464="","",TEXT(T464,"YYYY-MM"))</f>
        <v/>
      </c>
      <c r="AB464" s="27" t="str">
        <f aca="false">IF(X464="","",X464/2)</f>
        <v/>
      </c>
      <c r="AC464" s="21"/>
    </row>
    <row r="465" customFormat="false" ht="15" hidden="false" customHeight="false" outlineLevel="0" collapsed="false">
      <c r="A465" s="20"/>
      <c r="B465" s="21"/>
      <c r="C465" s="21"/>
      <c r="D465" s="21"/>
      <c r="E465" s="21"/>
      <c r="F465" s="21"/>
      <c r="G465" s="22"/>
      <c r="H465" s="21"/>
      <c r="I465" s="21"/>
      <c r="J465" s="21"/>
      <c r="K465" s="23"/>
      <c r="L465" s="24"/>
      <c r="M465" s="21"/>
      <c r="N465" s="21"/>
      <c r="O465" s="25"/>
      <c r="P465" s="26"/>
      <c r="Q465" s="27" t="str">
        <f aca="false">IF(A465="","",SUMIF(Expenses!$B$2:$B$3000,A465,Expenses!$E$2:$E$3000))</f>
        <v/>
      </c>
      <c r="R465" s="27" t="str">
        <f aca="false">IF(A465="","",N(P465)+N(Q465))</f>
        <v/>
      </c>
      <c r="S465" s="28"/>
      <c r="T465" s="25"/>
      <c r="U465" s="26"/>
      <c r="V465" s="26"/>
      <c r="W465" s="26"/>
      <c r="X465" s="27" t="str">
        <f aca="false">IF(B465&lt;&gt;"SOLD","",IF(C465="Consignment",N(W465)-R465,N(U465)-R465-N(V465)))</f>
        <v/>
      </c>
      <c r="Y465" s="29" t="str">
        <f aca="false">IF(OR(X465="",N(R465)=0),"",X465/R465)</f>
        <v/>
      </c>
      <c r="Z465" s="30" t="str">
        <f aca="true">IF(O465="","",IF(T465="",TODAY(),T465)-O465)</f>
        <v/>
      </c>
      <c r="AA465" s="31" t="str">
        <f aca="false">IF(T465="","",TEXT(T465,"YYYY-MM"))</f>
        <v/>
      </c>
      <c r="AB465" s="27" t="str">
        <f aca="false">IF(X465="","",X465/2)</f>
        <v/>
      </c>
      <c r="AC465" s="21"/>
    </row>
    <row r="466" customFormat="false" ht="15" hidden="false" customHeight="false" outlineLevel="0" collapsed="false">
      <c r="A466" s="20"/>
      <c r="B466" s="21"/>
      <c r="C466" s="21"/>
      <c r="D466" s="21"/>
      <c r="E466" s="21"/>
      <c r="F466" s="21"/>
      <c r="G466" s="22"/>
      <c r="H466" s="21"/>
      <c r="I466" s="21"/>
      <c r="J466" s="21"/>
      <c r="K466" s="23"/>
      <c r="L466" s="24"/>
      <c r="M466" s="21"/>
      <c r="N466" s="21"/>
      <c r="O466" s="25"/>
      <c r="P466" s="26"/>
      <c r="Q466" s="27" t="str">
        <f aca="false">IF(A466="","",SUMIF(Expenses!$B$2:$B$3000,A466,Expenses!$E$2:$E$3000))</f>
        <v/>
      </c>
      <c r="R466" s="27" t="str">
        <f aca="false">IF(A466="","",N(P466)+N(Q466))</f>
        <v/>
      </c>
      <c r="S466" s="28"/>
      <c r="T466" s="25"/>
      <c r="U466" s="26"/>
      <c r="V466" s="26"/>
      <c r="W466" s="26"/>
      <c r="X466" s="27" t="str">
        <f aca="false">IF(B466&lt;&gt;"SOLD","",IF(C466="Consignment",N(W466)-R466,N(U466)-R466-N(V466)))</f>
        <v/>
      </c>
      <c r="Y466" s="29" t="str">
        <f aca="false">IF(OR(X466="",N(R466)=0),"",X466/R466)</f>
        <v/>
      </c>
      <c r="Z466" s="30" t="str">
        <f aca="true">IF(O466="","",IF(T466="",TODAY(),T466)-O466)</f>
        <v/>
      </c>
      <c r="AA466" s="31" t="str">
        <f aca="false">IF(T466="","",TEXT(T466,"YYYY-MM"))</f>
        <v/>
      </c>
      <c r="AB466" s="27" t="str">
        <f aca="false">IF(X466="","",X466/2)</f>
        <v/>
      </c>
      <c r="AC466" s="21"/>
    </row>
    <row r="467" customFormat="false" ht="15" hidden="false" customHeight="false" outlineLevel="0" collapsed="false">
      <c r="A467" s="20"/>
      <c r="B467" s="21"/>
      <c r="C467" s="21"/>
      <c r="D467" s="21"/>
      <c r="E467" s="21"/>
      <c r="F467" s="21"/>
      <c r="G467" s="22"/>
      <c r="H467" s="21"/>
      <c r="I467" s="21"/>
      <c r="J467" s="21"/>
      <c r="K467" s="23"/>
      <c r="L467" s="24"/>
      <c r="M467" s="21"/>
      <c r="N467" s="21"/>
      <c r="O467" s="25"/>
      <c r="P467" s="26"/>
      <c r="Q467" s="27" t="str">
        <f aca="false">IF(A467="","",SUMIF(Expenses!$B$2:$B$3000,A467,Expenses!$E$2:$E$3000))</f>
        <v/>
      </c>
      <c r="R467" s="27" t="str">
        <f aca="false">IF(A467="","",N(P467)+N(Q467))</f>
        <v/>
      </c>
      <c r="S467" s="28"/>
      <c r="T467" s="25"/>
      <c r="U467" s="26"/>
      <c r="V467" s="26"/>
      <c r="W467" s="26"/>
      <c r="X467" s="27" t="str">
        <f aca="false">IF(B467&lt;&gt;"SOLD","",IF(C467="Consignment",N(W467)-R467,N(U467)-R467-N(V467)))</f>
        <v/>
      </c>
      <c r="Y467" s="29" t="str">
        <f aca="false">IF(OR(X467="",N(R467)=0),"",X467/R467)</f>
        <v/>
      </c>
      <c r="Z467" s="30" t="str">
        <f aca="true">IF(O467="","",IF(T467="",TODAY(),T467)-O467)</f>
        <v/>
      </c>
      <c r="AA467" s="31" t="str">
        <f aca="false">IF(T467="","",TEXT(T467,"YYYY-MM"))</f>
        <v/>
      </c>
      <c r="AB467" s="27" t="str">
        <f aca="false">IF(X467="","",X467/2)</f>
        <v/>
      </c>
      <c r="AC467" s="21"/>
    </row>
    <row r="468" customFormat="false" ht="15" hidden="false" customHeight="false" outlineLevel="0" collapsed="false">
      <c r="A468" s="20"/>
      <c r="B468" s="21"/>
      <c r="C468" s="21"/>
      <c r="D468" s="21"/>
      <c r="E468" s="21"/>
      <c r="F468" s="21"/>
      <c r="G468" s="22"/>
      <c r="H468" s="21"/>
      <c r="I468" s="21"/>
      <c r="J468" s="21"/>
      <c r="K468" s="23"/>
      <c r="L468" s="24"/>
      <c r="M468" s="21"/>
      <c r="N468" s="21"/>
      <c r="O468" s="25"/>
      <c r="P468" s="26"/>
      <c r="Q468" s="27" t="str">
        <f aca="false">IF(A468="","",SUMIF(Expenses!$B$2:$B$3000,A468,Expenses!$E$2:$E$3000))</f>
        <v/>
      </c>
      <c r="R468" s="27" t="str">
        <f aca="false">IF(A468="","",N(P468)+N(Q468))</f>
        <v/>
      </c>
      <c r="S468" s="28"/>
      <c r="T468" s="25"/>
      <c r="U468" s="26"/>
      <c r="V468" s="26"/>
      <c r="W468" s="26"/>
      <c r="X468" s="27" t="str">
        <f aca="false">IF(B468&lt;&gt;"SOLD","",IF(C468="Consignment",N(W468)-R468,N(U468)-R468-N(V468)))</f>
        <v/>
      </c>
      <c r="Y468" s="29" t="str">
        <f aca="false">IF(OR(X468="",N(R468)=0),"",X468/R468)</f>
        <v/>
      </c>
      <c r="Z468" s="30" t="str">
        <f aca="true">IF(O468="","",IF(T468="",TODAY(),T468)-O468)</f>
        <v/>
      </c>
      <c r="AA468" s="31" t="str">
        <f aca="false">IF(T468="","",TEXT(T468,"YYYY-MM"))</f>
        <v/>
      </c>
      <c r="AB468" s="27" t="str">
        <f aca="false">IF(X468="","",X468/2)</f>
        <v/>
      </c>
      <c r="AC468" s="21"/>
    </row>
    <row r="469" customFormat="false" ht="15" hidden="false" customHeight="false" outlineLevel="0" collapsed="false">
      <c r="A469" s="20"/>
      <c r="B469" s="21"/>
      <c r="C469" s="21"/>
      <c r="D469" s="21"/>
      <c r="E469" s="21"/>
      <c r="F469" s="21"/>
      <c r="G469" s="22"/>
      <c r="H469" s="21"/>
      <c r="I469" s="21"/>
      <c r="J469" s="21"/>
      <c r="K469" s="23"/>
      <c r="L469" s="24"/>
      <c r="M469" s="21"/>
      <c r="N469" s="21"/>
      <c r="O469" s="25"/>
      <c r="P469" s="26"/>
      <c r="Q469" s="27" t="str">
        <f aca="false">IF(A469="","",SUMIF(Expenses!$B$2:$B$3000,A469,Expenses!$E$2:$E$3000))</f>
        <v/>
      </c>
      <c r="R469" s="27" t="str">
        <f aca="false">IF(A469="","",N(P469)+N(Q469))</f>
        <v/>
      </c>
      <c r="S469" s="28"/>
      <c r="T469" s="25"/>
      <c r="U469" s="26"/>
      <c r="V469" s="26"/>
      <c r="W469" s="26"/>
      <c r="X469" s="27" t="str">
        <f aca="false">IF(B469&lt;&gt;"SOLD","",IF(C469="Consignment",N(W469)-R469,N(U469)-R469-N(V469)))</f>
        <v/>
      </c>
      <c r="Y469" s="29" t="str">
        <f aca="false">IF(OR(X469="",N(R469)=0),"",X469/R469)</f>
        <v/>
      </c>
      <c r="Z469" s="30" t="str">
        <f aca="true">IF(O469="","",IF(T469="",TODAY(),T469)-O469)</f>
        <v/>
      </c>
      <c r="AA469" s="31" t="str">
        <f aca="false">IF(T469="","",TEXT(T469,"YYYY-MM"))</f>
        <v/>
      </c>
      <c r="AB469" s="27" t="str">
        <f aca="false">IF(X469="","",X469/2)</f>
        <v/>
      </c>
      <c r="AC469" s="21"/>
    </row>
    <row r="470" customFormat="false" ht="15" hidden="false" customHeight="false" outlineLevel="0" collapsed="false">
      <c r="A470" s="20"/>
      <c r="B470" s="21"/>
      <c r="C470" s="21"/>
      <c r="D470" s="21"/>
      <c r="E470" s="21"/>
      <c r="F470" s="21"/>
      <c r="G470" s="22"/>
      <c r="H470" s="21"/>
      <c r="I470" s="21"/>
      <c r="J470" s="21"/>
      <c r="K470" s="23"/>
      <c r="L470" s="24"/>
      <c r="M470" s="21"/>
      <c r="N470" s="21"/>
      <c r="O470" s="25"/>
      <c r="P470" s="26"/>
      <c r="Q470" s="27" t="str">
        <f aca="false">IF(A470="","",SUMIF(Expenses!$B$2:$B$3000,A470,Expenses!$E$2:$E$3000))</f>
        <v/>
      </c>
      <c r="R470" s="27" t="str">
        <f aca="false">IF(A470="","",N(P470)+N(Q470))</f>
        <v/>
      </c>
      <c r="S470" s="28"/>
      <c r="T470" s="25"/>
      <c r="U470" s="26"/>
      <c r="V470" s="26"/>
      <c r="W470" s="26"/>
      <c r="X470" s="27" t="str">
        <f aca="false">IF(B470&lt;&gt;"SOLD","",IF(C470="Consignment",N(W470)-R470,N(U470)-R470-N(V470)))</f>
        <v/>
      </c>
      <c r="Y470" s="29" t="str">
        <f aca="false">IF(OR(X470="",N(R470)=0),"",X470/R470)</f>
        <v/>
      </c>
      <c r="Z470" s="30" t="str">
        <f aca="true">IF(O470="","",IF(T470="",TODAY(),T470)-O470)</f>
        <v/>
      </c>
      <c r="AA470" s="31" t="str">
        <f aca="false">IF(T470="","",TEXT(T470,"YYYY-MM"))</f>
        <v/>
      </c>
      <c r="AB470" s="27" t="str">
        <f aca="false">IF(X470="","",X470/2)</f>
        <v/>
      </c>
      <c r="AC470" s="21"/>
    </row>
    <row r="471" customFormat="false" ht="15" hidden="false" customHeight="false" outlineLevel="0" collapsed="false">
      <c r="A471" s="20"/>
      <c r="B471" s="21"/>
      <c r="C471" s="21"/>
      <c r="D471" s="21"/>
      <c r="E471" s="21"/>
      <c r="F471" s="21"/>
      <c r="G471" s="22"/>
      <c r="H471" s="21"/>
      <c r="I471" s="21"/>
      <c r="J471" s="21"/>
      <c r="K471" s="23"/>
      <c r="L471" s="24"/>
      <c r="M471" s="21"/>
      <c r="N471" s="21"/>
      <c r="O471" s="25"/>
      <c r="P471" s="26"/>
      <c r="Q471" s="27" t="str">
        <f aca="false">IF(A471="","",SUMIF(Expenses!$B$2:$B$3000,A471,Expenses!$E$2:$E$3000))</f>
        <v/>
      </c>
      <c r="R471" s="27" t="str">
        <f aca="false">IF(A471="","",N(P471)+N(Q471))</f>
        <v/>
      </c>
      <c r="S471" s="28"/>
      <c r="T471" s="25"/>
      <c r="U471" s="26"/>
      <c r="V471" s="26"/>
      <c r="W471" s="26"/>
      <c r="X471" s="27" t="str">
        <f aca="false">IF(B471&lt;&gt;"SOLD","",IF(C471="Consignment",N(W471)-R471,N(U471)-R471-N(V471)))</f>
        <v/>
      </c>
      <c r="Y471" s="29" t="str">
        <f aca="false">IF(OR(X471="",N(R471)=0),"",X471/R471)</f>
        <v/>
      </c>
      <c r="Z471" s="30" t="str">
        <f aca="true">IF(O471="","",IF(T471="",TODAY(),T471)-O471)</f>
        <v/>
      </c>
      <c r="AA471" s="31" t="str">
        <f aca="false">IF(T471="","",TEXT(T471,"YYYY-MM"))</f>
        <v/>
      </c>
      <c r="AB471" s="27" t="str">
        <f aca="false">IF(X471="","",X471/2)</f>
        <v/>
      </c>
      <c r="AC471" s="21"/>
    </row>
    <row r="472" customFormat="false" ht="15" hidden="false" customHeight="false" outlineLevel="0" collapsed="false">
      <c r="A472" s="20"/>
      <c r="B472" s="21"/>
      <c r="C472" s="21"/>
      <c r="D472" s="21"/>
      <c r="E472" s="21"/>
      <c r="F472" s="21"/>
      <c r="G472" s="22"/>
      <c r="H472" s="21"/>
      <c r="I472" s="21"/>
      <c r="J472" s="21"/>
      <c r="K472" s="23"/>
      <c r="L472" s="24"/>
      <c r="M472" s="21"/>
      <c r="N472" s="21"/>
      <c r="O472" s="25"/>
      <c r="P472" s="26"/>
      <c r="Q472" s="27" t="str">
        <f aca="false">IF(A472="","",SUMIF(Expenses!$B$2:$B$3000,A472,Expenses!$E$2:$E$3000))</f>
        <v/>
      </c>
      <c r="R472" s="27" t="str">
        <f aca="false">IF(A472="","",N(P472)+N(Q472))</f>
        <v/>
      </c>
      <c r="S472" s="28"/>
      <c r="T472" s="25"/>
      <c r="U472" s="26"/>
      <c r="V472" s="26"/>
      <c r="W472" s="26"/>
      <c r="X472" s="27" t="str">
        <f aca="false">IF(B472&lt;&gt;"SOLD","",IF(C472="Consignment",N(W472)-R472,N(U472)-R472-N(V472)))</f>
        <v/>
      </c>
      <c r="Y472" s="29" t="str">
        <f aca="false">IF(OR(X472="",N(R472)=0),"",X472/R472)</f>
        <v/>
      </c>
      <c r="Z472" s="30" t="str">
        <f aca="true">IF(O472="","",IF(T472="",TODAY(),T472)-O472)</f>
        <v/>
      </c>
      <c r="AA472" s="31" t="str">
        <f aca="false">IF(T472="","",TEXT(T472,"YYYY-MM"))</f>
        <v/>
      </c>
      <c r="AB472" s="27" t="str">
        <f aca="false">IF(X472="","",X472/2)</f>
        <v/>
      </c>
      <c r="AC472" s="21"/>
    </row>
    <row r="473" customFormat="false" ht="15" hidden="false" customHeight="false" outlineLevel="0" collapsed="false">
      <c r="A473" s="20"/>
      <c r="B473" s="21"/>
      <c r="C473" s="21"/>
      <c r="D473" s="21"/>
      <c r="E473" s="21"/>
      <c r="F473" s="21"/>
      <c r="G473" s="22"/>
      <c r="H473" s="21"/>
      <c r="I473" s="21"/>
      <c r="J473" s="21"/>
      <c r="K473" s="23"/>
      <c r="L473" s="24"/>
      <c r="M473" s="21"/>
      <c r="N473" s="21"/>
      <c r="O473" s="25"/>
      <c r="P473" s="26"/>
      <c r="Q473" s="27" t="str">
        <f aca="false">IF(A473="","",SUMIF(Expenses!$B$2:$B$3000,A473,Expenses!$E$2:$E$3000))</f>
        <v/>
      </c>
      <c r="R473" s="27" t="str">
        <f aca="false">IF(A473="","",N(P473)+N(Q473))</f>
        <v/>
      </c>
      <c r="S473" s="28"/>
      <c r="T473" s="25"/>
      <c r="U473" s="26"/>
      <c r="V473" s="26"/>
      <c r="W473" s="26"/>
      <c r="X473" s="27" t="str">
        <f aca="false">IF(B473&lt;&gt;"SOLD","",IF(C473="Consignment",N(W473)-R473,N(U473)-R473-N(V473)))</f>
        <v/>
      </c>
      <c r="Y473" s="29" t="str">
        <f aca="false">IF(OR(X473="",N(R473)=0),"",X473/R473)</f>
        <v/>
      </c>
      <c r="Z473" s="30" t="str">
        <f aca="true">IF(O473="","",IF(T473="",TODAY(),T473)-O473)</f>
        <v/>
      </c>
      <c r="AA473" s="31" t="str">
        <f aca="false">IF(T473="","",TEXT(T473,"YYYY-MM"))</f>
        <v/>
      </c>
      <c r="AB473" s="27" t="str">
        <f aca="false">IF(X473="","",X473/2)</f>
        <v/>
      </c>
      <c r="AC473" s="21"/>
    </row>
    <row r="474" customFormat="false" ht="15" hidden="false" customHeight="false" outlineLevel="0" collapsed="false">
      <c r="A474" s="20"/>
      <c r="B474" s="21"/>
      <c r="C474" s="21"/>
      <c r="D474" s="21"/>
      <c r="E474" s="21"/>
      <c r="F474" s="21"/>
      <c r="G474" s="22"/>
      <c r="H474" s="21"/>
      <c r="I474" s="21"/>
      <c r="J474" s="21"/>
      <c r="K474" s="23"/>
      <c r="L474" s="24"/>
      <c r="M474" s="21"/>
      <c r="N474" s="21"/>
      <c r="O474" s="25"/>
      <c r="P474" s="26"/>
      <c r="Q474" s="27" t="str">
        <f aca="false">IF(A474="","",SUMIF(Expenses!$B$2:$B$3000,A474,Expenses!$E$2:$E$3000))</f>
        <v/>
      </c>
      <c r="R474" s="27" t="str">
        <f aca="false">IF(A474="","",N(P474)+N(Q474))</f>
        <v/>
      </c>
      <c r="S474" s="28"/>
      <c r="T474" s="25"/>
      <c r="U474" s="26"/>
      <c r="V474" s="26"/>
      <c r="W474" s="26"/>
      <c r="X474" s="27" t="str">
        <f aca="false">IF(B474&lt;&gt;"SOLD","",IF(C474="Consignment",N(W474)-R474,N(U474)-R474-N(V474)))</f>
        <v/>
      </c>
      <c r="Y474" s="29" t="str">
        <f aca="false">IF(OR(X474="",N(R474)=0),"",X474/R474)</f>
        <v/>
      </c>
      <c r="Z474" s="30" t="str">
        <f aca="true">IF(O474="","",IF(T474="",TODAY(),T474)-O474)</f>
        <v/>
      </c>
      <c r="AA474" s="31" t="str">
        <f aca="false">IF(T474="","",TEXT(T474,"YYYY-MM"))</f>
        <v/>
      </c>
      <c r="AB474" s="27" t="str">
        <f aca="false">IF(X474="","",X474/2)</f>
        <v/>
      </c>
      <c r="AC474" s="21"/>
    </row>
    <row r="475" customFormat="false" ht="15" hidden="false" customHeight="false" outlineLevel="0" collapsed="false">
      <c r="A475" s="20"/>
      <c r="B475" s="21"/>
      <c r="C475" s="21"/>
      <c r="D475" s="21"/>
      <c r="E475" s="21"/>
      <c r="F475" s="21"/>
      <c r="G475" s="22"/>
      <c r="H475" s="21"/>
      <c r="I475" s="21"/>
      <c r="J475" s="21"/>
      <c r="K475" s="23"/>
      <c r="L475" s="24"/>
      <c r="M475" s="21"/>
      <c r="N475" s="21"/>
      <c r="O475" s="25"/>
      <c r="P475" s="26"/>
      <c r="Q475" s="27" t="str">
        <f aca="false">IF(A475="","",SUMIF(Expenses!$B$2:$B$3000,A475,Expenses!$E$2:$E$3000))</f>
        <v/>
      </c>
      <c r="R475" s="27" t="str">
        <f aca="false">IF(A475="","",N(P475)+N(Q475))</f>
        <v/>
      </c>
      <c r="S475" s="28"/>
      <c r="T475" s="25"/>
      <c r="U475" s="26"/>
      <c r="V475" s="26"/>
      <c r="W475" s="26"/>
      <c r="X475" s="27" t="str">
        <f aca="false">IF(B475&lt;&gt;"SOLD","",IF(C475="Consignment",N(W475)-R475,N(U475)-R475-N(V475)))</f>
        <v/>
      </c>
      <c r="Y475" s="29" t="str">
        <f aca="false">IF(OR(X475="",N(R475)=0),"",X475/R475)</f>
        <v/>
      </c>
      <c r="Z475" s="30" t="str">
        <f aca="true">IF(O475="","",IF(T475="",TODAY(),T475)-O475)</f>
        <v/>
      </c>
      <c r="AA475" s="31" t="str">
        <f aca="false">IF(T475="","",TEXT(T475,"YYYY-MM"))</f>
        <v/>
      </c>
      <c r="AB475" s="27" t="str">
        <f aca="false">IF(X475="","",X475/2)</f>
        <v/>
      </c>
      <c r="AC475" s="21"/>
    </row>
    <row r="476" customFormat="false" ht="15" hidden="false" customHeight="false" outlineLevel="0" collapsed="false">
      <c r="A476" s="20"/>
      <c r="B476" s="21"/>
      <c r="C476" s="21"/>
      <c r="D476" s="21"/>
      <c r="E476" s="21"/>
      <c r="F476" s="21"/>
      <c r="G476" s="22"/>
      <c r="H476" s="21"/>
      <c r="I476" s="21"/>
      <c r="J476" s="21"/>
      <c r="K476" s="23"/>
      <c r="L476" s="24"/>
      <c r="M476" s="21"/>
      <c r="N476" s="21"/>
      <c r="O476" s="25"/>
      <c r="P476" s="26"/>
      <c r="Q476" s="27" t="str">
        <f aca="false">IF(A476="","",SUMIF(Expenses!$B$2:$B$3000,A476,Expenses!$E$2:$E$3000))</f>
        <v/>
      </c>
      <c r="R476" s="27" t="str">
        <f aca="false">IF(A476="","",N(P476)+N(Q476))</f>
        <v/>
      </c>
      <c r="S476" s="28"/>
      <c r="T476" s="25"/>
      <c r="U476" s="26"/>
      <c r="V476" s="26"/>
      <c r="W476" s="26"/>
      <c r="X476" s="27" t="str">
        <f aca="false">IF(B476&lt;&gt;"SOLD","",IF(C476="Consignment",N(W476)-R476,N(U476)-R476-N(V476)))</f>
        <v/>
      </c>
      <c r="Y476" s="29" t="str">
        <f aca="false">IF(OR(X476="",N(R476)=0),"",X476/R476)</f>
        <v/>
      </c>
      <c r="Z476" s="30" t="str">
        <f aca="true">IF(O476="","",IF(T476="",TODAY(),T476)-O476)</f>
        <v/>
      </c>
      <c r="AA476" s="31" t="str">
        <f aca="false">IF(T476="","",TEXT(T476,"YYYY-MM"))</f>
        <v/>
      </c>
      <c r="AB476" s="27" t="str">
        <f aca="false">IF(X476="","",X476/2)</f>
        <v/>
      </c>
      <c r="AC476" s="21"/>
    </row>
    <row r="477" customFormat="false" ht="15" hidden="false" customHeight="false" outlineLevel="0" collapsed="false">
      <c r="A477" s="20"/>
      <c r="B477" s="21"/>
      <c r="C477" s="21"/>
      <c r="D477" s="21"/>
      <c r="E477" s="21"/>
      <c r="F477" s="21"/>
      <c r="G477" s="22"/>
      <c r="H477" s="21"/>
      <c r="I477" s="21"/>
      <c r="J477" s="21"/>
      <c r="K477" s="23"/>
      <c r="L477" s="24"/>
      <c r="M477" s="21"/>
      <c r="N477" s="21"/>
      <c r="O477" s="25"/>
      <c r="P477" s="26"/>
      <c r="Q477" s="27" t="str">
        <f aca="false">IF(A477="","",SUMIF(Expenses!$B$2:$B$3000,A477,Expenses!$E$2:$E$3000))</f>
        <v/>
      </c>
      <c r="R477" s="27" t="str">
        <f aca="false">IF(A477="","",N(P477)+N(Q477))</f>
        <v/>
      </c>
      <c r="S477" s="28"/>
      <c r="T477" s="25"/>
      <c r="U477" s="26"/>
      <c r="V477" s="26"/>
      <c r="W477" s="26"/>
      <c r="X477" s="27" t="str">
        <f aca="false">IF(B477&lt;&gt;"SOLD","",IF(C477="Consignment",N(W477)-R477,N(U477)-R477-N(V477)))</f>
        <v/>
      </c>
      <c r="Y477" s="29" t="str">
        <f aca="false">IF(OR(X477="",N(R477)=0),"",X477/R477)</f>
        <v/>
      </c>
      <c r="Z477" s="30" t="str">
        <f aca="true">IF(O477="","",IF(T477="",TODAY(),T477)-O477)</f>
        <v/>
      </c>
      <c r="AA477" s="31" t="str">
        <f aca="false">IF(T477="","",TEXT(T477,"YYYY-MM"))</f>
        <v/>
      </c>
      <c r="AB477" s="27" t="str">
        <f aca="false">IF(X477="","",X477/2)</f>
        <v/>
      </c>
      <c r="AC477" s="21"/>
    </row>
    <row r="478" customFormat="false" ht="15" hidden="false" customHeight="false" outlineLevel="0" collapsed="false">
      <c r="A478" s="20"/>
      <c r="B478" s="21"/>
      <c r="C478" s="21"/>
      <c r="D478" s="21"/>
      <c r="E478" s="21"/>
      <c r="F478" s="21"/>
      <c r="G478" s="22"/>
      <c r="H478" s="21"/>
      <c r="I478" s="21"/>
      <c r="J478" s="21"/>
      <c r="K478" s="23"/>
      <c r="L478" s="24"/>
      <c r="M478" s="21"/>
      <c r="N478" s="21"/>
      <c r="O478" s="25"/>
      <c r="P478" s="26"/>
      <c r="Q478" s="27" t="str">
        <f aca="false">IF(A478="","",SUMIF(Expenses!$B$2:$B$3000,A478,Expenses!$E$2:$E$3000))</f>
        <v/>
      </c>
      <c r="R478" s="27" t="str">
        <f aca="false">IF(A478="","",N(P478)+N(Q478))</f>
        <v/>
      </c>
      <c r="S478" s="28"/>
      <c r="T478" s="25"/>
      <c r="U478" s="26"/>
      <c r="V478" s="26"/>
      <c r="W478" s="26"/>
      <c r="X478" s="27" t="str">
        <f aca="false">IF(B478&lt;&gt;"SOLD","",IF(C478="Consignment",N(W478)-R478,N(U478)-R478-N(V478)))</f>
        <v/>
      </c>
      <c r="Y478" s="29" t="str">
        <f aca="false">IF(OR(X478="",N(R478)=0),"",X478/R478)</f>
        <v/>
      </c>
      <c r="Z478" s="30" t="str">
        <f aca="true">IF(O478="","",IF(T478="",TODAY(),T478)-O478)</f>
        <v/>
      </c>
      <c r="AA478" s="31" t="str">
        <f aca="false">IF(T478="","",TEXT(T478,"YYYY-MM"))</f>
        <v/>
      </c>
      <c r="AB478" s="27" t="str">
        <f aca="false">IF(X478="","",X478/2)</f>
        <v/>
      </c>
      <c r="AC478" s="21"/>
    </row>
    <row r="479" customFormat="false" ht="15" hidden="false" customHeight="false" outlineLevel="0" collapsed="false">
      <c r="A479" s="20"/>
      <c r="B479" s="21"/>
      <c r="C479" s="21"/>
      <c r="D479" s="21"/>
      <c r="E479" s="21"/>
      <c r="F479" s="21"/>
      <c r="G479" s="22"/>
      <c r="H479" s="21"/>
      <c r="I479" s="21"/>
      <c r="J479" s="21"/>
      <c r="K479" s="23"/>
      <c r="L479" s="24"/>
      <c r="M479" s="21"/>
      <c r="N479" s="21"/>
      <c r="O479" s="25"/>
      <c r="P479" s="26"/>
      <c r="Q479" s="27" t="str">
        <f aca="false">IF(A479="","",SUMIF(Expenses!$B$2:$B$3000,A479,Expenses!$E$2:$E$3000))</f>
        <v/>
      </c>
      <c r="R479" s="27" t="str">
        <f aca="false">IF(A479="","",N(P479)+N(Q479))</f>
        <v/>
      </c>
      <c r="S479" s="28"/>
      <c r="T479" s="25"/>
      <c r="U479" s="26"/>
      <c r="V479" s="26"/>
      <c r="W479" s="26"/>
      <c r="X479" s="27" t="str">
        <f aca="false">IF(B479&lt;&gt;"SOLD","",IF(C479="Consignment",N(W479)-R479,N(U479)-R479-N(V479)))</f>
        <v/>
      </c>
      <c r="Y479" s="29" t="str">
        <f aca="false">IF(OR(X479="",N(R479)=0),"",X479/R479)</f>
        <v/>
      </c>
      <c r="Z479" s="30" t="str">
        <f aca="true">IF(O479="","",IF(T479="",TODAY(),T479)-O479)</f>
        <v/>
      </c>
      <c r="AA479" s="31" t="str">
        <f aca="false">IF(T479="","",TEXT(T479,"YYYY-MM"))</f>
        <v/>
      </c>
      <c r="AB479" s="27" t="str">
        <f aca="false">IF(X479="","",X479/2)</f>
        <v/>
      </c>
      <c r="AC479" s="21"/>
    </row>
    <row r="480" customFormat="false" ht="15" hidden="false" customHeight="false" outlineLevel="0" collapsed="false">
      <c r="A480" s="20"/>
      <c r="B480" s="21"/>
      <c r="C480" s="21"/>
      <c r="D480" s="21"/>
      <c r="E480" s="21"/>
      <c r="F480" s="21"/>
      <c r="G480" s="22"/>
      <c r="H480" s="21"/>
      <c r="I480" s="21"/>
      <c r="J480" s="21"/>
      <c r="K480" s="23"/>
      <c r="L480" s="24"/>
      <c r="M480" s="21"/>
      <c r="N480" s="21"/>
      <c r="O480" s="25"/>
      <c r="P480" s="26"/>
      <c r="Q480" s="27" t="str">
        <f aca="false">IF(A480="","",SUMIF(Expenses!$B$2:$B$3000,A480,Expenses!$E$2:$E$3000))</f>
        <v/>
      </c>
      <c r="R480" s="27" t="str">
        <f aca="false">IF(A480="","",N(P480)+N(Q480))</f>
        <v/>
      </c>
      <c r="S480" s="28"/>
      <c r="T480" s="25"/>
      <c r="U480" s="26"/>
      <c r="V480" s="26"/>
      <c r="W480" s="26"/>
      <c r="X480" s="27" t="str">
        <f aca="false">IF(B480&lt;&gt;"SOLD","",IF(C480="Consignment",N(W480)-R480,N(U480)-R480-N(V480)))</f>
        <v/>
      </c>
      <c r="Y480" s="29" t="str">
        <f aca="false">IF(OR(X480="",N(R480)=0),"",X480/R480)</f>
        <v/>
      </c>
      <c r="Z480" s="30" t="str">
        <f aca="true">IF(O480="","",IF(T480="",TODAY(),T480)-O480)</f>
        <v/>
      </c>
      <c r="AA480" s="31" t="str">
        <f aca="false">IF(T480="","",TEXT(T480,"YYYY-MM"))</f>
        <v/>
      </c>
      <c r="AB480" s="27" t="str">
        <f aca="false">IF(X480="","",X480/2)</f>
        <v/>
      </c>
      <c r="AC480" s="21"/>
    </row>
    <row r="481" customFormat="false" ht="15" hidden="false" customHeight="false" outlineLevel="0" collapsed="false">
      <c r="A481" s="20"/>
      <c r="B481" s="21"/>
      <c r="C481" s="21"/>
      <c r="D481" s="21"/>
      <c r="E481" s="21"/>
      <c r="F481" s="21"/>
      <c r="G481" s="22"/>
      <c r="H481" s="21"/>
      <c r="I481" s="21"/>
      <c r="J481" s="21"/>
      <c r="K481" s="23"/>
      <c r="L481" s="24"/>
      <c r="M481" s="21"/>
      <c r="N481" s="21"/>
      <c r="O481" s="25"/>
      <c r="P481" s="26"/>
      <c r="Q481" s="27" t="str">
        <f aca="false">IF(A481="","",SUMIF(Expenses!$B$2:$B$3000,A481,Expenses!$E$2:$E$3000))</f>
        <v/>
      </c>
      <c r="R481" s="27" t="str">
        <f aca="false">IF(A481="","",N(P481)+N(Q481))</f>
        <v/>
      </c>
      <c r="S481" s="28"/>
      <c r="T481" s="25"/>
      <c r="U481" s="26"/>
      <c r="V481" s="26"/>
      <c r="W481" s="26"/>
      <c r="X481" s="27" t="str">
        <f aca="false">IF(B481&lt;&gt;"SOLD","",IF(C481="Consignment",N(W481)-R481,N(U481)-R481-N(V481)))</f>
        <v/>
      </c>
      <c r="Y481" s="29" t="str">
        <f aca="false">IF(OR(X481="",N(R481)=0),"",X481/R481)</f>
        <v/>
      </c>
      <c r="Z481" s="30" t="str">
        <f aca="true">IF(O481="","",IF(T481="",TODAY(),T481)-O481)</f>
        <v/>
      </c>
      <c r="AA481" s="31" t="str">
        <f aca="false">IF(T481="","",TEXT(T481,"YYYY-MM"))</f>
        <v/>
      </c>
      <c r="AB481" s="27" t="str">
        <f aca="false">IF(X481="","",X481/2)</f>
        <v/>
      </c>
      <c r="AC481" s="21"/>
    </row>
    <row r="482" customFormat="false" ht="15" hidden="false" customHeight="false" outlineLevel="0" collapsed="false">
      <c r="A482" s="20"/>
      <c r="B482" s="21"/>
      <c r="C482" s="21"/>
      <c r="D482" s="21"/>
      <c r="E482" s="21"/>
      <c r="F482" s="21"/>
      <c r="G482" s="22"/>
      <c r="H482" s="21"/>
      <c r="I482" s="21"/>
      <c r="J482" s="21"/>
      <c r="K482" s="23"/>
      <c r="L482" s="24"/>
      <c r="M482" s="21"/>
      <c r="N482" s="21"/>
      <c r="O482" s="25"/>
      <c r="P482" s="26"/>
      <c r="Q482" s="27" t="str">
        <f aca="false">IF(A482="","",SUMIF(Expenses!$B$2:$B$3000,A482,Expenses!$E$2:$E$3000))</f>
        <v/>
      </c>
      <c r="R482" s="27" t="str">
        <f aca="false">IF(A482="","",N(P482)+N(Q482))</f>
        <v/>
      </c>
      <c r="S482" s="28"/>
      <c r="T482" s="25"/>
      <c r="U482" s="26"/>
      <c r="V482" s="26"/>
      <c r="W482" s="26"/>
      <c r="X482" s="27" t="str">
        <f aca="false">IF(B482&lt;&gt;"SOLD","",IF(C482="Consignment",N(W482)-R482,N(U482)-R482-N(V482)))</f>
        <v/>
      </c>
      <c r="Y482" s="29" t="str">
        <f aca="false">IF(OR(X482="",N(R482)=0),"",X482/R482)</f>
        <v/>
      </c>
      <c r="Z482" s="30" t="str">
        <f aca="true">IF(O482="","",IF(T482="",TODAY(),T482)-O482)</f>
        <v/>
      </c>
      <c r="AA482" s="31" t="str">
        <f aca="false">IF(T482="","",TEXT(T482,"YYYY-MM"))</f>
        <v/>
      </c>
      <c r="AB482" s="27" t="str">
        <f aca="false">IF(X482="","",X482/2)</f>
        <v/>
      </c>
      <c r="AC482" s="21"/>
    </row>
    <row r="483" customFormat="false" ht="15" hidden="false" customHeight="false" outlineLevel="0" collapsed="false">
      <c r="A483" s="20"/>
      <c r="B483" s="21"/>
      <c r="C483" s="21"/>
      <c r="D483" s="21"/>
      <c r="E483" s="21"/>
      <c r="F483" s="21"/>
      <c r="G483" s="22"/>
      <c r="H483" s="21"/>
      <c r="I483" s="21"/>
      <c r="J483" s="21"/>
      <c r="K483" s="23"/>
      <c r="L483" s="24"/>
      <c r="M483" s="21"/>
      <c r="N483" s="21"/>
      <c r="O483" s="25"/>
      <c r="P483" s="26"/>
      <c r="Q483" s="27" t="str">
        <f aca="false">IF(A483="","",SUMIF(Expenses!$B$2:$B$3000,A483,Expenses!$E$2:$E$3000))</f>
        <v/>
      </c>
      <c r="R483" s="27" t="str">
        <f aca="false">IF(A483="","",N(P483)+N(Q483))</f>
        <v/>
      </c>
      <c r="S483" s="28"/>
      <c r="T483" s="25"/>
      <c r="U483" s="26"/>
      <c r="V483" s="26"/>
      <c r="W483" s="26"/>
      <c r="X483" s="27" t="str">
        <f aca="false">IF(B483&lt;&gt;"SOLD","",IF(C483="Consignment",N(W483)-R483,N(U483)-R483-N(V483)))</f>
        <v/>
      </c>
      <c r="Y483" s="29" t="str">
        <f aca="false">IF(OR(X483="",N(R483)=0),"",X483/R483)</f>
        <v/>
      </c>
      <c r="Z483" s="30" t="str">
        <f aca="true">IF(O483="","",IF(T483="",TODAY(),T483)-O483)</f>
        <v/>
      </c>
      <c r="AA483" s="31" t="str">
        <f aca="false">IF(T483="","",TEXT(T483,"YYYY-MM"))</f>
        <v/>
      </c>
      <c r="AB483" s="27" t="str">
        <f aca="false">IF(X483="","",X483/2)</f>
        <v/>
      </c>
      <c r="AC483" s="21"/>
    </row>
    <row r="484" customFormat="false" ht="15" hidden="false" customHeight="false" outlineLevel="0" collapsed="false">
      <c r="A484" s="20"/>
      <c r="B484" s="21"/>
      <c r="C484" s="21"/>
      <c r="D484" s="21"/>
      <c r="E484" s="21"/>
      <c r="F484" s="21"/>
      <c r="G484" s="22"/>
      <c r="H484" s="21"/>
      <c r="I484" s="21"/>
      <c r="J484" s="21"/>
      <c r="K484" s="23"/>
      <c r="L484" s="24"/>
      <c r="M484" s="21"/>
      <c r="N484" s="21"/>
      <c r="O484" s="25"/>
      <c r="P484" s="26"/>
      <c r="Q484" s="27" t="str">
        <f aca="false">IF(A484="","",SUMIF(Expenses!$B$2:$B$3000,A484,Expenses!$E$2:$E$3000))</f>
        <v/>
      </c>
      <c r="R484" s="27" t="str">
        <f aca="false">IF(A484="","",N(P484)+N(Q484))</f>
        <v/>
      </c>
      <c r="S484" s="28"/>
      <c r="T484" s="25"/>
      <c r="U484" s="26"/>
      <c r="V484" s="26"/>
      <c r="W484" s="26"/>
      <c r="X484" s="27" t="str">
        <f aca="false">IF(B484&lt;&gt;"SOLD","",IF(C484="Consignment",N(W484)-R484,N(U484)-R484-N(V484)))</f>
        <v/>
      </c>
      <c r="Y484" s="29" t="str">
        <f aca="false">IF(OR(X484="",N(R484)=0),"",X484/R484)</f>
        <v/>
      </c>
      <c r="Z484" s="30" t="str">
        <f aca="true">IF(O484="","",IF(T484="",TODAY(),T484)-O484)</f>
        <v/>
      </c>
      <c r="AA484" s="31" t="str">
        <f aca="false">IF(T484="","",TEXT(T484,"YYYY-MM"))</f>
        <v/>
      </c>
      <c r="AB484" s="27" t="str">
        <f aca="false">IF(X484="","",X484/2)</f>
        <v/>
      </c>
      <c r="AC484" s="21"/>
    </row>
    <row r="485" customFormat="false" ht="15" hidden="false" customHeight="false" outlineLevel="0" collapsed="false">
      <c r="A485" s="20"/>
      <c r="B485" s="21"/>
      <c r="C485" s="21"/>
      <c r="D485" s="21"/>
      <c r="E485" s="21"/>
      <c r="F485" s="21"/>
      <c r="G485" s="22"/>
      <c r="H485" s="21"/>
      <c r="I485" s="21"/>
      <c r="J485" s="21"/>
      <c r="K485" s="23"/>
      <c r="L485" s="24"/>
      <c r="M485" s="21"/>
      <c r="N485" s="21"/>
      <c r="O485" s="25"/>
      <c r="P485" s="26"/>
      <c r="Q485" s="27" t="str">
        <f aca="false">IF(A485="","",SUMIF(Expenses!$B$2:$B$3000,A485,Expenses!$E$2:$E$3000))</f>
        <v/>
      </c>
      <c r="R485" s="27" t="str">
        <f aca="false">IF(A485="","",N(P485)+N(Q485))</f>
        <v/>
      </c>
      <c r="S485" s="28"/>
      <c r="T485" s="25"/>
      <c r="U485" s="26"/>
      <c r="V485" s="26"/>
      <c r="W485" s="26"/>
      <c r="X485" s="27" t="str">
        <f aca="false">IF(B485&lt;&gt;"SOLD","",IF(C485="Consignment",N(W485)-R485,N(U485)-R485-N(V485)))</f>
        <v/>
      </c>
      <c r="Y485" s="29" t="str">
        <f aca="false">IF(OR(X485="",N(R485)=0),"",X485/R485)</f>
        <v/>
      </c>
      <c r="Z485" s="30" t="str">
        <f aca="true">IF(O485="","",IF(T485="",TODAY(),T485)-O485)</f>
        <v/>
      </c>
      <c r="AA485" s="31" t="str">
        <f aca="false">IF(T485="","",TEXT(T485,"YYYY-MM"))</f>
        <v/>
      </c>
      <c r="AB485" s="27" t="str">
        <f aca="false">IF(X485="","",X485/2)</f>
        <v/>
      </c>
      <c r="AC485" s="21"/>
    </row>
    <row r="486" customFormat="false" ht="15" hidden="false" customHeight="false" outlineLevel="0" collapsed="false">
      <c r="A486" s="20"/>
      <c r="B486" s="21"/>
      <c r="C486" s="21"/>
      <c r="D486" s="21"/>
      <c r="E486" s="21"/>
      <c r="F486" s="21"/>
      <c r="G486" s="22"/>
      <c r="H486" s="21"/>
      <c r="I486" s="21"/>
      <c r="J486" s="21"/>
      <c r="K486" s="23"/>
      <c r="L486" s="24"/>
      <c r="M486" s="21"/>
      <c r="N486" s="21"/>
      <c r="O486" s="25"/>
      <c r="P486" s="26"/>
      <c r="Q486" s="27" t="str">
        <f aca="false">IF(A486="","",SUMIF(Expenses!$B$2:$B$3000,A486,Expenses!$E$2:$E$3000))</f>
        <v/>
      </c>
      <c r="R486" s="27" t="str">
        <f aca="false">IF(A486="","",N(P486)+N(Q486))</f>
        <v/>
      </c>
      <c r="S486" s="28"/>
      <c r="T486" s="25"/>
      <c r="U486" s="26"/>
      <c r="V486" s="26"/>
      <c r="W486" s="26"/>
      <c r="X486" s="27" t="str">
        <f aca="false">IF(B486&lt;&gt;"SOLD","",IF(C486="Consignment",N(W486)-R486,N(U486)-R486-N(V486)))</f>
        <v/>
      </c>
      <c r="Y486" s="29" t="str">
        <f aca="false">IF(OR(X486="",N(R486)=0),"",X486/R486)</f>
        <v/>
      </c>
      <c r="Z486" s="30" t="str">
        <f aca="true">IF(O486="","",IF(T486="",TODAY(),T486)-O486)</f>
        <v/>
      </c>
      <c r="AA486" s="31" t="str">
        <f aca="false">IF(T486="","",TEXT(T486,"YYYY-MM"))</f>
        <v/>
      </c>
      <c r="AB486" s="27" t="str">
        <f aca="false">IF(X486="","",X486/2)</f>
        <v/>
      </c>
      <c r="AC486" s="21"/>
    </row>
    <row r="487" customFormat="false" ht="15" hidden="false" customHeight="false" outlineLevel="0" collapsed="false">
      <c r="A487" s="20"/>
      <c r="B487" s="21"/>
      <c r="C487" s="21"/>
      <c r="D487" s="21"/>
      <c r="E487" s="21"/>
      <c r="F487" s="21"/>
      <c r="G487" s="22"/>
      <c r="H487" s="21"/>
      <c r="I487" s="21"/>
      <c r="J487" s="21"/>
      <c r="K487" s="23"/>
      <c r="L487" s="24"/>
      <c r="M487" s="21"/>
      <c r="N487" s="21"/>
      <c r="O487" s="25"/>
      <c r="P487" s="26"/>
      <c r="Q487" s="27" t="str">
        <f aca="false">IF(A487="","",SUMIF(Expenses!$B$2:$B$3000,A487,Expenses!$E$2:$E$3000))</f>
        <v/>
      </c>
      <c r="R487" s="27" t="str">
        <f aca="false">IF(A487="","",N(P487)+N(Q487))</f>
        <v/>
      </c>
      <c r="S487" s="28"/>
      <c r="T487" s="25"/>
      <c r="U487" s="26"/>
      <c r="V487" s="26"/>
      <c r="W487" s="26"/>
      <c r="X487" s="27" t="str">
        <f aca="false">IF(B487&lt;&gt;"SOLD","",IF(C487="Consignment",N(W487)-R487,N(U487)-R487-N(V487)))</f>
        <v/>
      </c>
      <c r="Y487" s="29" t="str">
        <f aca="false">IF(OR(X487="",N(R487)=0),"",X487/R487)</f>
        <v/>
      </c>
      <c r="Z487" s="30" t="str">
        <f aca="true">IF(O487="","",IF(T487="",TODAY(),T487)-O487)</f>
        <v/>
      </c>
      <c r="AA487" s="31" t="str">
        <f aca="false">IF(T487="","",TEXT(T487,"YYYY-MM"))</f>
        <v/>
      </c>
      <c r="AB487" s="27" t="str">
        <f aca="false">IF(X487="","",X487/2)</f>
        <v/>
      </c>
      <c r="AC487" s="21"/>
    </row>
    <row r="488" customFormat="false" ht="15" hidden="false" customHeight="false" outlineLevel="0" collapsed="false">
      <c r="A488" s="20"/>
      <c r="B488" s="21"/>
      <c r="C488" s="21"/>
      <c r="D488" s="21"/>
      <c r="E488" s="21"/>
      <c r="F488" s="21"/>
      <c r="G488" s="22"/>
      <c r="H488" s="21"/>
      <c r="I488" s="21"/>
      <c r="J488" s="21"/>
      <c r="K488" s="23"/>
      <c r="L488" s="24"/>
      <c r="M488" s="21"/>
      <c r="N488" s="21"/>
      <c r="O488" s="25"/>
      <c r="P488" s="26"/>
      <c r="Q488" s="27" t="str">
        <f aca="false">IF(A488="","",SUMIF(Expenses!$B$2:$B$3000,A488,Expenses!$E$2:$E$3000))</f>
        <v/>
      </c>
      <c r="R488" s="27" t="str">
        <f aca="false">IF(A488="","",N(P488)+N(Q488))</f>
        <v/>
      </c>
      <c r="S488" s="28"/>
      <c r="T488" s="25"/>
      <c r="U488" s="26"/>
      <c r="V488" s="26"/>
      <c r="W488" s="26"/>
      <c r="X488" s="27" t="str">
        <f aca="false">IF(B488&lt;&gt;"SOLD","",IF(C488="Consignment",N(W488)-R488,N(U488)-R488-N(V488)))</f>
        <v/>
      </c>
      <c r="Y488" s="29" t="str">
        <f aca="false">IF(OR(X488="",N(R488)=0),"",X488/R488)</f>
        <v/>
      </c>
      <c r="Z488" s="30" t="str">
        <f aca="true">IF(O488="","",IF(T488="",TODAY(),T488)-O488)</f>
        <v/>
      </c>
      <c r="AA488" s="31" t="str">
        <f aca="false">IF(T488="","",TEXT(T488,"YYYY-MM"))</f>
        <v/>
      </c>
      <c r="AB488" s="27" t="str">
        <f aca="false">IF(X488="","",X488/2)</f>
        <v/>
      </c>
      <c r="AC488" s="21"/>
    </row>
    <row r="489" customFormat="false" ht="15" hidden="false" customHeight="false" outlineLevel="0" collapsed="false">
      <c r="A489" s="20"/>
      <c r="B489" s="21"/>
      <c r="C489" s="21"/>
      <c r="D489" s="21"/>
      <c r="E489" s="21"/>
      <c r="F489" s="21"/>
      <c r="G489" s="22"/>
      <c r="H489" s="21"/>
      <c r="I489" s="21"/>
      <c r="J489" s="21"/>
      <c r="K489" s="23"/>
      <c r="L489" s="24"/>
      <c r="M489" s="21"/>
      <c r="N489" s="21"/>
      <c r="O489" s="25"/>
      <c r="P489" s="26"/>
      <c r="Q489" s="27" t="str">
        <f aca="false">IF(A489="","",SUMIF(Expenses!$B$2:$B$3000,A489,Expenses!$E$2:$E$3000))</f>
        <v/>
      </c>
      <c r="R489" s="27" t="str">
        <f aca="false">IF(A489="","",N(P489)+N(Q489))</f>
        <v/>
      </c>
      <c r="S489" s="28"/>
      <c r="T489" s="25"/>
      <c r="U489" s="26"/>
      <c r="V489" s="26"/>
      <c r="W489" s="26"/>
      <c r="X489" s="27" t="str">
        <f aca="false">IF(B489&lt;&gt;"SOLD","",IF(C489="Consignment",N(W489)-R489,N(U489)-R489-N(V489)))</f>
        <v/>
      </c>
      <c r="Y489" s="29" t="str">
        <f aca="false">IF(OR(X489="",N(R489)=0),"",X489/R489)</f>
        <v/>
      </c>
      <c r="Z489" s="30" t="str">
        <f aca="true">IF(O489="","",IF(T489="",TODAY(),T489)-O489)</f>
        <v/>
      </c>
      <c r="AA489" s="31" t="str">
        <f aca="false">IF(T489="","",TEXT(T489,"YYYY-MM"))</f>
        <v/>
      </c>
      <c r="AB489" s="27" t="str">
        <f aca="false">IF(X489="","",X489/2)</f>
        <v/>
      </c>
      <c r="AC489" s="21"/>
    </row>
    <row r="490" customFormat="false" ht="15" hidden="false" customHeight="false" outlineLevel="0" collapsed="false">
      <c r="A490" s="20"/>
      <c r="B490" s="21"/>
      <c r="C490" s="21"/>
      <c r="D490" s="21"/>
      <c r="E490" s="21"/>
      <c r="F490" s="21"/>
      <c r="G490" s="22"/>
      <c r="H490" s="21"/>
      <c r="I490" s="21"/>
      <c r="J490" s="21"/>
      <c r="K490" s="23"/>
      <c r="L490" s="24"/>
      <c r="M490" s="21"/>
      <c r="N490" s="21"/>
      <c r="O490" s="25"/>
      <c r="P490" s="26"/>
      <c r="Q490" s="27" t="str">
        <f aca="false">IF(A490="","",SUMIF(Expenses!$B$2:$B$3000,A490,Expenses!$E$2:$E$3000))</f>
        <v/>
      </c>
      <c r="R490" s="27" t="str">
        <f aca="false">IF(A490="","",N(P490)+N(Q490))</f>
        <v/>
      </c>
      <c r="S490" s="28"/>
      <c r="T490" s="25"/>
      <c r="U490" s="26"/>
      <c r="V490" s="26"/>
      <c r="W490" s="26"/>
      <c r="X490" s="27" t="str">
        <f aca="false">IF(B490&lt;&gt;"SOLD","",IF(C490="Consignment",N(W490)-R490,N(U490)-R490-N(V490)))</f>
        <v/>
      </c>
      <c r="Y490" s="29" t="str">
        <f aca="false">IF(OR(X490="",N(R490)=0),"",X490/R490)</f>
        <v/>
      </c>
      <c r="Z490" s="30" t="str">
        <f aca="true">IF(O490="","",IF(T490="",TODAY(),T490)-O490)</f>
        <v/>
      </c>
      <c r="AA490" s="31" t="str">
        <f aca="false">IF(T490="","",TEXT(T490,"YYYY-MM"))</f>
        <v/>
      </c>
      <c r="AB490" s="27" t="str">
        <f aca="false">IF(X490="","",X490/2)</f>
        <v/>
      </c>
      <c r="AC490" s="21"/>
    </row>
    <row r="491" customFormat="false" ht="15" hidden="false" customHeight="false" outlineLevel="0" collapsed="false">
      <c r="A491" s="20"/>
      <c r="B491" s="21"/>
      <c r="C491" s="21"/>
      <c r="D491" s="21"/>
      <c r="E491" s="21"/>
      <c r="F491" s="21"/>
      <c r="G491" s="22"/>
      <c r="H491" s="21"/>
      <c r="I491" s="21"/>
      <c r="J491" s="21"/>
      <c r="K491" s="23"/>
      <c r="L491" s="24"/>
      <c r="M491" s="21"/>
      <c r="N491" s="21"/>
      <c r="O491" s="25"/>
      <c r="P491" s="26"/>
      <c r="Q491" s="27" t="str">
        <f aca="false">IF(A491="","",SUMIF(Expenses!$B$2:$B$3000,A491,Expenses!$E$2:$E$3000))</f>
        <v/>
      </c>
      <c r="R491" s="27" t="str">
        <f aca="false">IF(A491="","",N(P491)+N(Q491))</f>
        <v/>
      </c>
      <c r="S491" s="28"/>
      <c r="T491" s="25"/>
      <c r="U491" s="26"/>
      <c r="V491" s="26"/>
      <c r="W491" s="26"/>
      <c r="X491" s="27" t="str">
        <f aca="false">IF(B491&lt;&gt;"SOLD","",IF(C491="Consignment",N(W491)-R491,N(U491)-R491-N(V491)))</f>
        <v/>
      </c>
      <c r="Y491" s="29" t="str">
        <f aca="false">IF(OR(X491="",N(R491)=0),"",X491/R491)</f>
        <v/>
      </c>
      <c r="Z491" s="30" t="str">
        <f aca="true">IF(O491="","",IF(T491="",TODAY(),T491)-O491)</f>
        <v/>
      </c>
      <c r="AA491" s="31" t="str">
        <f aca="false">IF(T491="","",TEXT(T491,"YYYY-MM"))</f>
        <v/>
      </c>
      <c r="AB491" s="27" t="str">
        <f aca="false">IF(X491="","",X491/2)</f>
        <v/>
      </c>
      <c r="AC491" s="21"/>
    </row>
    <row r="492" customFormat="false" ht="15" hidden="false" customHeight="false" outlineLevel="0" collapsed="false">
      <c r="A492" s="20"/>
      <c r="B492" s="21"/>
      <c r="C492" s="21"/>
      <c r="D492" s="21"/>
      <c r="E492" s="21"/>
      <c r="F492" s="21"/>
      <c r="G492" s="22"/>
      <c r="H492" s="21"/>
      <c r="I492" s="21"/>
      <c r="J492" s="21"/>
      <c r="K492" s="23"/>
      <c r="L492" s="24"/>
      <c r="M492" s="21"/>
      <c r="N492" s="21"/>
      <c r="O492" s="25"/>
      <c r="P492" s="26"/>
      <c r="Q492" s="27" t="str">
        <f aca="false">IF(A492="","",SUMIF(Expenses!$B$2:$B$3000,A492,Expenses!$E$2:$E$3000))</f>
        <v/>
      </c>
      <c r="R492" s="27" t="str">
        <f aca="false">IF(A492="","",N(P492)+N(Q492))</f>
        <v/>
      </c>
      <c r="S492" s="28"/>
      <c r="T492" s="25"/>
      <c r="U492" s="26"/>
      <c r="V492" s="26"/>
      <c r="W492" s="26"/>
      <c r="X492" s="27" t="str">
        <f aca="false">IF(B492&lt;&gt;"SOLD","",IF(C492="Consignment",N(W492)-R492,N(U492)-R492-N(V492)))</f>
        <v/>
      </c>
      <c r="Y492" s="29" t="str">
        <f aca="false">IF(OR(X492="",N(R492)=0),"",X492/R492)</f>
        <v/>
      </c>
      <c r="Z492" s="30" t="str">
        <f aca="true">IF(O492="","",IF(T492="",TODAY(),T492)-O492)</f>
        <v/>
      </c>
      <c r="AA492" s="31" t="str">
        <f aca="false">IF(T492="","",TEXT(T492,"YYYY-MM"))</f>
        <v/>
      </c>
      <c r="AB492" s="27" t="str">
        <f aca="false">IF(X492="","",X492/2)</f>
        <v/>
      </c>
      <c r="AC492" s="21"/>
    </row>
    <row r="493" customFormat="false" ht="15" hidden="false" customHeight="false" outlineLevel="0" collapsed="false">
      <c r="A493" s="20"/>
      <c r="B493" s="21"/>
      <c r="C493" s="21"/>
      <c r="D493" s="21"/>
      <c r="E493" s="21"/>
      <c r="F493" s="21"/>
      <c r="G493" s="22"/>
      <c r="H493" s="21"/>
      <c r="I493" s="21"/>
      <c r="J493" s="21"/>
      <c r="K493" s="23"/>
      <c r="L493" s="24"/>
      <c r="M493" s="21"/>
      <c r="N493" s="21"/>
      <c r="O493" s="25"/>
      <c r="P493" s="26"/>
      <c r="Q493" s="27" t="str">
        <f aca="false">IF(A493="","",SUMIF(Expenses!$B$2:$B$3000,A493,Expenses!$E$2:$E$3000))</f>
        <v/>
      </c>
      <c r="R493" s="27" t="str">
        <f aca="false">IF(A493="","",N(P493)+N(Q493))</f>
        <v/>
      </c>
      <c r="S493" s="28"/>
      <c r="T493" s="25"/>
      <c r="U493" s="26"/>
      <c r="V493" s="26"/>
      <c r="W493" s="26"/>
      <c r="X493" s="27" t="str">
        <f aca="false">IF(B493&lt;&gt;"SOLD","",IF(C493="Consignment",N(W493)-R493,N(U493)-R493-N(V493)))</f>
        <v/>
      </c>
      <c r="Y493" s="29" t="str">
        <f aca="false">IF(OR(X493="",N(R493)=0),"",X493/R493)</f>
        <v/>
      </c>
      <c r="Z493" s="30" t="str">
        <f aca="true">IF(O493="","",IF(T493="",TODAY(),T493)-O493)</f>
        <v/>
      </c>
      <c r="AA493" s="31" t="str">
        <f aca="false">IF(T493="","",TEXT(T493,"YYYY-MM"))</f>
        <v/>
      </c>
      <c r="AB493" s="27" t="str">
        <f aca="false">IF(X493="","",X493/2)</f>
        <v/>
      </c>
      <c r="AC493" s="21"/>
    </row>
    <row r="494" customFormat="false" ht="15" hidden="false" customHeight="false" outlineLevel="0" collapsed="false">
      <c r="A494" s="20"/>
      <c r="B494" s="21"/>
      <c r="C494" s="21"/>
      <c r="D494" s="21"/>
      <c r="E494" s="21"/>
      <c r="F494" s="21"/>
      <c r="G494" s="22"/>
      <c r="H494" s="21"/>
      <c r="I494" s="21"/>
      <c r="J494" s="21"/>
      <c r="K494" s="23"/>
      <c r="L494" s="24"/>
      <c r="M494" s="21"/>
      <c r="N494" s="21"/>
      <c r="O494" s="25"/>
      <c r="P494" s="26"/>
      <c r="Q494" s="27" t="str">
        <f aca="false">IF(A494="","",SUMIF(Expenses!$B$2:$B$3000,A494,Expenses!$E$2:$E$3000))</f>
        <v/>
      </c>
      <c r="R494" s="27" t="str">
        <f aca="false">IF(A494="","",N(P494)+N(Q494))</f>
        <v/>
      </c>
      <c r="S494" s="28"/>
      <c r="T494" s="25"/>
      <c r="U494" s="26"/>
      <c r="V494" s="26"/>
      <c r="W494" s="26"/>
      <c r="X494" s="27" t="str">
        <f aca="false">IF(B494&lt;&gt;"SOLD","",IF(C494="Consignment",N(W494)-R494,N(U494)-R494-N(V494)))</f>
        <v/>
      </c>
      <c r="Y494" s="29" t="str">
        <f aca="false">IF(OR(X494="",N(R494)=0),"",X494/R494)</f>
        <v/>
      </c>
      <c r="Z494" s="30" t="str">
        <f aca="true">IF(O494="","",IF(T494="",TODAY(),T494)-O494)</f>
        <v/>
      </c>
      <c r="AA494" s="31" t="str">
        <f aca="false">IF(T494="","",TEXT(T494,"YYYY-MM"))</f>
        <v/>
      </c>
      <c r="AB494" s="27" t="str">
        <f aca="false">IF(X494="","",X494/2)</f>
        <v/>
      </c>
      <c r="AC494" s="21"/>
    </row>
    <row r="495" customFormat="false" ht="15" hidden="false" customHeight="false" outlineLevel="0" collapsed="false">
      <c r="A495" s="20"/>
      <c r="B495" s="21"/>
      <c r="C495" s="21"/>
      <c r="D495" s="21"/>
      <c r="E495" s="21"/>
      <c r="F495" s="21"/>
      <c r="G495" s="22"/>
      <c r="H495" s="21"/>
      <c r="I495" s="21"/>
      <c r="J495" s="21"/>
      <c r="K495" s="23"/>
      <c r="L495" s="24"/>
      <c r="M495" s="21"/>
      <c r="N495" s="21"/>
      <c r="O495" s="25"/>
      <c r="P495" s="26"/>
      <c r="Q495" s="27" t="str">
        <f aca="false">IF(A495="","",SUMIF(Expenses!$B$2:$B$3000,A495,Expenses!$E$2:$E$3000))</f>
        <v/>
      </c>
      <c r="R495" s="27" t="str">
        <f aca="false">IF(A495="","",N(P495)+N(Q495))</f>
        <v/>
      </c>
      <c r="S495" s="28"/>
      <c r="T495" s="25"/>
      <c r="U495" s="26"/>
      <c r="V495" s="26"/>
      <c r="W495" s="26"/>
      <c r="X495" s="27" t="str">
        <f aca="false">IF(B495&lt;&gt;"SOLD","",IF(C495="Consignment",N(W495)-R495,N(U495)-R495-N(V495)))</f>
        <v/>
      </c>
      <c r="Y495" s="29" t="str">
        <f aca="false">IF(OR(X495="",N(R495)=0),"",X495/R495)</f>
        <v/>
      </c>
      <c r="Z495" s="30" t="str">
        <f aca="true">IF(O495="","",IF(T495="",TODAY(),T495)-O495)</f>
        <v/>
      </c>
      <c r="AA495" s="31" t="str">
        <f aca="false">IF(T495="","",TEXT(T495,"YYYY-MM"))</f>
        <v/>
      </c>
      <c r="AB495" s="27" t="str">
        <f aca="false">IF(X495="","",X495/2)</f>
        <v/>
      </c>
      <c r="AC495" s="21"/>
    </row>
    <row r="496" customFormat="false" ht="15" hidden="false" customHeight="false" outlineLevel="0" collapsed="false">
      <c r="A496" s="20"/>
      <c r="B496" s="21"/>
      <c r="C496" s="21"/>
      <c r="D496" s="21"/>
      <c r="E496" s="21"/>
      <c r="F496" s="21"/>
      <c r="G496" s="22"/>
      <c r="H496" s="21"/>
      <c r="I496" s="21"/>
      <c r="J496" s="21"/>
      <c r="K496" s="23"/>
      <c r="L496" s="24"/>
      <c r="M496" s="21"/>
      <c r="N496" s="21"/>
      <c r="O496" s="25"/>
      <c r="P496" s="26"/>
      <c r="Q496" s="27" t="str">
        <f aca="false">IF(A496="","",SUMIF(Expenses!$B$2:$B$3000,A496,Expenses!$E$2:$E$3000))</f>
        <v/>
      </c>
      <c r="R496" s="27" t="str">
        <f aca="false">IF(A496="","",N(P496)+N(Q496))</f>
        <v/>
      </c>
      <c r="S496" s="28"/>
      <c r="T496" s="25"/>
      <c r="U496" s="26"/>
      <c r="V496" s="26"/>
      <c r="W496" s="26"/>
      <c r="X496" s="27" t="str">
        <f aca="false">IF(B496&lt;&gt;"SOLD","",IF(C496="Consignment",N(W496)-R496,N(U496)-R496-N(V496)))</f>
        <v/>
      </c>
      <c r="Y496" s="29" t="str">
        <f aca="false">IF(OR(X496="",N(R496)=0),"",X496/R496)</f>
        <v/>
      </c>
      <c r="Z496" s="30" t="str">
        <f aca="true">IF(O496="","",IF(T496="",TODAY(),T496)-O496)</f>
        <v/>
      </c>
      <c r="AA496" s="31" t="str">
        <f aca="false">IF(T496="","",TEXT(T496,"YYYY-MM"))</f>
        <v/>
      </c>
      <c r="AB496" s="27" t="str">
        <f aca="false">IF(X496="","",X496/2)</f>
        <v/>
      </c>
      <c r="AC496" s="21"/>
    </row>
    <row r="497" customFormat="false" ht="15" hidden="false" customHeight="false" outlineLevel="0" collapsed="false">
      <c r="A497" s="20"/>
      <c r="B497" s="21"/>
      <c r="C497" s="21"/>
      <c r="D497" s="21"/>
      <c r="E497" s="21"/>
      <c r="F497" s="21"/>
      <c r="G497" s="22"/>
      <c r="H497" s="21"/>
      <c r="I497" s="21"/>
      <c r="J497" s="21"/>
      <c r="K497" s="23"/>
      <c r="L497" s="24"/>
      <c r="M497" s="21"/>
      <c r="N497" s="21"/>
      <c r="O497" s="25"/>
      <c r="P497" s="26"/>
      <c r="Q497" s="27" t="str">
        <f aca="false">IF(A497="","",SUMIF(Expenses!$B$2:$B$3000,A497,Expenses!$E$2:$E$3000))</f>
        <v/>
      </c>
      <c r="R497" s="27" t="str">
        <f aca="false">IF(A497="","",N(P497)+N(Q497))</f>
        <v/>
      </c>
      <c r="S497" s="28"/>
      <c r="T497" s="25"/>
      <c r="U497" s="26"/>
      <c r="V497" s="26"/>
      <c r="W497" s="26"/>
      <c r="X497" s="27" t="str">
        <f aca="false">IF(B497&lt;&gt;"SOLD","",IF(C497="Consignment",N(W497)-R497,N(U497)-R497-N(V497)))</f>
        <v/>
      </c>
      <c r="Y497" s="29" t="str">
        <f aca="false">IF(OR(X497="",N(R497)=0),"",X497/R497)</f>
        <v/>
      </c>
      <c r="Z497" s="30" t="str">
        <f aca="true">IF(O497="","",IF(T497="",TODAY(),T497)-O497)</f>
        <v/>
      </c>
      <c r="AA497" s="31" t="str">
        <f aca="false">IF(T497="","",TEXT(T497,"YYYY-MM"))</f>
        <v/>
      </c>
      <c r="AB497" s="27" t="str">
        <f aca="false">IF(X497="","",X497/2)</f>
        <v/>
      </c>
      <c r="AC497" s="21"/>
    </row>
    <row r="498" customFormat="false" ht="15" hidden="false" customHeight="false" outlineLevel="0" collapsed="false">
      <c r="A498" s="20"/>
      <c r="B498" s="21"/>
      <c r="C498" s="21"/>
      <c r="D498" s="21"/>
      <c r="E498" s="21"/>
      <c r="F498" s="21"/>
      <c r="G498" s="22"/>
      <c r="H498" s="21"/>
      <c r="I498" s="21"/>
      <c r="J498" s="21"/>
      <c r="K498" s="23"/>
      <c r="L498" s="24"/>
      <c r="M498" s="21"/>
      <c r="N498" s="21"/>
      <c r="O498" s="25"/>
      <c r="P498" s="26"/>
      <c r="Q498" s="27" t="str">
        <f aca="false">IF(A498="","",SUMIF(Expenses!$B$2:$B$3000,A498,Expenses!$E$2:$E$3000))</f>
        <v/>
      </c>
      <c r="R498" s="27" t="str">
        <f aca="false">IF(A498="","",N(P498)+N(Q498))</f>
        <v/>
      </c>
      <c r="S498" s="28"/>
      <c r="T498" s="25"/>
      <c r="U498" s="26"/>
      <c r="V498" s="26"/>
      <c r="W498" s="26"/>
      <c r="X498" s="27" t="str">
        <f aca="false">IF(B498&lt;&gt;"SOLD","",IF(C498="Consignment",N(W498)-R498,N(U498)-R498-N(V498)))</f>
        <v/>
      </c>
      <c r="Y498" s="29" t="str">
        <f aca="false">IF(OR(X498="",N(R498)=0),"",X498/R498)</f>
        <v/>
      </c>
      <c r="Z498" s="30" t="str">
        <f aca="true">IF(O498="","",IF(T498="",TODAY(),T498)-O498)</f>
        <v/>
      </c>
      <c r="AA498" s="31" t="str">
        <f aca="false">IF(T498="","",TEXT(T498,"YYYY-MM"))</f>
        <v/>
      </c>
      <c r="AB498" s="27" t="str">
        <f aca="false">IF(X498="","",X498/2)</f>
        <v/>
      </c>
      <c r="AC498" s="21"/>
    </row>
    <row r="499" customFormat="false" ht="15" hidden="false" customHeight="false" outlineLevel="0" collapsed="false">
      <c r="A499" s="20"/>
      <c r="B499" s="21"/>
      <c r="C499" s="21"/>
      <c r="D499" s="21"/>
      <c r="E499" s="21"/>
      <c r="F499" s="21"/>
      <c r="G499" s="22"/>
      <c r="H499" s="21"/>
      <c r="I499" s="21"/>
      <c r="J499" s="21"/>
      <c r="K499" s="23"/>
      <c r="L499" s="24"/>
      <c r="M499" s="21"/>
      <c r="N499" s="21"/>
      <c r="O499" s="25"/>
      <c r="P499" s="26"/>
      <c r="Q499" s="27" t="str">
        <f aca="false">IF(A499="","",SUMIF(Expenses!$B$2:$B$3000,A499,Expenses!$E$2:$E$3000))</f>
        <v/>
      </c>
      <c r="R499" s="27" t="str">
        <f aca="false">IF(A499="","",N(P499)+N(Q499))</f>
        <v/>
      </c>
      <c r="S499" s="28"/>
      <c r="T499" s="25"/>
      <c r="U499" s="26"/>
      <c r="V499" s="26"/>
      <c r="W499" s="26"/>
      <c r="X499" s="27" t="str">
        <f aca="false">IF(B499&lt;&gt;"SOLD","",IF(C499="Consignment",N(W499)-R499,N(U499)-R499-N(V499)))</f>
        <v/>
      </c>
      <c r="Y499" s="29" t="str">
        <f aca="false">IF(OR(X499="",N(R499)=0),"",X499/R499)</f>
        <v/>
      </c>
      <c r="Z499" s="30" t="str">
        <f aca="true">IF(O499="","",IF(T499="",TODAY(),T499)-O499)</f>
        <v/>
      </c>
      <c r="AA499" s="31" t="str">
        <f aca="false">IF(T499="","",TEXT(T499,"YYYY-MM"))</f>
        <v/>
      </c>
      <c r="AB499" s="27" t="str">
        <f aca="false">IF(X499="","",X499/2)</f>
        <v/>
      </c>
      <c r="AC499" s="21"/>
    </row>
    <row r="500" customFormat="false" ht="15" hidden="false" customHeight="false" outlineLevel="0" collapsed="false">
      <c r="A500" s="20"/>
      <c r="B500" s="21"/>
      <c r="C500" s="21"/>
      <c r="D500" s="21"/>
      <c r="E500" s="21"/>
      <c r="F500" s="21"/>
      <c r="G500" s="22"/>
      <c r="H500" s="21"/>
      <c r="I500" s="21"/>
      <c r="J500" s="21"/>
      <c r="K500" s="23"/>
      <c r="L500" s="24"/>
      <c r="M500" s="21"/>
      <c r="N500" s="21"/>
      <c r="O500" s="25"/>
      <c r="P500" s="26"/>
      <c r="Q500" s="27" t="str">
        <f aca="false">IF(A500="","",SUMIF(Expenses!$B$2:$B$3000,A500,Expenses!$E$2:$E$3000))</f>
        <v/>
      </c>
      <c r="R500" s="27" t="str">
        <f aca="false">IF(A500="","",N(P500)+N(Q500))</f>
        <v/>
      </c>
      <c r="S500" s="28"/>
      <c r="T500" s="25"/>
      <c r="U500" s="26"/>
      <c r="V500" s="26"/>
      <c r="W500" s="26"/>
      <c r="X500" s="27" t="str">
        <f aca="false">IF(B500&lt;&gt;"SOLD","",IF(C500="Consignment",N(W500)-R500,N(U500)-R500-N(V500)))</f>
        <v/>
      </c>
      <c r="Y500" s="29" t="str">
        <f aca="false">IF(OR(X500="",N(R500)=0),"",X500/R500)</f>
        <v/>
      </c>
      <c r="Z500" s="30" t="str">
        <f aca="true">IF(O500="","",IF(T500="",TODAY(),T500)-O500)</f>
        <v/>
      </c>
      <c r="AA500" s="31" t="str">
        <f aca="false">IF(T500="","",TEXT(T500,"YYYY-MM"))</f>
        <v/>
      </c>
      <c r="AB500" s="27" t="str">
        <f aca="false">IF(X500="","",X500/2)</f>
        <v/>
      </c>
      <c r="AC500" s="21"/>
    </row>
    <row r="501" customFormat="false" ht="15" hidden="false" customHeight="false" outlineLevel="0" collapsed="false">
      <c r="A501" s="20"/>
      <c r="B501" s="21"/>
      <c r="C501" s="21"/>
      <c r="D501" s="21"/>
      <c r="E501" s="21"/>
      <c r="F501" s="21"/>
      <c r="G501" s="22"/>
      <c r="H501" s="21"/>
      <c r="I501" s="21"/>
      <c r="J501" s="21"/>
      <c r="K501" s="23"/>
      <c r="L501" s="24"/>
      <c r="M501" s="21"/>
      <c r="N501" s="21"/>
      <c r="O501" s="25"/>
      <c r="P501" s="26"/>
      <c r="Q501" s="27" t="str">
        <f aca="false">IF(A501="","",SUMIF(Expenses!$B$2:$B$3000,A501,Expenses!$E$2:$E$3000))</f>
        <v/>
      </c>
      <c r="R501" s="27" t="str">
        <f aca="false">IF(A501="","",N(P501)+N(Q501))</f>
        <v/>
      </c>
      <c r="S501" s="28"/>
      <c r="T501" s="25"/>
      <c r="U501" s="26"/>
      <c r="V501" s="26"/>
      <c r="W501" s="26"/>
      <c r="X501" s="27" t="str">
        <f aca="false">IF(B501&lt;&gt;"SOLD","",IF(C501="Consignment",N(W501)-R501,N(U501)-R501-N(V501)))</f>
        <v/>
      </c>
      <c r="Y501" s="29" t="str">
        <f aca="false">IF(OR(X501="",N(R501)=0),"",X501/R501)</f>
        <v/>
      </c>
      <c r="Z501" s="30" t="str">
        <f aca="true">IF(O501="","",IF(T501="",TODAY(),T501)-O501)</f>
        <v/>
      </c>
      <c r="AA501" s="31" t="str">
        <f aca="false">IF(T501="","",TEXT(T501,"YYYY-MM"))</f>
        <v/>
      </c>
      <c r="AB501" s="27" t="str">
        <f aca="false">IF(X501="","",X501/2)</f>
        <v/>
      </c>
      <c r="AC501" s="21"/>
    </row>
    <row r="502" customFormat="false" ht="15" hidden="false" customHeight="false" outlineLevel="0" collapsed="false">
      <c r="A502" s="20"/>
      <c r="B502" s="21"/>
      <c r="C502" s="21"/>
      <c r="D502" s="21"/>
      <c r="E502" s="21"/>
      <c r="F502" s="21"/>
      <c r="G502" s="22"/>
      <c r="H502" s="21"/>
      <c r="I502" s="21"/>
      <c r="J502" s="21"/>
      <c r="K502" s="23"/>
      <c r="L502" s="24"/>
      <c r="M502" s="21"/>
      <c r="N502" s="21"/>
      <c r="O502" s="25"/>
      <c r="P502" s="26"/>
      <c r="Q502" s="27" t="str">
        <f aca="false">IF(A502="","",SUMIF(Expenses!$B$2:$B$3000,A502,Expenses!$E$2:$E$3000))</f>
        <v/>
      </c>
      <c r="R502" s="27" t="str">
        <f aca="false">IF(A502="","",N(P502)+N(Q502))</f>
        <v/>
      </c>
      <c r="S502" s="28"/>
      <c r="T502" s="25"/>
      <c r="U502" s="26"/>
      <c r="V502" s="26"/>
      <c r="W502" s="26"/>
      <c r="X502" s="27" t="str">
        <f aca="false">IF(B502&lt;&gt;"SOLD","",IF(C502="Consignment",N(W502)-R502,N(U502)-R502-N(V502)))</f>
        <v/>
      </c>
      <c r="Y502" s="29" t="str">
        <f aca="false">IF(OR(X502="",N(R502)=0),"",X502/R502)</f>
        <v/>
      </c>
      <c r="Z502" s="30" t="str">
        <f aca="true">IF(O502="","",IF(T502="",TODAY(),T502)-O502)</f>
        <v/>
      </c>
      <c r="AA502" s="31" t="str">
        <f aca="false">IF(T502="","",TEXT(T502,"YYYY-MM"))</f>
        <v/>
      </c>
      <c r="AB502" s="27" t="str">
        <f aca="false">IF(X502="","",X502/2)</f>
        <v/>
      </c>
      <c r="AC502" s="21"/>
    </row>
    <row r="503" customFormat="false" ht="15" hidden="false" customHeight="false" outlineLevel="0" collapsed="false">
      <c r="A503" s="20"/>
      <c r="B503" s="21"/>
      <c r="C503" s="21"/>
      <c r="D503" s="21"/>
      <c r="E503" s="21"/>
      <c r="F503" s="21"/>
      <c r="G503" s="22"/>
      <c r="H503" s="21"/>
      <c r="I503" s="21"/>
      <c r="J503" s="21"/>
      <c r="K503" s="23"/>
      <c r="L503" s="24"/>
      <c r="M503" s="21"/>
      <c r="N503" s="21"/>
      <c r="O503" s="25"/>
      <c r="P503" s="26"/>
      <c r="Q503" s="27" t="str">
        <f aca="false">IF(A503="","",SUMIF(Expenses!$B$2:$B$3000,A503,Expenses!$E$2:$E$3000))</f>
        <v/>
      </c>
      <c r="R503" s="27" t="str">
        <f aca="false">IF(A503="","",N(P503)+N(Q503))</f>
        <v/>
      </c>
      <c r="S503" s="28"/>
      <c r="T503" s="25"/>
      <c r="U503" s="26"/>
      <c r="V503" s="26"/>
      <c r="W503" s="26"/>
      <c r="X503" s="27" t="str">
        <f aca="false">IF(B503&lt;&gt;"SOLD","",IF(C503="Consignment",N(W503)-R503,N(U503)-R503-N(V503)))</f>
        <v/>
      </c>
      <c r="Y503" s="29" t="str">
        <f aca="false">IF(OR(X503="",N(R503)=0),"",X503/R503)</f>
        <v/>
      </c>
      <c r="Z503" s="30" t="str">
        <f aca="true">IF(O503="","",IF(T503="",TODAY(),T503)-O503)</f>
        <v/>
      </c>
      <c r="AA503" s="31" t="str">
        <f aca="false">IF(T503="","",TEXT(T503,"YYYY-MM"))</f>
        <v/>
      </c>
      <c r="AB503" s="27" t="str">
        <f aca="false">IF(X503="","",X503/2)</f>
        <v/>
      </c>
      <c r="AC503" s="21"/>
    </row>
    <row r="504" customFormat="false" ht="15" hidden="false" customHeight="false" outlineLevel="0" collapsed="false">
      <c r="A504" s="20"/>
      <c r="B504" s="21"/>
      <c r="C504" s="21"/>
      <c r="D504" s="21"/>
      <c r="E504" s="21"/>
      <c r="F504" s="21"/>
      <c r="G504" s="22"/>
      <c r="H504" s="21"/>
      <c r="I504" s="21"/>
      <c r="J504" s="21"/>
      <c r="K504" s="23"/>
      <c r="L504" s="24"/>
      <c r="M504" s="21"/>
      <c r="N504" s="21"/>
      <c r="O504" s="25"/>
      <c r="P504" s="26"/>
      <c r="Q504" s="27" t="str">
        <f aca="false">IF(A504="","",SUMIF(Expenses!$B$2:$B$3000,A504,Expenses!$E$2:$E$3000))</f>
        <v/>
      </c>
      <c r="R504" s="27" t="str">
        <f aca="false">IF(A504="","",N(P504)+N(Q504))</f>
        <v/>
      </c>
      <c r="S504" s="28"/>
      <c r="T504" s="25"/>
      <c r="U504" s="26"/>
      <c r="V504" s="26"/>
      <c r="W504" s="26"/>
      <c r="X504" s="27" t="str">
        <f aca="false">IF(B504&lt;&gt;"SOLD","",IF(C504="Consignment",N(W504)-R504,N(U504)-R504-N(V504)))</f>
        <v/>
      </c>
      <c r="Y504" s="29" t="str">
        <f aca="false">IF(OR(X504="",N(R504)=0),"",X504/R504)</f>
        <v/>
      </c>
      <c r="Z504" s="30" t="str">
        <f aca="true">IF(O504="","",IF(T504="",TODAY(),T504)-O504)</f>
        <v/>
      </c>
      <c r="AA504" s="31" t="str">
        <f aca="false">IF(T504="","",TEXT(T504,"YYYY-MM"))</f>
        <v/>
      </c>
      <c r="AB504" s="27" t="str">
        <f aca="false">IF(X504="","",X504/2)</f>
        <v/>
      </c>
      <c r="AC504" s="21"/>
    </row>
    <row r="505" customFormat="false" ht="15" hidden="false" customHeight="false" outlineLevel="0" collapsed="false">
      <c r="A505" s="20"/>
      <c r="B505" s="21"/>
      <c r="C505" s="21"/>
      <c r="D505" s="21"/>
      <c r="E505" s="21"/>
      <c r="F505" s="21"/>
      <c r="G505" s="22"/>
      <c r="H505" s="21"/>
      <c r="I505" s="21"/>
      <c r="J505" s="21"/>
      <c r="K505" s="23"/>
      <c r="L505" s="24"/>
      <c r="M505" s="21"/>
      <c r="N505" s="21"/>
      <c r="O505" s="25"/>
      <c r="P505" s="26"/>
      <c r="Q505" s="27" t="str">
        <f aca="false">IF(A505="","",SUMIF(Expenses!$B$2:$B$3000,A505,Expenses!$E$2:$E$3000))</f>
        <v/>
      </c>
      <c r="R505" s="27" t="str">
        <f aca="false">IF(A505="","",N(P505)+N(Q505))</f>
        <v/>
      </c>
      <c r="S505" s="28"/>
      <c r="T505" s="25"/>
      <c r="U505" s="26"/>
      <c r="V505" s="26"/>
      <c r="W505" s="26"/>
      <c r="X505" s="27" t="str">
        <f aca="false">IF(B505&lt;&gt;"SOLD","",IF(C505="Consignment",N(W505)-R505,N(U505)-R505-N(V505)))</f>
        <v/>
      </c>
      <c r="Y505" s="29" t="str">
        <f aca="false">IF(OR(X505="",N(R505)=0),"",X505/R505)</f>
        <v/>
      </c>
      <c r="Z505" s="30" t="str">
        <f aca="true">IF(O505="","",IF(T505="",TODAY(),T505)-O505)</f>
        <v/>
      </c>
      <c r="AA505" s="31" t="str">
        <f aca="false">IF(T505="","",TEXT(T505,"YYYY-MM"))</f>
        <v/>
      </c>
      <c r="AB505" s="27" t="str">
        <f aca="false">IF(X505="","",X505/2)</f>
        <v/>
      </c>
      <c r="AC505" s="21"/>
    </row>
    <row r="506" customFormat="false" ht="15" hidden="false" customHeight="false" outlineLevel="0" collapsed="false">
      <c r="A506" s="20"/>
      <c r="B506" s="21"/>
      <c r="C506" s="21"/>
      <c r="D506" s="21"/>
      <c r="E506" s="21"/>
      <c r="F506" s="21"/>
      <c r="G506" s="22"/>
      <c r="H506" s="21"/>
      <c r="I506" s="21"/>
      <c r="J506" s="21"/>
      <c r="K506" s="23"/>
      <c r="L506" s="24"/>
      <c r="M506" s="21"/>
      <c r="N506" s="21"/>
      <c r="O506" s="25"/>
      <c r="P506" s="26"/>
      <c r="Q506" s="27" t="str">
        <f aca="false">IF(A506="","",SUMIF(Expenses!$B$2:$B$3000,A506,Expenses!$E$2:$E$3000))</f>
        <v/>
      </c>
      <c r="R506" s="27" t="str">
        <f aca="false">IF(A506="","",N(P506)+N(Q506))</f>
        <v/>
      </c>
      <c r="S506" s="28"/>
      <c r="T506" s="25"/>
      <c r="U506" s="26"/>
      <c r="V506" s="26"/>
      <c r="W506" s="26"/>
      <c r="X506" s="27" t="str">
        <f aca="false">IF(B506&lt;&gt;"SOLD","",IF(C506="Consignment",N(W506)-R506,N(U506)-R506-N(V506)))</f>
        <v/>
      </c>
      <c r="Y506" s="29" t="str">
        <f aca="false">IF(OR(X506="",N(R506)=0),"",X506/R506)</f>
        <v/>
      </c>
      <c r="Z506" s="30" t="str">
        <f aca="true">IF(O506="","",IF(T506="",TODAY(),T506)-O506)</f>
        <v/>
      </c>
      <c r="AA506" s="31" t="str">
        <f aca="false">IF(T506="","",TEXT(T506,"YYYY-MM"))</f>
        <v/>
      </c>
      <c r="AB506" s="27" t="str">
        <f aca="false">IF(X506="","",X506/2)</f>
        <v/>
      </c>
      <c r="AC506" s="21"/>
    </row>
    <row r="507" customFormat="false" ht="15" hidden="false" customHeight="false" outlineLevel="0" collapsed="false">
      <c r="A507" s="20"/>
      <c r="B507" s="21"/>
      <c r="C507" s="21"/>
      <c r="D507" s="21"/>
      <c r="E507" s="21"/>
      <c r="F507" s="21"/>
      <c r="G507" s="22"/>
      <c r="H507" s="21"/>
      <c r="I507" s="21"/>
      <c r="J507" s="21"/>
      <c r="K507" s="23"/>
      <c r="L507" s="24"/>
      <c r="M507" s="21"/>
      <c r="N507" s="21"/>
      <c r="O507" s="25"/>
      <c r="P507" s="26"/>
      <c r="Q507" s="27" t="str">
        <f aca="false">IF(A507="","",SUMIF(Expenses!$B$2:$B$3000,A507,Expenses!$E$2:$E$3000))</f>
        <v/>
      </c>
      <c r="R507" s="27" t="str">
        <f aca="false">IF(A507="","",N(P507)+N(Q507))</f>
        <v/>
      </c>
      <c r="S507" s="28"/>
      <c r="T507" s="25"/>
      <c r="U507" s="26"/>
      <c r="V507" s="26"/>
      <c r="W507" s="26"/>
      <c r="X507" s="27" t="str">
        <f aca="false">IF(B507&lt;&gt;"SOLD","",IF(C507="Consignment",N(W507)-R507,N(U507)-R507-N(V507)))</f>
        <v/>
      </c>
      <c r="Y507" s="29" t="str">
        <f aca="false">IF(OR(X507="",N(R507)=0),"",X507/R507)</f>
        <v/>
      </c>
      <c r="Z507" s="30" t="str">
        <f aca="true">IF(O507="","",IF(T507="",TODAY(),T507)-O507)</f>
        <v/>
      </c>
      <c r="AA507" s="31" t="str">
        <f aca="false">IF(T507="","",TEXT(T507,"YYYY-MM"))</f>
        <v/>
      </c>
      <c r="AB507" s="27" t="str">
        <f aca="false">IF(X507="","",X507/2)</f>
        <v/>
      </c>
      <c r="AC507" s="21"/>
    </row>
    <row r="508" customFormat="false" ht="15" hidden="false" customHeight="false" outlineLevel="0" collapsed="false">
      <c r="A508" s="20"/>
      <c r="B508" s="21"/>
      <c r="C508" s="21"/>
      <c r="D508" s="21"/>
      <c r="E508" s="21"/>
      <c r="F508" s="21"/>
      <c r="G508" s="22"/>
      <c r="H508" s="21"/>
      <c r="I508" s="21"/>
      <c r="J508" s="21"/>
      <c r="K508" s="23"/>
      <c r="L508" s="24"/>
      <c r="M508" s="21"/>
      <c r="N508" s="21"/>
      <c r="O508" s="25"/>
      <c r="P508" s="26"/>
      <c r="Q508" s="27" t="str">
        <f aca="false">IF(A508="","",SUMIF(Expenses!$B$2:$B$3000,A508,Expenses!$E$2:$E$3000))</f>
        <v/>
      </c>
      <c r="R508" s="27" t="str">
        <f aca="false">IF(A508="","",N(P508)+N(Q508))</f>
        <v/>
      </c>
      <c r="S508" s="28"/>
      <c r="T508" s="25"/>
      <c r="U508" s="26"/>
      <c r="V508" s="26"/>
      <c r="W508" s="26"/>
      <c r="X508" s="27" t="str">
        <f aca="false">IF(B508&lt;&gt;"SOLD","",IF(C508="Consignment",N(W508)-R508,N(U508)-R508-N(V508)))</f>
        <v/>
      </c>
      <c r="Y508" s="29" t="str">
        <f aca="false">IF(OR(X508="",N(R508)=0),"",X508/R508)</f>
        <v/>
      </c>
      <c r="Z508" s="30" t="str">
        <f aca="true">IF(O508="","",IF(T508="",TODAY(),T508)-O508)</f>
        <v/>
      </c>
      <c r="AA508" s="31" t="str">
        <f aca="false">IF(T508="","",TEXT(T508,"YYYY-MM"))</f>
        <v/>
      </c>
      <c r="AB508" s="27" t="str">
        <f aca="false">IF(X508="","",X508/2)</f>
        <v/>
      </c>
      <c r="AC508" s="21"/>
    </row>
    <row r="509" customFormat="false" ht="15" hidden="false" customHeight="false" outlineLevel="0" collapsed="false">
      <c r="A509" s="20"/>
      <c r="B509" s="21"/>
      <c r="C509" s="21"/>
      <c r="D509" s="21"/>
      <c r="E509" s="21"/>
      <c r="F509" s="21"/>
      <c r="G509" s="22"/>
      <c r="H509" s="21"/>
      <c r="I509" s="21"/>
      <c r="J509" s="21"/>
      <c r="K509" s="23"/>
      <c r="L509" s="24"/>
      <c r="M509" s="21"/>
      <c r="N509" s="21"/>
      <c r="O509" s="25"/>
      <c r="P509" s="26"/>
      <c r="Q509" s="27" t="str">
        <f aca="false">IF(A509="","",SUMIF(Expenses!$B$2:$B$3000,A509,Expenses!$E$2:$E$3000))</f>
        <v/>
      </c>
      <c r="R509" s="27" t="str">
        <f aca="false">IF(A509="","",N(P509)+N(Q509))</f>
        <v/>
      </c>
      <c r="S509" s="28"/>
      <c r="T509" s="25"/>
      <c r="U509" s="26"/>
      <c r="V509" s="26"/>
      <c r="W509" s="26"/>
      <c r="X509" s="27" t="str">
        <f aca="false">IF(B509&lt;&gt;"SOLD","",IF(C509="Consignment",N(W509)-R509,N(U509)-R509-N(V509)))</f>
        <v/>
      </c>
      <c r="Y509" s="29" t="str">
        <f aca="false">IF(OR(X509="",N(R509)=0),"",X509/R509)</f>
        <v/>
      </c>
      <c r="Z509" s="30" t="str">
        <f aca="true">IF(O509="","",IF(T509="",TODAY(),T509)-O509)</f>
        <v/>
      </c>
      <c r="AA509" s="31" t="str">
        <f aca="false">IF(T509="","",TEXT(T509,"YYYY-MM"))</f>
        <v/>
      </c>
      <c r="AB509" s="27" t="str">
        <f aca="false">IF(X509="","",X509/2)</f>
        <v/>
      </c>
      <c r="AC509" s="21"/>
    </row>
    <row r="510" customFormat="false" ht="15" hidden="false" customHeight="false" outlineLevel="0" collapsed="false">
      <c r="A510" s="20"/>
      <c r="B510" s="21"/>
      <c r="C510" s="21"/>
      <c r="D510" s="21"/>
      <c r="E510" s="21"/>
      <c r="F510" s="21"/>
      <c r="G510" s="22"/>
      <c r="H510" s="21"/>
      <c r="I510" s="21"/>
      <c r="J510" s="21"/>
      <c r="K510" s="23"/>
      <c r="L510" s="24"/>
      <c r="M510" s="21"/>
      <c r="N510" s="21"/>
      <c r="O510" s="25"/>
      <c r="P510" s="26"/>
      <c r="Q510" s="27" t="str">
        <f aca="false">IF(A510="","",SUMIF(Expenses!$B$2:$B$3000,A510,Expenses!$E$2:$E$3000))</f>
        <v/>
      </c>
      <c r="R510" s="27" t="str">
        <f aca="false">IF(A510="","",N(P510)+N(Q510))</f>
        <v/>
      </c>
      <c r="S510" s="28"/>
      <c r="T510" s="25"/>
      <c r="U510" s="26"/>
      <c r="V510" s="26"/>
      <c r="W510" s="26"/>
      <c r="X510" s="27" t="str">
        <f aca="false">IF(B510&lt;&gt;"SOLD","",IF(C510="Consignment",N(W510)-R510,N(U510)-R510-N(V510)))</f>
        <v/>
      </c>
      <c r="Y510" s="29" t="str">
        <f aca="false">IF(OR(X510="",N(R510)=0),"",X510/R510)</f>
        <v/>
      </c>
      <c r="Z510" s="30" t="str">
        <f aca="true">IF(O510="","",IF(T510="",TODAY(),T510)-O510)</f>
        <v/>
      </c>
      <c r="AA510" s="31" t="str">
        <f aca="false">IF(T510="","",TEXT(T510,"YYYY-MM"))</f>
        <v/>
      </c>
      <c r="AB510" s="27" t="str">
        <f aca="false">IF(X510="","",X510/2)</f>
        <v/>
      </c>
      <c r="AC510" s="21"/>
    </row>
    <row r="511" customFormat="false" ht="15" hidden="false" customHeight="false" outlineLevel="0" collapsed="false">
      <c r="A511" s="20"/>
      <c r="B511" s="21"/>
      <c r="C511" s="21"/>
      <c r="D511" s="21"/>
      <c r="E511" s="21"/>
      <c r="F511" s="21"/>
      <c r="G511" s="22"/>
      <c r="H511" s="21"/>
      <c r="I511" s="21"/>
      <c r="J511" s="21"/>
      <c r="K511" s="23"/>
      <c r="L511" s="24"/>
      <c r="M511" s="21"/>
      <c r="N511" s="21"/>
      <c r="O511" s="25"/>
      <c r="P511" s="26"/>
      <c r="Q511" s="27" t="str">
        <f aca="false">IF(A511="","",SUMIF(Expenses!$B$2:$B$3000,A511,Expenses!$E$2:$E$3000))</f>
        <v/>
      </c>
      <c r="R511" s="27" t="str">
        <f aca="false">IF(A511="","",N(P511)+N(Q511))</f>
        <v/>
      </c>
      <c r="S511" s="28"/>
      <c r="T511" s="25"/>
      <c r="U511" s="26"/>
      <c r="V511" s="26"/>
      <c r="W511" s="26"/>
      <c r="X511" s="27" t="str">
        <f aca="false">IF(B511&lt;&gt;"SOLD","",IF(C511="Consignment",N(W511)-R511,N(U511)-R511-N(V511)))</f>
        <v/>
      </c>
      <c r="Y511" s="29" t="str">
        <f aca="false">IF(OR(X511="",N(R511)=0),"",X511/R511)</f>
        <v/>
      </c>
      <c r="Z511" s="30" t="str">
        <f aca="true">IF(O511="","",IF(T511="",TODAY(),T511)-O511)</f>
        <v/>
      </c>
      <c r="AA511" s="31" t="str">
        <f aca="false">IF(T511="","",TEXT(T511,"YYYY-MM"))</f>
        <v/>
      </c>
      <c r="AB511" s="27" t="str">
        <f aca="false">IF(X511="","",X511/2)</f>
        <v/>
      </c>
      <c r="AC511" s="21"/>
    </row>
    <row r="512" customFormat="false" ht="15" hidden="false" customHeight="false" outlineLevel="0" collapsed="false">
      <c r="A512" s="20"/>
      <c r="B512" s="21"/>
      <c r="C512" s="21"/>
      <c r="D512" s="21"/>
      <c r="E512" s="21"/>
      <c r="F512" s="21"/>
      <c r="G512" s="22"/>
      <c r="H512" s="21"/>
      <c r="I512" s="21"/>
      <c r="J512" s="21"/>
      <c r="K512" s="23"/>
      <c r="L512" s="24"/>
      <c r="M512" s="21"/>
      <c r="N512" s="21"/>
      <c r="O512" s="25"/>
      <c r="P512" s="26"/>
      <c r="Q512" s="27" t="str">
        <f aca="false">IF(A512="","",SUMIF(Expenses!$B$2:$B$3000,A512,Expenses!$E$2:$E$3000))</f>
        <v/>
      </c>
      <c r="R512" s="27" t="str">
        <f aca="false">IF(A512="","",N(P512)+N(Q512))</f>
        <v/>
      </c>
      <c r="S512" s="28"/>
      <c r="T512" s="25"/>
      <c r="U512" s="26"/>
      <c r="V512" s="26"/>
      <c r="W512" s="26"/>
      <c r="X512" s="27" t="str">
        <f aca="false">IF(B512&lt;&gt;"SOLD","",IF(C512="Consignment",N(W512)-R512,N(U512)-R512-N(V512)))</f>
        <v/>
      </c>
      <c r="Y512" s="29" t="str">
        <f aca="false">IF(OR(X512="",N(R512)=0),"",X512/R512)</f>
        <v/>
      </c>
      <c r="Z512" s="30" t="str">
        <f aca="true">IF(O512="","",IF(T512="",TODAY(),T512)-O512)</f>
        <v/>
      </c>
      <c r="AA512" s="31" t="str">
        <f aca="false">IF(T512="","",TEXT(T512,"YYYY-MM"))</f>
        <v/>
      </c>
      <c r="AB512" s="27" t="str">
        <f aca="false">IF(X512="","",X512/2)</f>
        <v/>
      </c>
      <c r="AC512" s="21"/>
    </row>
    <row r="513" customFormat="false" ht="15" hidden="false" customHeight="false" outlineLevel="0" collapsed="false">
      <c r="A513" s="20"/>
      <c r="B513" s="21"/>
      <c r="C513" s="21"/>
      <c r="D513" s="21"/>
      <c r="E513" s="21"/>
      <c r="F513" s="21"/>
      <c r="G513" s="22"/>
      <c r="H513" s="21"/>
      <c r="I513" s="21"/>
      <c r="J513" s="21"/>
      <c r="K513" s="23"/>
      <c r="L513" s="24"/>
      <c r="M513" s="21"/>
      <c r="N513" s="21"/>
      <c r="O513" s="25"/>
      <c r="P513" s="26"/>
      <c r="Q513" s="27" t="str">
        <f aca="false">IF(A513="","",SUMIF(Expenses!$B$2:$B$3000,A513,Expenses!$E$2:$E$3000))</f>
        <v/>
      </c>
      <c r="R513" s="27" t="str">
        <f aca="false">IF(A513="","",N(P513)+N(Q513))</f>
        <v/>
      </c>
      <c r="S513" s="28"/>
      <c r="T513" s="25"/>
      <c r="U513" s="26"/>
      <c r="V513" s="26"/>
      <c r="W513" s="26"/>
      <c r="X513" s="27" t="str">
        <f aca="false">IF(B513&lt;&gt;"SOLD","",IF(C513="Consignment",N(W513)-R513,N(U513)-R513-N(V513)))</f>
        <v/>
      </c>
      <c r="Y513" s="29" t="str">
        <f aca="false">IF(OR(X513="",N(R513)=0),"",X513/R513)</f>
        <v/>
      </c>
      <c r="Z513" s="30" t="str">
        <f aca="true">IF(O513="","",IF(T513="",TODAY(),T513)-O513)</f>
        <v/>
      </c>
      <c r="AA513" s="31" t="str">
        <f aca="false">IF(T513="","",TEXT(T513,"YYYY-MM"))</f>
        <v/>
      </c>
      <c r="AB513" s="27" t="str">
        <f aca="false">IF(X513="","",X513/2)</f>
        <v/>
      </c>
      <c r="AC513" s="21"/>
    </row>
    <row r="514" customFormat="false" ht="15" hidden="false" customHeight="false" outlineLevel="0" collapsed="false">
      <c r="A514" s="20"/>
      <c r="B514" s="21"/>
      <c r="C514" s="21"/>
      <c r="D514" s="21"/>
      <c r="E514" s="21"/>
      <c r="F514" s="21"/>
      <c r="G514" s="22"/>
      <c r="H514" s="21"/>
      <c r="I514" s="21"/>
      <c r="J514" s="21"/>
      <c r="K514" s="23"/>
      <c r="L514" s="24"/>
      <c r="M514" s="21"/>
      <c r="N514" s="21"/>
      <c r="O514" s="25"/>
      <c r="P514" s="26"/>
      <c r="Q514" s="27" t="str">
        <f aca="false">IF(A514="","",SUMIF(Expenses!$B$2:$B$3000,A514,Expenses!$E$2:$E$3000))</f>
        <v/>
      </c>
      <c r="R514" s="27" t="str">
        <f aca="false">IF(A514="","",N(P514)+N(Q514))</f>
        <v/>
      </c>
      <c r="S514" s="28"/>
      <c r="T514" s="25"/>
      <c r="U514" s="26"/>
      <c r="V514" s="26"/>
      <c r="W514" s="26"/>
      <c r="X514" s="27" t="str">
        <f aca="false">IF(B514&lt;&gt;"SOLD","",IF(C514="Consignment",N(W514)-R514,N(U514)-R514-N(V514)))</f>
        <v/>
      </c>
      <c r="Y514" s="29" t="str">
        <f aca="false">IF(OR(X514="",N(R514)=0),"",X514/R514)</f>
        <v/>
      </c>
      <c r="Z514" s="30" t="str">
        <f aca="true">IF(O514="","",IF(T514="",TODAY(),T514)-O514)</f>
        <v/>
      </c>
      <c r="AA514" s="31" t="str">
        <f aca="false">IF(T514="","",TEXT(T514,"YYYY-MM"))</f>
        <v/>
      </c>
      <c r="AB514" s="27" t="str">
        <f aca="false">IF(X514="","",X514/2)</f>
        <v/>
      </c>
      <c r="AC514" s="21"/>
    </row>
    <row r="515" customFormat="false" ht="15" hidden="false" customHeight="false" outlineLevel="0" collapsed="false">
      <c r="A515" s="20"/>
      <c r="B515" s="21"/>
      <c r="C515" s="21"/>
      <c r="D515" s="21"/>
      <c r="E515" s="21"/>
      <c r="F515" s="21"/>
      <c r="G515" s="22"/>
      <c r="H515" s="21"/>
      <c r="I515" s="21"/>
      <c r="J515" s="21"/>
      <c r="K515" s="23"/>
      <c r="L515" s="24"/>
      <c r="M515" s="21"/>
      <c r="N515" s="21"/>
      <c r="O515" s="25"/>
      <c r="P515" s="26"/>
      <c r="Q515" s="27" t="str">
        <f aca="false">IF(A515="","",SUMIF(Expenses!$B$2:$B$3000,A515,Expenses!$E$2:$E$3000))</f>
        <v/>
      </c>
      <c r="R515" s="27" t="str">
        <f aca="false">IF(A515="","",N(P515)+N(Q515))</f>
        <v/>
      </c>
      <c r="S515" s="28"/>
      <c r="T515" s="25"/>
      <c r="U515" s="26"/>
      <c r="V515" s="26"/>
      <c r="W515" s="26"/>
      <c r="X515" s="27" t="str">
        <f aca="false">IF(B515&lt;&gt;"SOLD","",IF(C515="Consignment",N(W515)-R515,N(U515)-R515-N(V515)))</f>
        <v/>
      </c>
      <c r="Y515" s="29" t="str">
        <f aca="false">IF(OR(X515="",N(R515)=0),"",X515/R515)</f>
        <v/>
      </c>
      <c r="Z515" s="30" t="str">
        <f aca="true">IF(O515="","",IF(T515="",TODAY(),T515)-O515)</f>
        <v/>
      </c>
      <c r="AA515" s="31" t="str">
        <f aca="false">IF(T515="","",TEXT(T515,"YYYY-MM"))</f>
        <v/>
      </c>
      <c r="AB515" s="27" t="str">
        <f aca="false">IF(X515="","",X515/2)</f>
        <v/>
      </c>
      <c r="AC515" s="21"/>
    </row>
    <row r="516" customFormat="false" ht="15" hidden="false" customHeight="false" outlineLevel="0" collapsed="false">
      <c r="A516" s="20"/>
      <c r="B516" s="21"/>
      <c r="C516" s="21"/>
      <c r="D516" s="21"/>
      <c r="E516" s="21"/>
      <c r="F516" s="21"/>
      <c r="G516" s="22"/>
      <c r="H516" s="21"/>
      <c r="I516" s="21"/>
      <c r="J516" s="21"/>
      <c r="K516" s="23"/>
      <c r="L516" s="24"/>
      <c r="M516" s="21"/>
      <c r="N516" s="21"/>
      <c r="O516" s="25"/>
      <c r="P516" s="26"/>
      <c r="Q516" s="27" t="str">
        <f aca="false">IF(A516="","",SUMIF(Expenses!$B$2:$B$3000,A516,Expenses!$E$2:$E$3000))</f>
        <v/>
      </c>
      <c r="R516" s="27" t="str">
        <f aca="false">IF(A516="","",N(P516)+N(Q516))</f>
        <v/>
      </c>
      <c r="S516" s="28"/>
      <c r="T516" s="25"/>
      <c r="U516" s="26"/>
      <c r="V516" s="26"/>
      <c r="W516" s="26"/>
      <c r="X516" s="27" t="str">
        <f aca="false">IF(B516&lt;&gt;"SOLD","",IF(C516="Consignment",N(W516)-R516,N(U516)-R516-N(V516)))</f>
        <v/>
      </c>
      <c r="Y516" s="29" t="str">
        <f aca="false">IF(OR(X516="",N(R516)=0),"",X516/R516)</f>
        <v/>
      </c>
      <c r="Z516" s="30" t="str">
        <f aca="true">IF(O516="","",IF(T516="",TODAY(),T516)-O516)</f>
        <v/>
      </c>
      <c r="AA516" s="31" t="str">
        <f aca="false">IF(T516="","",TEXT(T516,"YYYY-MM"))</f>
        <v/>
      </c>
      <c r="AB516" s="27" t="str">
        <f aca="false">IF(X516="","",X516/2)</f>
        <v/>
      </c>
      <c r="AC516" s="21"/>
    </row>
    <row r="517" customFormat="false" ht="15" hidden="false" customHeight="false" outlineLevel="0" collapsed="false">
      <c r="A517" s="20"/>
      <c r="B517" s="21"/>
      <c r="C517" s="21"/>
      <c r="D517" s="21"/>
      <c r="E517" s="21"/>
      <c r="F517" s="21"/>
      <c r="G517" s="22"/>
      <c r="H517" s="21"/>
      <c r="I517" s="21"/>
      <c r="J517" s="21"/>
      <c r="K517" s="23"/>
      <c r="L517" s="24"/>
      <c r="M517" s="21"/>
      <c r="N517" s="21"/>
      <c r="O517" s="25"/>
      <c r="P517" s="26"/>
      <c r="Q517" s="27" t="str">
        <f aca="false">IF(A517="","",SUMIF(Expenses!$B$2:$B$3000,A517,Expenses!$E$2:$E$3000))</f>
        <v/>
      </c>
      <c r="R517" s="27" t="str">
        <f aca="false">IF(A517="","",N(P517)+N(Q517))</f>
        <v/>
      </c>
      <c r="S517" s="28"/>
      <c r="T517" s="25"/>
      <c r="U517" s="26"/>
      <c r="V517" s="26"/>
      <c r="W517" s="26"/>
      <c r="X517" s="27" t="str">
        <f aca="false">IF(B517&lt;&gt;"SOLD","",IF(C517="Consignment",N(W517)-R517,N(U517)-R517-N(V517)))</f>
        <v/>
      </c>
      <c r="Y517" s="29" t="str">
        <f aca="false">IF(OR(X517="",N(R517)=0),"",X517/R517)</f>
        <v/>
      </c>
      <c r="Z517" s="30" t="str">
        <f aca="true">IF(O517="","",IF(T517="",TODAY(),T517)-O517)</f>
        <v/>
      </c>
      <c r="AA517" s="31" t="str">
        <f aca="false">IF(T517="","",TEXT(T517,"YYYY-MM"))</f>
        <v/>
      </c>
      <c r="AB517" s="27" t="str">
        <f aca="false">IF(X517="","",X517/2)</f>
        <v/>
      </c>
      <c r="AC517" s="21"/>
    </row>
    <row r="518" customFormat="false" ht="15" hidden="false" customHeight="false" outlineLevel="0" collapsed="false">
      <c r="A518" s="20"/>
      <c r="B518" s="21"/>
      <c r="C518" s="21"/>
      <c r="D518" s="21"/>
      <c r="E518" s="21"/>
      <c r="F518" s="21"/>
      <c r="G518" s="22"/>
      <c r="H518" s="21"/>
      <c r="I518" s="21"/>
      <c r="J518" s="21"/>
      <c r="K518" s="23"/>
      <c r="L518" s="24"/>
      <c r="M518" s="21"/>
      <c r="N518" s="21"/>
      <c r="O518" s="25"/>
      <c r="P518" s="26"/>
      <c r="Q518" s="27" t="str">
        <f aca="false">IF(A518="","",SUMIF(Expenses!$B$2:$B$3000,A518,Expenses!$E$2:$E$3000))</f>
        <v/>
      </c>
      <c r="R518" s="27" t="str">
        <f aca="false">IF(A518="","",N(P518)+N(Q518))</f>
        <v/>
      </c>
      <c r="S518" s="28"/>
      <c r="T518" s="25"/>
      <c r="U518" s="26"/>
      <c r="V518" s="26"/>
      <c r="W518" s="26"/>
      <c r="X518" s="27" t="str">
        <f aca="false">IF(B518&lt;&gt;"SOLD","",IF(C518="Consignment",N(W518)-R518,N(U518)-R518-N(V518)))</f>
        <v/>
      </c>
      <c r="Y518" s="29" t="str">
        <f aca="false">IF(OR(X518="",N(R518)=0),"",X518/R518)</f>
        <v/>
      </c>
      <c r="Z518" s="30" t="str">
        <f aca="true">IF(O518="","",IF(T518="",TODAY(),T518)-O518)</f>
        <v/>
      </c>
      <c r="AA518" s="31" t="str">
        <f aca="false">IF(T518="","",TEXT(T518,"YYYY-MM"))</f>
        <v/>
      </c>
      <c r="AB518" s="27" t="str">
        <f aca="false">IF(X518="","",X518/2)</f>
        <v/>
      </c>
      <c r="AC518" s="21"/>
    </row>
    <row r="519" customFormat="false" ht="15" hidden="false" customHeight="false" outlineLevel="0" collapsed="false">
      <c r="A519" s="20"/>
      <c r="B519" s="21"/>
      <c r="C519" s="21"/>
      <c r="D519" s="21"/>
      <c r="E519" s="21"/>
      <c r="F519" s="21"/>
      <c r="G519" s="22"/>
      <c r="H519" s="21"/>
      <c r="I519" s="21"/>
      <c r="J519" s="21"/>
      <c r="K519" s="23"/>
      <c r="L519" s="24"/>
      <c r="M519" s="21"/>
      <c r="N519" s="21"/>
      <c r="O519" s="25"/>
      <c r="P519" s="26"/>
      <c r="Q519" s="27" t="str">
        <f aca="false">IF(A519="","",SUMIF(Expenses!$B$2:$B$3000,A519,Expenses!$E$2:$E$3000))</f>
        <v/>
      </c>
      <c r="R519" s="27" t="str">
        <f aca="false">IF(A519="","",N(P519)+N(Q519))</f>
        <v/>
      </c>
      <c r="S519" s="28"/>
      <c r="T519" s="25"/>
      <c r="U519" s="26"/>
      <c r="V519" s="26"/>
      <c r="W519" s="26"/>
      <c r="X519" s="27" t="str">
        <f aca="false">IF(B519&lt;&gt;"SOLD","",IF(C519="Consignment",N(W519)-R519,N(U519)-R519-N(V519)))</f>
        <v/>
      </c>
      <c r="Y519" s="29" t="str">
        <f aca="false">IF(OR(X519="",N(R519)=0),"",X519/R519)</f>
        <v/>
      </c>
      <c r="Z519" s="30" t="str">
        <f aca="true">IF(O519="","",IF(T519="",TODAY(),T519)-O519)</f>
        <v/>
      </c>
      <c r="AA519" s="31" t="str">
        <f aca="false">IF(T519="","",TEXT(T519,"YYYY-MM"))</f>
        <v/>
      </c>
      <c r="AB519" s="27" t="str">
        <f aca="false">IF(X519="","",X519/2)</f>
        <v/>
      </c>
      <c r="AC519" s="21"/>
    </row>
    <row r="520" customFormat="false" ht="15" hidden="false" customHeight="false" outlineLevel="0" collapsed="false">
      <c r="A520" s="20"/>
      <c r="B520" s="21"/>
      <c r="C520" s="21"/>
      <c r="D520" s="21"/>
      <c r="E520" s="21"/>
      <c r="F520" s="21"/>
      <c r="G520" s="22"/>
      <c r="H520" s="21"/>
      <c r="I520" s="21"/>
      <c r="J520" s="21"/>
      <c r="K520" s="23"/>
      <c r="L520" s="24"/>
      <c r="M520" s="21"/>
      <c r="N520" s="21"/>
      <c r="O520" s="25"/>
      <c r="P520" s="26"/>
      <c r="Q520" s="27" t="str">
        <f aca="false">IF(A520="","",SUMIF(Expenses!$B$2:$B$3000,A520,Expenses!$E$2:$E$3000))</f>
        <v/>
      </c>
      <c r="R520" s="27" t="str">
        <f aca="false">IF(A520="","",N(P520)+N(Q520))</f>
        <v/>
      </c>
      <c r="S520" s="28"/>
      <c r="T520" s="25"/>
      <c r="U520" s="26"/>
      <c r="V520" s="26"/>
      <c r="W520" s="26"/>
      <c r="X520" s="27" t="str">
        <f aca="false">IF(B520&lt;&gt;"SOLD","",IF(C520="Consignment",N(W520)-R520,N(U520)-R520-N(V520)))</f>
        <v/>
      </c>
      <c r="Y520" s="29" t="str">
        <f aca="false">IF(OR(X520="",N(R520)=0),"",X520/R520)</f>
        <v/>
      </c>
      <c r="Z520" s="30" t="str">
        <f aca="true">IF(O520="","",IF(T520="",TODAY(),T520)-O520)</f>
        <v/>
      </c>
      <c r="AA520" s="31" t="str">
        <f aca="false">IF(T520="","",TEXT(T520,"YYYY-MM"))</f>
        <v/>
      </c>
      <c r="AB520" s="27" t="str">
        <f aca="false">IF(X520="","",X520/2)</f>
        <v/>
      </c>
      <c r="AC520" s="21"/>
    </row>
    <row r="521" customFormat="false" ht="15" hidden="false" customHeight="false" outlineLevel="0" collapsed="false">
      <c r="A521" s="20"/>
      <c r="B521" s="21"/>
      <c r="C521" s="21"/>
      <c r="D521" s="21"/>
      <c r="E521" s="21"/>
      <c r="F521" s="21"/>
      <c r="G521" s="22"/>
      <c r="H521" s="21"/>
      <c r="I521" s="21"/>
      <c r="J521" s="21"/>
      <c r="K521" s="23"/>
      <c r="L521" s="24"/>
      <c r="M521" s="21"/>
      <c r="N521" s="21"/>
      <c r="O521" s="25"/>
      <c r="P521" s="26"/>
      <c r="Q521" s="27" t="str">
        <f aca="false">IF(A521="","",SUMIF(Expenses!$B$2:$B$3000,A521,Expenses!$E$2:$E$3000))</f>
        <v/>
      </c>
      <c r="R521" s="27" t="str">
        <f aca="false">IF(A521="","",N(P521)+N(Q521))</f>
        <v/>
      </c>
      <c r="S521" s="28"/>
      <c r="T521" s="25"/>
      <c r="U521" s="26"/>
      <c r="V521" s="26"/>
      <c r="W521" s="26"/>
      <c r="X521" s="27" t="str">
        <f aca="false">IF(B521&lt;&gt;"SOLD","",IF(C521="Consignment",N(W521)-R521,N(U521)-R521-N(V521)))</f>
        <v/>
      </c>
      <c r="Y521" s="29" t="str">
        <f aca="false">IF(OR(X521="",N(R521)=0),"",X521/R521)</f>
        <v/>
      </c>
      <c r="Z521" s="30" t="str">
        <f aca="true">IF(O521="","",IF(T521="",TODAY(),T521)-O521)</f>
        <v/>
      </c>
      <c r="AA521" s="31" t="str">
        <f aca="false">IF(T521="","",TEXT(T521,"YYYY-MM"))</f>
        <v/>
      </c>
      <c r="AB521" s="27" t="str">
        <f aca="false">IF(X521="","",X521/2)</f>
        <v/>
      </c>
      <c r="AC521" s="21"/>
    </row>
    <row r="522" customFormat="false" ht="15" hidden="false" customHeight="false" outlineLevel="0" collapsed="false">
      <c r="A522" s="20"/>
      <c r="B522" s="21"/>
      <c r="C522" s="21"/>
      <c r="D522" s="21"/>
      <c r="E522" s="21"/>
      <c r="F522" s="21"/>
      <c r="G522" s="22"/>
      <c r="H522" s="21"/>
      <c r="I522" s="21"/>
      <c r="J522" s="21"/>
      <c r="K522" s="23"/>
      <c r="L522" s="24"/>
      <c r="M522" s="21"/>
      <c r="N522" s="21"/>
      <c r="O522" s="25"/>
      <c r="P522" s="26"/>
      <c r="Q522" s="27" t="str">
        <f aca="false">IF(A522="","",SUMIF(Expenses!$B$2:$B$3000,A522,Expenses!$E$2:$E$3000))</f>
        <v/>
      </c>
      <c r="R522" s="27" t="str">
        <f aca="false">IF(A522="","",N(P522)+N(Q522))</f>
        <v/>
      </c>
      <c r="S522" s="28"/>
      <c r="T522" s="25"/>
      <c r="U522" s="26"/>
      <c r="V522" s="26"/>
      <c r="W522" s="26"/>
      <c r="X522" s="27" t="str">
        <f aca="false">IF(B522&lt;&gt;"SOLD","",IF(C522="Consignment",N(W522)-R522,N(U522)-R522-N(V522)))</f>
        <v/>
      </c>
      <c r="Y522" s="29" t="str">
        <f aca="false">IF(OR(X522="",N(R522)=0),"",X522/R522)</f>
        <v/>
      </c>
      <c r="Z522" s="30" t="str">
        <f aca="true">IF(O522="","",IF(T522="",TODAY(),T522)-O522)</f>
        <v/>
      </c>
      <c r="AA522" s="31" t="str">
        <f aca="false">IF(T522="","",TEXT(T522,"YYYY-MM"))</f>
        <v/>
      </c>
      <c r="AB522" s="27" t="str">
        <f aca="false">IF(X522="","",X522/2)</f>
        <v/>
      </c>
      <c r="AC522" s="21"/>
    </row>
    <row r="523" customFormat="false" ht="15" hidden="false" customHeight="false" outlineLevel="0" collapsed="false">
      <c r="A523" s="20"/>
      <c r="B523" s="21"/>
      <c r="C523" s="21"/>
      <c r="D523" s="21"/>
      <c r="E523" s="21"/>
      <c r="F523" s="21"/>
      <c r="G523" s="22"/>
      <c r="H523" s="21"/>
      <c r="I523" s="21"/>
      <c r="J523" s="21"/>
      <c r="K523" s="23"/>
      <c r="L523" s="24"/>
      <c r="M523" s="21"/>
      <c r="N523" s="21"/>
      <c r="O523" s="25"/>
      <c r="P523" s="26"/>
      <c r="Q523" s="27" t="str">
        <f aca="false">IF(A523="","",SUMIF(Expenses!$B$2:$B$3000,A523,Expenses!$E$2:$E$3000))</f>
        <v/>
      </c>
      <c r="R523" s="27" t="str">
        <f aca="false">IF(A523="","",N(P523)+N(Q523))</f>
        <v/>
      </c>
      <c r="S523" s="28"/>
      <c r="T523" s="25"/>
      <c r="U523" s="26"/>
      <c r="V523" s="26"/>
      <c r="W523" s="26"/>
      <c r="X523" s="27" t="str">
        <f aca="false">IF(B523&lt;&gt;"SOLD","",IF(C523="Consignment",N(W523)-R523,N(U523)-R523-N(V523)))</f>
        <v/>
      </c>
      <c r="Y523" s="29" t="str">
        <f aca="false">IF(OR(X523="",N(R523)=0),"",X523/R523)</f>
        <v/>
      </c>
      <c r="Z523" s="30" t="str">
        <f aca="true">IF(O523="","",IF(T523="",TODAY(),T523)-O523)</f>
        <v/>
      </c>
      <c r="AA523" s="31" t="str">
        <f aca="false">IF(T523="","",TEXT(T523,"YYYY-MM"))</f>
        <v/>
      </c>
      <c r="AB523" s="27" t="str">
        <f aca="false">IF(X523="","",X523/2)</f>
        <v/>
      </c>
      <c r="AC523" s="21"/>
    </row>
    <row r="524" customFormat="false" ht="15" hidden="false" customHeight="false" outlineLevel="0" collapsed="false">
      <c r="A524" s="20"/>
      <c r="B524" s="21"/>
      <c r="C524" s="21"/>
      <c r="D524" s="21"/>
      <c r="E524" s="21"/>
      <c r="F524" s="21"/>
      <c r="G524" s="22"/>
      <c r="H524" s="21"/>
      <c r="I524" s="21"/>
      <c r="J524" s="21"/>
      <c r="K524" s="23"/>
      <c r="L524" s="24"/>
      <c r="M524" s="21"/>
      <c r="N524" s="21"/>
      <c r="O524" s="25"/>
      <c r="P524" s="26"/>
      <c r="Q524" s="27" t="str">
        <f aca="false">IF(A524="","",SUMIF(Expenses!$B$2:$B$3000,A524,Expenses!$E$2:$E$3000))</f>
        <v/>
      </c>
      <c r="R524" s="27" t="str">
        <f aca="false">IF(A524="","",N(P524)+N(Q524))</f>
        <v/>
      </c>
      <c r="S524" s="28"/>
      <c r="T524" s="25"/>
      <c r="U524" s="26"/>
      <c r="V524" s="26"/>
      <c r="W524" s="26"/>
      <c r="X524" s="27" t="str">
        <f aca="false">IF(B524&lt;&gt;"SOLD","",IF(C524="Consignment",N(W524)-R524,N(U524)-R524-N(V524)))</f>
        <v/>
      </c>
      <c r="Y524" s="29" t="str">
        <f aca="false">IF(OR(X524="",N(R524)=0),"",X524/R524)</f>
        <v/>
      </c>
      <c r="Z524" s="30" t="str">
        <f aca="true">IF(O524="","",IF(T524="",TODAY(),T524)-O524)</f>
        <v/>
      </c>
      <c r="AA524" s="31" t="str">
        <f aca="false">IF(T524="","",TEXT(T524,"YYYY-MM"))</f>
        <v/>
      </c>
      <c r="AB524" s="27" t="str">
        <f aca="false">IF(X524="","",X524/2)</f>
        <v/>
      </c>
      <c r="AC524" s="21"/>
    </row>
    <row r="525" customFormat="false" ht="15" hidden="false" customHeight="false" outlineLevel="0" collapsed="false">
      <c r="A525" s="20"/>
      <c r="B525" s="21"/>
      <c r="C525" s="21"/>
      <c r="D525" s="21"/>
      <c r="E525" s="21"/>
      <c r="F525" s="21"/>
      <c r="G525" s="22"/>
      <c r="H525" s="21"/>
      <c r="I525" s="21"/>
      <c r="J525" s="21"/>
      <c r="K525" s="23"/>
      <c r="L525" s="24"/>
      <c r="M525" s="21"/>
      <c r="N525" s="21"/>
      <c r="O525" s="25"/>
      <c r="P525" s="26"/>
      <c r="Q525" s="27" t="str">
        <f aca="false">IF(A525="","",SUMIF(Expenses!$B$2:$B$3000,A525,Expenses!$E$2:$E$3000))</f>
        <v/>
      </c>
      <c r="R525" s="27" t="str">
        <f aca="false">IF(A525="","",N(P525)+N(Q525))</f>
        <v/>
      </c>
      <c r="S525" s="28"/>
      <c r="T525" s="25"/>
      <c r="U525" s="26"/>
      <c r="V525" s="26"/>
      <c r="W525" s="26"/>
      <c r="X525" s="27" t="str">
        <f aca="false">IF(B525&lt;&gt;"SOLD","",IF(C525="Consignment",N(W525)-R525,N(U525)-R525-N(V525)))</f>
        <v/>
      </c>
      <c r="Y525" s="29" t="str">
        <f aca="false">IF(OR(X525="",N(R525)=0),"",X525/R525)</f>
        <v/>
      </c>
      <c r="Z525" s="30" t="str">
        <f aca="true">IF(O525="","",IF(T525="",TODAY(),T525)-O525)</f>
        <v/>
      </c>
      <c r="AA525" s="31" t="str">
        <f aca="false">IF(T525="","",TEXT(T525,"YYYY-MM"))</f>
        <v/>
      </c>
      <c r="AB525" s="27" t="str">
        <f aca="false">IF(X525="","",X525/2)</f>
        <v/>
      </c>
      <c r="AC525" s="21"/>
    </row>
    <row r="526" customFormat="false" ht="15" hidden="false" customHeight="false" outlineLevel="0" collapsed="false">
      <c r="A526" s="20"/>
      <c r="B526" s="21"/>
      <c r="C526" s="21"/>
      <c r="D526" s="21"/>
      <c r="E526" s="21"/>
      <c r="F526" s="21"/>
      <c r="G526" s="22"/>
      <c r="H526" s="21"/>
      <c r="I526" s="21"/>
      <c r="J526" s="21"/>
      <c r="K526" s="23"/>
      <c r="L526" s="24"/>
      <c r="M526" s="21"/>
      <c r="N526" s="21"/>
      <c r="O526" s="25"/>
      <c r="P526" s="26"/>
      <c r="Q526" s="27" t="str">
        <f aca="false">IF(A526="","",SUMIF(Expenses!$B$2:$B$3000,A526,Expenses!$E$2:$E$3000))</f>
        <v/>
      </c>
      <c r="R526" s="27" t="str">
        <f aca="false">IF(A526="","",N(P526)+N(Q526))</f>
        <v/>
      </c>
      <c r="S526" s="28"/>
      <c r="T526" s="25"/>
      <c r="U526" s="26"/>
      <c r="V526" s="26"/>
      <c r="W526" s="26"/>
      <c r="X526" s="27" t="str">
        <f aca="false">IF(B526&lt;&gt;"SOLD","",IF(C526="Consignment",N(W526)-R526,N(U526)-R526-N(V526)))</f>
        <v/>
      </c>
      <c r="Y526" s="29" t="str">
        <f aca="false">IF(OR(X526="",N(R526)=0),"",X526/R526)</f>
        <v/>
      </c>
      <c r="Z526" s="30" t="str">
        <f aca="true">IF(O526="","",IF(T526="",TODAY(),T526)-O526)</f>
        <v/>
      </c>
      <c r="AA526" s="31" t="str">
        <f aca="false">IF(T526="","",TEXT(T526,"YYYY-MM"))</f>
        <v/>
      </c>
      <c r="AB526" s="27" t="str">
        <f aca="false">IF(X526="","",X526/2)</f>
        <v/>
      </c>
      <c r="AC526" s="21"/>
    </row>
    <row r="527" customFormat="false" ht="15" hidden="false" customHeight="false" outlineLevel="0" collapsed="false">
      <c r="A527" s="20"/>
      <c r="B527" s="21"/>
      <c r="C527" s="21"/>
      <c r="D527" s="21"/>
      <c r="E527" s="21"/>
      <c r="F527" s="21"/>
      <c r="G527" s="22"/>
      <c r="H527" s="21"/>
      <c r="I527" s="21"/>
      <c r="J527" s="21"/>
      <c r="K527" s="23"/>
      <c r="L527" s="24"/>
      <c r="M527" s="21"/>
      <c r="N527" s="21"/>
      <c r="O527" s="25"/>
      <c r="P527" s="26"/>
      <c r="Q527" s="27" t="str">
        <f aca="false">IF(A527="","",SUMIF(Expenses!$B$2:$B$3000,A527,Expenses!$E$2:$E$3000))</f>
        <v/>
      </c>
      <c r="R527" s="27" t="str">
        <f aca="false">IF(A527="","",N(P527)+N(Q527))</f>
        <v/>
      </c>
      <c r="S527" s="28"/>
      <c r="T527" s="25"/>
      <c r="U527" s="26"/>
      <c r="V527" s="26"/>
      <c r="W527" s="26"/>
      <c r="X527" s="27" t="str">
        <f aca="false">IF(B527&lt;&gt;"SOLD","",IF(C527="Consignment",N(W527)-R527,N(U527)-R527-N(V527)))</f>
        <v/>
      </c>
      <c r="Y527" s="29" t="str">
        <f aca="false">IF(OR(X527="",N(R527)=0),"",X527/R527)</f>
        <v/>
      </c>
      <c r="Z527" s="30" t="str">
        <f aca="true">IF(O527="","",IF(T527="",TODAY(),T527)-O527)</f>
        <v/>
      </c>
      <c r="AA527" s="31" t="str">
        <f aca="false">IF(T527="","",TEXT(T527,"YYYY-MM"))</f>
        <v/>
      </c>
      <c r="AB527" s="27" t="str">
        <f aca="false">IF(X527="","",X527/2)</f>
        <v/>
      </c>
      <c r="AC527" s="21"/>
    </row>
    <row r="528" customFormat="false" ht="15" hidden="false" customHeight="false" outlineLevel="0" collapsed="false">
      <c r="A528" s="20"/>
      <c r="B528" s="21"/>
      <c r="C528" s="21"/>
      <c r="D528" s="21"/>
      <c r="E528" s="21"/>
      <c r="F528" s="21"/>
      <c r="G528" s="22"/>
      <c r="H528" s="21"/>
      <c r="I528" s="21"/>
      <c r="J528" s="21"/>
      <c r="K528" s="23"/>
      <c r="L528" s="24"/>
      <c r="M528" s="21"/>
      <c r="N528" s="21"/>
      <c r="O528" s="25"/>
      <c r="P528" s="26"/>
      <c r="Q528" s="27" t="str">
        <f aca="false">IF(A528="","",SUMIF(Expenses!$B$2:$B$3000,A528,Expenses!$E$2:$E$3000))</f>
        <v/>
      </c>
      <c r="R528" s="27" t="str">
        <f aca="false">IF(A528="","",N(P528)+N(Q528))</f>
        <v/>
      </c>
      <c r="S528" s="28"/>
      <c r="T528" s="25"/>
      <c r="U528" s="26"/>
      <c r="V528" s="26"/>
      <c r="W528" s="26"/>
      <c r="X528" s="27" t="str">
        <f aca="false">IF(B528&lt;&gt;"SOLD","",IF(C528="Consignment",N(W528)-R528,N(U528)-R528-N(V528)))</f>
        <v/>
      </c>
      <c r="Y528" s="29" t="str">
        <f aca="false">IF(OR(X528="",N(R528)=0),"",X528/R528)</f>
        <v/>
      </c>
      <c r="Z528" s="30" t="str">
        <f aca="true">IF(O528="","",IF(T528="",TODAY(),T528)-O528)</f>
        <v/>
      </c>
      <c r="AA528" s="31" t="str">
        <f aca="false">IF(T528="","",TEXT(T528,"YYYY-MM"))</f>
        <v/>
      </c>
      <c r="AB528" s="27" t="str">
        <f aca="false">IF(X528="","",X528/2)</f>
        <v/>
      </c>
      <c r="AC528" s="21"/>
    </row>
    <row r="529" customFormat="false" ht="15" hidden="false" customHeight="false" outlineLevel="0" collapsed="false">
      <c r="A529" s="20"/>
      <c r="B529" s="21"/>
      <c r="C529" s="21"/>
      <c r="D529" s="21"/>
      <c r="E529" s="21"/>
      <c r="F529" s="21"/>
      <c r="G529" s="22"/>
      <c r="H529" s="21"/>
      <c r="I529" s="21"/>
      <c r="J529" s="21"/>
      <c r="K529" s="23"/>
      <c r="L529" s="24"/>
      <c r="M529" s="21"/>
      <c r="N529" s="21"/>
      <c r="O529" s="25"/>
      <c r="P529" s="26"/>
      <c r="Q529" s="27" t="str">
        <f aca="false">IF(A529="","",SUMIF(Expenses!$B$2:$B$3000,A529,Expenses!$E$2:$E$3000))</f>
        <v/>
      </c>
      <c r="R529" s="27" t="str">
        <f aca="false">IF(A529="","",N(P529)+N(Q529))</f>
        <v/>
      </c>
      <c r="S529" s="28"/>
      <c r="T529" s="25"/>
      <c r="U529" s="26"/>
      <c r="V529" s="26"/>
      <c r="W529" s="26"/>
      <c r="X529" s="27" t="str">
        <f aca="false">IF(B529&lt;&gt;"SOLD","",IF(C529="Consignment",N(W529)-R529,N(U529)-R529-N(V529)))</f>
        <v/>
      </c>
      <c r="Y529" s="29" t="str">
        <f aca="false">IF(OR(X529="",N(R529)=0),"",X529/R529)</f>
        <v/>
      </c>
      <c r="Z529" s="30" t="str">
        <f aca="true">IF(O529="","",IF(T529="",TODAY(),T529)-O529)</f>
        <v/>
      </c>
      <c r="AA529" s="31" t="str">
        <f aca="false">IF(T529="","",TEXT(T529,"YYYY-MM"))</f>
        <v/>
      </c>
      <c r="AB529" s="27" t="str">
        <f aca="false">IF(X529="","",X529/2)</f>
        <v/>
      </c>
      <c r="AC529" s="21"/>
    </row>
    <row r="530" customFormat="false" ht="15" hidden="false" customHeight="false" outlineLevel="0" collapsed="false">
      <c r="A530" s="20"/>
      <c r="B530" s="21"/>
      <c r="C530" s="21"/>
      <c r="D530" s="21"/>
      <c r="E530" s="21"/>
      <c r="F530" s="21"/>
      <c r="G530" s="22"/>
      <c r="H530" s="21"/>
      <c r="I530" s="21"/>
      <c r="J530" s="21"/>
      <c r="K530" s="23"/>
      <c r="L530" s="24"/>
      <c r="M530" s="21"/>
      <c r="N530" s="21"/>
      <c r="O530" s="25"/>
      <c r="P530" s="26"/>
      <c r="Q530" s="27" t="str">
        <f aca="false">IF(A530="","",SUMIF(Expenses!$B$2:$B$3000,A530,Expenses!$E$2:$E$3000))</f>
        <v/>
      </c>
      <c r="R530" s="27" t="str">
        <f aca="false">IF(A530="","",N(P530)+N(Q530))</f>
        <v/>
      </c>
      <c r="S530" s="28"/>
      <c r="T530" s="25"/>
      <c r="U530" s="26"/>
      <c r="V530" s="26"/>
      <c r="W530" s="26"/>
      <c r="X530" s="27" t="str">
        <f aca="false">IF(B530&lt;&gt;"SOLD","",IF(C530="Consignment",N(W530)-R530,N(U530)-R530-N(V530)))</f>
        <v/>
      </c>
      <c r="Y530" s="29" t="str">
        <f aca="false">IF(OR(X530="",N(R530)=0),"",X530/R530)</f>
        <v/>
      </c>
      <c r="Z530" s="30" t="str">
        <f aca="true">IF(O530="","",IF(T530="",TODAY(),T530)-O530)</f>
        <v/>
      </c>
      <c r="AA530" s="31" t="str">
        <f aca="false">IF(T530="","",TEXT(T530,"YYYY-MM"))</f>
        <v/>
      </c>
      <c r="AB530" s="27" t="str">
        <f aca="false">IF(X530="","",X530/2)</f>
        <v/>
      </c>
      <c r="AC530" s="21"/>
    </row>
    <row r="531" customFormat="false" ht="15" hidden="false" customHeight="false" outlineLevel="0" collapsed="false">
      <c r="A531" s="20"/>
      <c r="B531" s="21"/>
      <c r="C531" s="21"/>
      <c r="D531" s="21"/>
      <c r="E531" s="21"/>
      <c r="F531" s="21"/>
      <c r="G531" s="22"/>
      <c r="H531" s="21"/>
      <c r="I531" s="21"/>
      <c r="J531" s="21"/>
      <c r="K531" s="23"/>
      <c r="L531" s="24"/>
      <c r="M531" s="21"/>
      <c r="N531" s="21"/>
      <c r="O531" s="25"/>
      <c r="P531" s="26"/>
      <c r="Q531" s="27" t="str">
        <f aca="false">IF(A531="","",SUMIF(Expenses!$B$2:$B$3000,A531,Expenses!$E$2:$E$3000))</f>
        <v/>
      </c>
      <c r="R531" s="27" t="str">
        <f aca="false">IF(A531="","",N(P531)+N(Q531))</f>
        <v/>
      </c>
      <c r="S531" s="28"/>
      <c r="T531" s="25"/>
      <c r="U531" s="26"/>
      <c r="V531" s="26"/>
      <c r="W531" s="26"/>
      <c r="X531" s="27" t="str">
        <f aca="false">IF(B531&lt;&gt;"SOLD","",IF(C531="Consignment",N(W531)-R531,N(U531)-R531-N(V531)))</f>
        <v/>
      </c>
      <c r="Y531" s="29" t="str">
        <f aca="false">IF(OR(X531="",N(R531)=0),"",X531/R531)</f>
        <v/>
      </c>
      <c r="Z531" s="30" t="str">
        <f aca="true">IF(O531="","",IF(T531="",TODAY(),T531)-O531)</f>
        <v/>
      </c>
      <c r="AA531" s="31" t="str">
        <f aca="false">IF(T531="","",TEXT(T531,"YYYY-MM"))</f>
        <v/>
      </c>
      <c r="AB531" s="27" t="str">
        <f aca="false">IF(X531="","",X531/2)</f>
        <v/>
      </c>
      <c r="AC531" s="21"/>
    </row>
    <row r="532" customFormat="false" ht="15" hidden="false" customHeight="false" outlineLevel="0" collapsed="false">
      <c r="A532" s="20"/>
      <c r="B532" s="21"/>
      <c r="C532" s="21"/>
      <c r="D532" s="21"/>
      <c r="E532" s="21"/>
      <c r="F532" s="21"/>
      <c r="G532" s="22"/>
      <c r="H532" s="21"/>
      <c r="I532" s="21"/>
      <c r="J532" s="21"/>
      <c r="K532" s="23"/>
      <c r="L532" s="24"/>
      <c r="M532" s="21"/>
      <c r="N532" s="21"/>
      <c r="O532" s="25"/>
      <c r="P532" s="26"/>
      <c r="Q532" s="27" t="str">
        <f aca="false">IF(A532="","",SUMIF(Expenses!$B$2:$B$3000,A532,Expenses!$E$2:$E$3000))</f>
        <v/>
      </c>
      <c r="R532" s="27" t="str">
        <f aca="false">IF(A532="","",N(P532)+N(Q532))</f>
        <v/>
      </c>
      <c r="S532" s="28"/>
      <c r="T532" s="25"/>
      <c r="U532" s="26"/>
      <c r="V532" s="26"/>
      <c r="W532" s="26"/>
      <c r="X532" s="27" t="str">
        <f aca="false">IF(B532&lt;&gt;"SOLD","",IF(C532="Consignment",N(W532)-R532,N(U532)-R532-N(V532)))</f>
        <v/>
      </c>
      <c r="Y532" s="29" t="str">
        <f aca="false">IF(OR(X532="",N(R532)=0),"",X532/R532)</f>
        <v/>
      </c>
      <c r="Z532" s="30" t="str">
        <f aca="true">IF(O532="","",IF(T532="",TODAY(),T532)-O532)</f>
        <v/>
      </c>
      <c r="AA532" s="31" t="str">
        <f aca="false">IF(T532="","",TEXT(T532,"YYYY-MM"))</f>
        <v/>
      </c>
      <c r="AB532" s="27" t="str">
        <f aca="false">IF(X532="","",X532/2)</f>
        <v/>
      </c>
      <c r="AC532" s="21"/>
    </row>
    <row r="533" customFormat="false" ht="15" hidden="false" customHeight="false" outlineLevel="0" collapsed="false">
      <c r="A533" s="20"/>
      <c r="B533" s="21"/>
      <c r="C533" s="21"/>
      <c r="D533" s="21"/>
      <c r="E533" s="21"/>
      <c r="F533" s="21"/>
      <c r="G533" s="22"/>
      <c r="H533" s="21"/>
      <c r="I533" s="21"/>
      <c r="J533" s="21"/>
      <c r="K533" s="23"/>
      <c r="L533" s="24"/>
      <c r="M533" s="21"/>
      <c r="N533" s="21"/>
      <c r="O533" s="25"/>
      <c r="P533" s="26"/>
      <c r="Q533" s="27" t="str">
        <f aca="false">IF(A533="","",SUMIF(Expenses!$B$2:$B$3000,A533,Expenses!$E$2:$E$3000))</f>
        <v/>
      </c>
      <c r="R533" s="27" t="str">
        <f aca="false">IF(A533="","",N(P533)+N(Q533))</f>
        <v/>
      </c>
      <c r="S533" s="28"/>
      <c r="T533" s="25"/>
      <c r="U533" s="26"/>
      <c r="V533" s="26"/>
      <c r="W533" s="26"/>
      <c r="X533" s="27" t="str">
        <f aca="false">IF(B533&lt;&gt;"SOLD","",IF(C533="Consignment",N(W533)-R533,N(U533)-R533-N(V533)))</f>
        <v/>
      </c>
      <c r="Y533" s="29" t="str">
        <f aca="false">IF(OR(X533="",N(R533)=0),"",X533/R533)</f>
        <v/>
      </c>
      <c r="Z533" s="30" t="str">
        <f aca="true">IF(O533="","",IF(T533="",TODAY(),T533)-O533)</f>
        <v/>
      </c>
      <c r="AA533" s="31" t="str">
        <f aca="false">IF(T533="","",TEXT(T533,"YYYY-MM"))</f>
        <v/>
      </c>
      <c r="AB533" s="27" t="str">
        <f aca="false">IF(X533="","",X533/2)</f>
        <v/>
      </c>
      <c r="AC533" s="21"/>
    </row>
    <row r="534" customFormat="false" ht="15" hidden="false" customHeight="false" outlineLevel="0" collapsed="false">
      <c r="A534" s="20"/>
      <c r="B534" s="21"/>
      <c r="C534" s="21"/>
      <c r="D534" s="21"/>
      <c r="E534" s="21"/>
      <c r="F534" s="21"/>
      <c r="G534" s="22"/>
      <c r="H534" s="21"/>
      <c r="I534" s="21"/>
      <c r="J534" s="21"/>
      <c r="K534" s="23"/>
      <c r="L534" s="24"/>
      <c r="M534" s="21"/>
      <c r="N534" s="21"/>
      <c r="O534" s="25"/>
      <c r="P534" s="26"/>
      <c r="Q534" s="27" t="str">
        <f aca="false">IF(A534="","",SUMIF(Expenses!$B$2:$B$3000,A534,Expenses!$E$2:$E$3000))</f>
        <v/>
      </c>
      <c r="R534" s="27" t="str">
        <f aca="false">IF(A534="","",N(P534)+N(Q534))</f>
        <v/>
      </c>
      <c r="S534" s="28"/>
      <c r="T534" s="25"/>
      <c r="U534" s="26"/>
      <c r="V534" s="26"/>
      <c r="W534" s="26"/>
      <c r="X534" s="27" t="str">
        <f aca="false">IF(B534&lt;&gt;"SOLD","",IF(C534="Consignment",N(W534)-R534,N(U534)-R534-N(V534)))</f>
        <v/>
      </c>
      <c r="Y534" s="29" t="str">
        <f aca="false">IF(OR(X534="",N(R534)=0),"",X534/R534)</f>
        <v/>
      </c>
      <c r="Z534" s="30" t="str">
        <f aca="true">IF(O534="","",IF(T534="",TODAY(),T534)-O534)</f>
        <v/>
      </c>
      <c r="AA534" s="31" t="str">
        <f aca="false">IF(T534="","",TEXT(T534,"YYYY-MM"))</f>
        <v/>
      </c>
      <c r="AB534" s="27" t="str">
        <f aca="false">IF(X534="","",X534/2)</f>
        <v/>
      </c>
      <c r="AC534" s="21"/>
    </row>
    <row r="535" customFormat="false" ht="15" hidden="false" customHeight="false" outlineLevel="0" collapsed="false">
      <c r="A535" s="20"/>
      <c r="B535" s="21"/>
      <c r="C535" s="21"/>
      <c r="D535" s="21"/>
      <c r="E535" s="21"/>
      <c r="F535" s="21"/>
      <c r="G535" s="22"/>
      <c r="H535" s="21"/>
      <c r="I535" s="21"/>
      <c r="J535" s="21"/>
      <c r="K535" s="23"/>
      <c r="L535" s="24"/>
      <c r="M535" s="21"/>
      <c r="N535" s="21"/>
      <c r="O535" s="25"/>
      <c r="P535" s="26"/>
      <c r="Q535" s="27" t="str">
        <f aca="false">IF(A535="","",SUMIF(Expenses!$B$2:$B$3000,A535,Expenses!$E$2:$E$3000))</f>
        <v/>
      </c>
      <c r="R535" s="27" t="str">
        <f aca="false">IF(A535="","",N(P535)+N(Q535))</f>
        <v/>
      </c>
      <c r="S535" s="28"/>
      <c r="T535" s="25"/>
      <c r="U535" s="26"/>
      <c r="V535" s="26"/>
      <c r="W535" s="26"/>
      <c r="X535" s="27" t="str">
        <f aca="false">IF(B535&lt;&gt;"SOLD","",IF(C535="Consignment",N(W535)-R535,N(U535)-R535-N(V535)))</f>
        <v/>
      </c>
      <c r="Y535" s="29" t="str">
        <f aca="false">IF(OR(X535="",N(R535)=0),"",X535/R535)</f>
        <v/>
      </c>
      <c r="Z535" s="30" t="str">
        <f aca="true">IF(O535="","",IF(T535="",TODAY(),T535)-O535)</f>
        <v/>
      </c>
      <c r="AA535" s="31" t="str">
        <f aca="false">IF(T535="","",TEXT(T535,"YYYY-MM"))</f>
        <v/>
      </c>
      <c r="AB535" s="27" t="str">
        <f aca="false">IF(X535="","",X535/2)</f>
        <v/>
      </c>
      <c r="AC535" s="21"/>
    </row>
    <row r="536" customFormat="false" ht="15" hidden="false" customHeight="false" outlineLevel="0" collapsed="false">
      <c r="A536" s="20"/>
      <c r="B536" s="21"/>
      <c r="C536" s="21"/>
      <c r="D536" s="21"/>
      <c r="E536" s="21"/>
      <c r="F536" s="21"/>
      <c r="G536" s="22"/>
      <c r="H536" s="21"/>
      <c r="I536" s="21"/>
      <c r="J536" s="21"/>
      <c r="K536" s="23"/>
      <c r="L536" s="24"/>
      <c r="M536" s="21"/>
      <c r="N536" s="21"/>
      <c r="O536" s="25"/>
      <c r="P536" s="26"/>
      <c r="Q536" s="27" t="str">
        <f aca="false">IF(A536="","",SUMIF(Expenses!$B$2:$B$3000,A536,Expenses!$E$2:$E$3000))</f>
        <v/>
      </c>
      <c r="R536" s="27" t="str">
        <f aca="false">IF(A536="","",N(P536)+N(Q536))</f>
        <v/>
      </c>
      <c r="S536" s="28"/>
      <c r="T536" s="25"/>
      <c r="U536" s="26"/>
      <c r="V536" s="26"/>
      <c r="W536" s="26"/>
      <c r="X536" s="27" t="str">
        <f aca="false">IF(B536&lt;&gt;"SOLD","",IF(C536="Consignment",N(W536)-R536,N(U536)-R536-N(V536)))</f>
        <v/>
      </c>
      <c r="Y536" s="29" t="str">
        <f aca="false">IF(OR(X536="",N(R536)=0),"",X536/R536)</f>
        <v/>
      </c>
      <c r="Z536" s="30" t="str">
        <f aca="true">IF(O536="","",IF(T536="",TODAY(),T536)-O536)</f>
        <v/>
      </c>
      <c r="AA536" s="31" t="str">
        <f aca="false">IF(T536="","",TEXT(T536,"YYYY-MM"))</f>
        <v/>
      </c>
      <c r="AB536" s="27" t="str">
        <f aca="false">IF(X536="","",X536/2)</f>
        <v/>
      </c>
      <c r="AC536" s="21"/>
    </row>
    <row r="537" customFormat="false" ht="15" hidden="false" customHeight="false" outlineLevel="0" collapsed="false">
      <c r="A537" s="20"/>
      <c r="B537" s="21"/>
      <c r="C537" s="21"/>
      <c r="D537" s="21"/>
      <c r="E537" s="21"/>
      <c r="F537" s="21"/>
      <c r="G537" s="22"/>
      <c r="H537" s="21"/>
      <c r="I537" s="21"/>
      <c r="J537" s="21"/>
      <c r="K537" s="23"/>
      <c r="L537" s="24"/>
      <c r="M537" s="21"/>
      <c r="N537" s="21"/>
      <c r="O537" s="25"/>
      <c r="P537" s="26"/>
      <c r="Q537" s="27" t="str">
        <f aca="false">IF(A537="","",SUMIF(Expenses!$B$2:$B$3000,A537,Expenses!$E$2:$E$3000))</f>
        <v/>
      </c>
      <c r="R537" s="27" t="str">
        <f aca="false">IF(A537="","",N(P537)+N(Q537))</f>
        <v/>
      </c>
      <c r="S537" s="28"/>
      <c r="T537" s="25"/>
      <c r="U537" s="26"/>
      <c r="V537" s="26"/>
      <c r="W537" s="26"/>
      <c r="X537" s="27" t="str">
        <f aca="false">IF(B537&lt;&gt;"SOLD","",IF(C537="Consignment",N(W537)-R537,N(U537)-R537-N(V537)))</f>
        <v/>
      </c>
      <c r="Y537" s="29" t="str">
        <f aca="false">IF(OR(X537="",N(R537)=0),"",X537/R537)</f>
        <v/>
      </c>
      <c r="Z537" s="30" t="str">
        <f aca="true">IF(O537="","",IF(T537="",TODAY(),T537)-O537)</f>
        <v/>
      </c>
      <c r="AA537" s="31" t="str">
        <f aca="false">IF(T537="","",TEXT(T537,"YYYY-MM"))</f>
        <v/>
      </c>
      <c r="AB537" s="27" t="str">
        <f aca="false">IF(X537="","",X537/2)</f>
        <v/>
      </c>
      <c r="AC537" s="21"/>
    </row>
    <row r="538" customFormat="false" ht="15" hidden="false" customHeight="false" outlineLevel="0" collapsed="false">
      <c r="A538" s="20"/>
      <c r="B538" s="21"/>
      <c r="C538" s="21"/>
      <c r="D538" s="21"/>
      <c r="E538" s="21"/>
      <c r="F538" s="21"/>
      <c r="G538" s="22"/>
      <c r="H538" s="21"/>
      <c r="I538" s="21"/>
      <c r="J538" s="21"/>
      <c r="K538" s="23"/>
      <c r="L538" s="24"/>
      <c r="M538" s="21"/>
      <c r="N538" s="21"/>
      <c r="O538" s="25"/>
      <c r="P538" s="26"/>
      <c r="Q538" s="27" t="str">
        <f aca="false">IF(A538="","",SUMIF(Expenses!$B$2:$B$3000,A538,Expenses!$E$2:$E$3000))</f>
        <v/>
      </c>
      <c r="R538" s="27" t="str">
        <f aca="false">IF(A538="","",N(P538)+N(Q538))</f>
        <v/>
      </c>
      <c r="S538" s="28"/>
      <c r="T538" s="25"/>
      <c r="U538" s="26"/>
      <c r="V538" s="26"/>
      <c r="W538" s="26"/>
      <c r="X538" s="27" t="str">
        <f aca="false">IF(B538&lt;&gt;"SOLD","",IF(C538="Consignment",N(W538)-R538,N(U538)-R538-N(V538)))</f>
        <v/>
      </c>
      <c r="Y538" s="29" t="str">
        <f aca="false">IF(OR(X538="",N(R538)=0),"",X538/R538)</f>
        <v/>
      </c>
      <c r="Z538" s="30" t="str">
        <f aca="true">IF(O538="","",IF(T538="",TODAY(),T538)-O538)</f>
        <v/>
      </c>
      <c r="AA538" s="31" t="str">
        <f aca="false">IF(T538="","",TEXT(T538,"YYYY-MM"))</f>
        <v/>
      </c>
      <c r="AB538" s="27" t="str">
        <f aca="false">IF(X538="","",X538/2)</f>
        <v/>
      </c>
      <c r="AC538" s="21"/>
    </row>
    <row r="539" customFormat="false" ht="15" hidden="false" customHeight="false" outlineLevel="0" collapsed="false">
      <c r="A539" s="20"/>
      <c r="B539" s="21"/>
      <c r="C539" s="21"/>
      <c r="D539" s="21"/>
      <c r="E539" s="21"/>
      <c r="F539" s="21"/>
      <c r="G539" s="22"/>
      <c r="H539" s="21"/>
      <c r="I539" s="21"/>
      <c r="J539" s="21"/>
      <c r="K539" s="23"/>
      <c r="L539" s="24"/>
      <c r="M539" s="21"/>
      <c r="N539" s="21"/>
      <c r="O539" s="25"/>
      <c r="P539" s="26"/>
      <c r="Q539" s="27" t="str">
        <f aca="false">IF(A539="","",SUMIF(Expenses!$B$2:$B$3000,A539,Expenses!$E$2:$E$3000))</f>
        <v/>
      </c>
      <c r="R539" s="27" t="str">
        <f aca="false">IF(A539="","",N(P539)+N(Q539))</f>
        <v/>
      </c>
      <c r="S539" s="28"/>
      <c r="T539" s="25"/>
      <c r="U539" s="26"/>
      <c r="V539" s="26"/>
      <c r="W539" s="26"/>
      <c r="X539" s="27" t="str">
        <f aca="false">IF(B539&lt;&gt;"SOLD","",IF(C539="Consignment",N(W539)-R539,N(U539)-R539-N(V539)))</f>
        <v/>
      </c>
      <c r="Y539" s="29" t="str">
        <f aca="false">IF(OR(X539="",N(R539)=0),"",X539/R539)</f>
        <v/>
      </c>
      <c r="Z539" s="30" t="str">
        <f aca="true">IF(O539="","",IF(T539="",TODAY(),T539)-O539)</f>
        <v/>
      </c>
      <c r="AA539" s="31" t="str">
        <f aca="false">IF(T539="","",TEXT(T539,"YYYY-MM"))</f>
        <v/>
      </c>
      <c r="AB539" s="27" t="str">
        <f aca="false">IF(X539="","",X539/2)</f>
        <v/>
      </c>
      <c r="AC539" s="21"/>
    </row>
    <row r="540" customFormat="false" ht="15" hidden="false" customHeight="false" outlineLevel="0" collapsed="false">
      <c r="A540" s="20"/>
      <c r="B540" s="21"/>
      <c r="C540" s="21"/>
      <c r="D540" s="21"/>
      <c r="E540" s="21"/>
      <c r="F540" s="21"/>
      <c r="G540" s="22"/>
      <c r="H540" s="21"/>
      <c r="I540" s="21"/>
      <c r="J540" s="21"/>
      <c r="K540" s="23"/>
      <c r="L540" s="24"/>
      <c r="M540" s="21"/>
      <c r="N540" s="21"/>
      <c r="O540" s="25"/>
      <c r="P540" s="26"/>
      <c r="Q540" s="27" t="str">
        <f aca="false">IF(A540="","",SUMIF(Expenses!$B$2:$B$3000,A540,Expenses!$E$2:$E$3000))</f>
        <v/>
      </c>
      <c r="R540" s="27" t="str">
        <f aca="false">IF(A540="","",N(P540)+N(Q540))</f>
        <v/>
      </c>
      <c r="S540" s="28"/>
      <c r="T540" s="25"/>
      <c r="U540" s="26"/>
      <c r="V540" s="26"/>
      <c r="W540" s="26"/>
      <c r="X540" s="27" t="str">
        <f aca="false">IF(B540&lt;&gt;"SOLD","",IF(C540="Consignment",N(W540)-R540,N(U540)-R540-N(V540)))</f>
        <v/>
      </c>
      <c r="Y540" s="29" t="str">
        <f aca="false">IF(OR(X540="",N(R540)=0),"",X540/R540)</f>
        <v/>
      </c>
      <c r="Z540" s="30" t="str">
        <f aca="true">IF(O540="","",IF(T540="",TODAY(),T540)-O540)</f>
        <v/>
      </c>
      <c r="AA540" s="31" t="str">
        <f aca="false">IF(T540="","",TEXT(T540,"YYYY-MM"))</f>
        <v/>
      </c>
      <c r="AB540" s="27" t="str">
        <f aca="false">IF(X540="","",X540/2)</f>
        <v/>
      </c>
      <c r="AC540" s="21"/>
    </row>
    <row r="541" customFormat="false" ht="15" hidden="false" customHeight="false" outlineLevel="0" collapsed="false">
      <c r="A541" s="20"/>
      <c r="B541" s="21"/>
      <c r="C541" s="21"/>
      <c r="D541" s="21"/>
      <c r="E541" s="21"/>
      <c r="F541" s="21"/>
      <c r="G541" s="22"/>
      <c r="H541" s="21"/>
      <c r="I541" s="21"/>
      <c r="J541" s="21"/>
      <c r="K541" s="23"/>
      <c r="L541" s="24"/>
      <c r="M541" s="21"/>
      <c r="N541" s="21"/>
      <c r="O541" s="25"/>
      <c r="P541" s="26"/>
      <c r="Q541" s="27" t="str">
        <f aca="false">IF(A541="","",SUMIF(Expenses!$B$2:$B$3000,A541,Expenses!$E$2:$E$3000))</f>
        <v/>
      </c>
      <c r="R541" s="27" t="str">
        <f aca="false">IF(A541="","",N(P541)+N(Q541))</f>
        <v/>
      </c>
      <c r="S541" s="28"/>
      <c r="T541" s="25"/>
      <c r="U541" s="26"/>
      <c r="V541" s="26"/>
      <c r="W541" s="26"/>
      <c r="X541" s="27" t="str">
        <f aca="false">IF(B541&lt;&gt;"SOLD","",IF(C541="Consignment",N(W541)-R541,N(U541)-R541-N(V541)))</f>
        <v/>
      </c>
      <c r="Y541" s="29" t="str">
        <f aca="false">IF(OR(X541="",N(R541)=0),"",X541/R541)</f>
        <v/>
      </c>
      <c r="Z541" s="30" t="str">
        <f aca="true">IF(O541="","",IF(T541="",TODAY(),T541)-O541)</f>
        <v/>
      </c>
      <c r="AA541" s="31" t="str">
        <f aca="false">IF(T541="","",TEXT(T541,"YYYY-MM"))</f>
        <v/>
      </c>
      <c r="AB541" s="27" t="str">
        <f aca="false">IF(X541="","",X541/2)</f>
        <v/>
      </c>
      <c r="AC541" s="21"/>
    </row>
    <row r="542" customFormat="false" ht="15" hidden="false" customHeight="false" outlineLevel="0" collapsed="false">
      <c r="A542" s="20"/>
      <c r="B542" s="21"/>
      <c r="C542" s="21"/>
      <c r="D542" s="21"/>
      <c r="E542" s="21"/>
      <c r="F542" s="21"/>
      <c r="G542" s="22"/>
      <c r="H542" s="21"/>
      <c r="I542" s="21"/>
      <c r="J542" s="21"/>
      <c r="K542" s="23"/>
      <c r="L542" s="24"/>
      <c r="M542" s="21"/>
      <c r="N542" s="21"/>
      <c r="O542" s="25"/>
      <c r="P542" s="26"/>
      <c r="Q542" s="27" t="str">
        <f aca="false">IF(A542="","",SUMIF(Expenses!$B$2:$B$3000,A542,Expenses!$E$2:$E$3000))</f>
        <v/>
      </c>
      <c r="R542" s="27" t="str">
        <f aca="false">IF(A542="","",N(P542)+N(Q542))</f>
        <v/>
      </c>
      <c r="S542" s="28"/>
      <c r="T542" s="25"/>
      <c r="U542" s="26"/>
      <c r="V542" s="26"/>
      <c r="W542" s="26"/>
      <c r="X542" s="27" t="str">
        <f aca="false">IF(B542&lt;&gt;"SOLD","",IF(C542="Consignment",N(W542)-R542,N(U542)-R542-N(V542)))</f>
        <v/>
      </c>
      <c r="Y542" s="29" t="str">
        <f aca="false">IF(OR(X542="",N(R542)=0),"",X542/R542)</f>
        <v/>
      </c>
      <c r="Z542" s="30" t="str">
        <f aca="true">IF(O542="","",IF(T542="",TODAY(),T542)-O542)</f>
        <v/>
      </c>
      <c r="AA542" s="31" t="str">
        <f aca="false">IF(T542="","",TEXT(T542,"YYYY-MM"))</f>
        <v/>
      </c>
      <c r="AB542" s="27" t="str">
        <f aca="false">IF(X542="","",X542/2)</f>
        <v/>
      </c>
      <c r="AC542" s="21"/>
    </row>
    <row r="543" customFormat="false" ht="15" hidden="false" customHeight="false" outlineLevel="0" collapsed="false">
      <c r="A543" s="20"/>
      <c r="B543" s="21"/>
      <c r="C543" s="21"/>
      <c r="D543" s="21"/>
      <c r="E543" s="21"/>
      <c r="F543" s="21"/>
      <c r="G543" s="22"/>
      <c r="H543" s="21"/>
      <c r="I543" s="21"/>
      <c r="J543" s="21"/>
      <c r="K543" s="23"/>
      <c r="L543" s="24"/>
      <c r="M543" s="21"/>
      <c r="N543" s="21"/>
      <c r="O543" s="25"/>
      <c r="P543" s="26"/>
      <c r="Q543" s="27" t="str">
        <f aca="false">IF(A543="","",SUMIF(Expenses!$B$2:$B$3000,A543,Expenses!$E$2:$E$3000))</f>
        <v/>
      </c>
      <c r="R543" s="27" t="str">
        <f aca="false">IF(A543="","",N(P543)+N(Q543))</f>
        <v/>
      </c>
      <c r="S543" s="28"/>
      <c r="T543" s="25"/>
      <c r="U543" s="26"/>
      <c r="V543" s="26"/>
      <c r="W543" s="26"/>
      <c r="X543" s="27" t="str">
        <f aca="false">IF(B543&lt;&gt;"SOLD","",IF(C543="Consignment",N(W543)-R543,N(U543)-R543-N(V543)))</f>
        <v/>
      </c>
      <c r="Y543" s="29" t="str">
        <f aca="false">IF(OR(X543="",N(R543)=0),"",X543/R543)</f>
        <v/>
      </c>
      <c r="Z543" s="30" t="str">
        <f aca="true">IF(O543="","",IF(T543="",TODAY(),T543)-O543)</f>
        <v/>
      </c>
      <c r="AA543" s="31" t="str">
        <f aca="false">IF(T543="","",TEXT(T543,"YYYY-MM"))</f>
        <v/>
      </c>
      <c r="AB543" s="27" t="str">
        <f aca="false">IF(X543="","",X543/2)</f>
        <v/>
      </c>
      <c r="AC543" s="21"/>
    </row>
    <row r="544" customFormat="false" ht="15" hidden="false" customHeight="false" outlineLevel="0" collapsed="false">
      <c r="A544" s="20"/>
      <c r="B544" s="21"/>
      <c r="C544" s="21"/>
      <c r="D544" s="21"/>
      <c r="E544" s="21"/>
      <c r="F544" s="21"/>
      <c r="G544" s="22"/>
      <c r="H544" s="21"/>
      <c r="I544" s="21"/>
      <c r="J544" s="21"/>
      <c r="K544" s="23"/>
      <c r="L544" s="24"/>
      <c r="M544" s="21"/>
      <c r="N544" s="21"/>
      <c r="O544" s="25"/>
      <c r="P544" s="26"/>
      <c r="Q544" s="27" t="str">
        <f aca="false">IF(A544="","",SUMIF(Expenses!$B$2:$B$3000,A544,Expenses!$E$2:$E$3000))</f>
        <v/>
      </c>
      <c r="R544" s="27" t="str">
        <f aca="false">IF(A544="","",N(P544)+N(Q544))</f>
        <v/>
      </c>
      <c r="S544" s="28"/>
      <c r="T544" s="25"/>
      <c r="U544" s="26"/>
      <c r="V544" s="26"/>
      <c r="W544" s="26"/>
      <c r="X544" s="27" t="str">
        <f aca="false">IF(B544&lt;&gt;"SOLD","",IF(C544="Consignment",N(W544)-R544,N(U544)-R544-N(V544)))</f>
        <v/>
      </c>
      <c r="Y544" s="29" t="str">
        <f aca="false">IF(OR(X544="",N(R544)=0),"",X544/R544)</f>
        <v/>
      </c>
      <c r="Z544" s="30" t="str">
        <f aca="true">IF(O544="","",IF(T544="",TODAY(),T544)-O544)</f>
        <v/>
      </c>
      <c r="AA544" s="31" t="str">
        <f aca="false">IF(T544="","",TEXT(T544,"YYYY-MM"))</f>
        <v/>
      </c>
      <c r="AB544" s="27" t="str">
        <f aca="false">IF(X544="","",X544/2)</f>
        <v/>
      </c>
      <c r="AC544" s="21"/>
    </row>
    <row r="545" customFormat="false" ht="15" hidden="false" customHeight="false" outlineLevel="0" collapsed="false">
      <c r="A545" s="20"/>
      <c r="B545" s="21"/>
      <c r="C545" s="21"/>
      <c r="D545" s="21"/>
      <c r="E545" s="21"/>
      <c r="F545" s="21"/>
      <c r="G545" s="22"/>
      <c r="H545" s="21"/>
      <c r="I545" s="21"/>
      <c r="J545" s="21"/>
      <c r="K545" s="23"/>
      <c r="L545" s="24"/>
      <c r="M545" s="21"/>
      <c r="N545" s="21"/>
      <c r="O545" s="25"/>
      <c r="P545" s="26"/>
      <c r="Q545" s="27" t="str">
        <f aca="false">IF(A545="","",SUMIF(Expenses!$B$2:$B$3000,A545,Expenses!$E$2:$E$3000))</f>
        <v/>
      </c>
      <c r="R545" s="27" t="str">
        <f aca="false">IF(A545="","",N(P545)+N(Q545))</f>
        <v/>
      </c>
      <c r="S545" s="28"/>
      <c r="T545" s="25"/>
      <c r="U545" s="26"/>
      <c r="V545" s="26"/>
      <c r="W545" s="26"/>
      <c r="X545" s="27" t="str">
        <f aca="false">IF(B545&lt;&gt;"SOLD","",IF(C545="Consignment",N(W545)-R545,N(U545)-R545-N(V545)))</f>
        <v/>
      </c>
      <c r="Y545" s="29" t="str">
        <f aca="false">IF(OR(X545="",N(R545)=0),"",X545/R545)</f>
        <v/>
      </c>
      <c r="Z545" s="30" t="str">
        <f aca="true">IF(O545="","",IF(T545="",TODAY(),T545)-O545)</f>
        <v/>
      </c>
      <c r="AA545" s="31" t="str">
        <f aca="false">IF(T545="","",TEXT(T545,"YYYY-MM"))</f>
        <v/>
      </c>
      <c r="AB545" s="27" t="str">
        <f aca="false">IF(X545="","",X545/2)</f>
        <v/>
      </c>
      <c r="AC545" s="21"/>
    </row>
    <row r="546" customFormat="false" ht="15" hidden="false" customHeight="false" outlineLevel="0" collapsed="false">
      <c r="A546" s="20"/>
      <c r="B546" s="21"/>
      <c r="C546" s="21"/>
      <c r="D546" s="21"/>
      <c r="E546" s="21"/>
      <c r="F546" s="21"/>
      <c r="G546" s="22"/>
      <c r="H546" s="21"/>
      <c r="I546" s="21"/>
      <c r="J546" s="21"/>
      <c r="K546" s="23"/>
      <c r="L546" s="24"/>
      <c r="M546" s="21"/>
      <c r="N546" s="21"/>
      <c r="O546" s="25"/>
      <c r="P546" s="26"/>
      <c r="Q546" s="27" t="str">
        <f aca="false">IF(A546="","",SUMIF(Expenses!$B$2:$B$3000,A546,Expenses!$E$2:$E$3000))</f>
        <v/>
      </c>
      <c r="R546" s="27" t="str">
        <f aca="false">IF(A546="","",N(P546)+N(Q546))</f>
        <v/>
      </c>
      <c r="S546" s="28"/>
      <c r="T546" s="25"/>
      <c r="U546" s="26"/>
      <c r="V546" s="26"/>
      <c r="W546" s="26"/>
      <c r="X546" s="27" t="str">
        <f aca="false">IF(B546&lt;&gt;"SOLD","",IF(C546="Consignment",N(W546)-R546,N(U546)-R546-N(V546)))</f>
        <v/>
      </c>
      <c r="Y546" s="29" t="str">
        <f aca="false">IF(OR(X546="",N(R546)=0),"",X546/R546)</f>
        <v/>
      </c>
      <c r="Z546" s="30" t="str">
        <f aca="true">IF(O546="","",IF(T546="",TODAY(),T546)-O546)</f>
        <v/>
      </c>
      <c r="AA546" s="31" t="str">
        <f aca="false">IF(T546="","",TEXT(T546,"YYYY-MM"))</f>
        <v/>
      </c>
      <c r="AB546" s="27" t="str">
        <f aca="false">IF(X546="","",X546/2)</f>
        <v/>
      </c>
      <c r="AC546" s="21"/>
    </row>
    <row r="547" customFormat="false" ht="15" hidden="false" customHeight="false" outlineLevel="0" collapsed="false">
      <c r="A547" s="20"/>
      <c r="B547" s="21"/>
      <c r="C547" s="21"/>
      <c r="D547" s="21"/>
      <c r="E547" s="21"/>
      <c r="F547" s="21"/>
      <c r="G547" s="22"/>
      <c r="H547" s="21"/>
      <c r="I547" s="21"/>
      <c r="J547" s="21"/>
      <c r="K547" s="23"/>
      <c r="L547" s="24"/>
      <c r="M547" s="21"/>
      <c r="N547" s="21"/>
      <c r="O547" s="25"/>
      <c r="P547" s="26"/>
      <c r="Q547" s="27" t="str">
        <f aca="false">IF(A547="","",SUMIF(Expenses!$B$2:$B$3000,A547,Expenses!$E$2:$E$3000))</f>
        <v/>
      </c>
      <c r="R547" s="27" t="str">
        <f aca="false">IF(A547="","",N(P547)+N(Q547))</f>
        <v/>
      </c>
      <c r="S547" s="28"/>
      <c r="T547" s="25"/>
      <c r="U547" s="26"/>
      <c r="V547" s="26"/>
      <c r="W547" s="26"/>
      <c r="X547" s="27" t="str">
        <f aca="false">IF(B547&lt;&gt;"SOLD","",IF(C547="Consignment",N(W547)-R547,N(U547)-R547-N(V547)))</f>
        <v/>
      </c>
      <c r="Y547" s="29" t="str">
        <f aca="false">IF(OR(X547="",N(R547)=0),"",X547/R547)</f>
        <v/>
      </c>
      <c r="Z547" s="30" t="str">
        <f aca="true">IF(O547="","",IF(T547="",TODAY(),T547)-O547)</f>
        <v/>
      </c>
      <c r="AA547" s="31" t="str">
        <f aca="false">IF(T547="","",TEXT(T547,"YYYY-MM"))</f>
        <v/>
      </c>
      <c r="AB547" s="27" t="str">
        <f aca="false">IF(X547="","",X547/2)</f>
        <v/>
      </c>
      <c r="AC547" s="21"/>
    </row>
    <row r="548" customFormat="false" ht="15" hidden="false" customHeight="false" outlineLevel="0" collapsed="false">
      <c r="A548" s="20"/>
      <c r="B548" s="21"/>
      <c r="C548" s="21"/>
      <c r="D548" s="21"/>
      <c r="E548" s="21"/>
      <c r="F548" s="21"/>
      <c r="G548" s="22"/>
      <c r="H548" s="21"/>
      <c r="I548" s="21"/>
      <c r="J548" s="21"/>
      <c r="K548" s="23"/>
      <c r="L548" s="24"/>
      <c r="M548" s="21"/>
      <c r="N548" s="21"/>
      <c r="O548" s="25"/>
      <c r="P548" s="26"/>
      <c r="Q548" s="27" t="str">
        <f aca="false">IF(A548="","",SUMIF(Expenses!$B$2:$B$3000,A548,Expenses!$E$2:$E$3000))</f>
        <v/>
      </c>
      <c r="R548" s="27" t="str">
        <f aca="false">IF(A548="","",N(P548)+N(Q548))</f>
        <v/>
      </c>
      <c r="S548" s="28"/>
      <c r="T548" s="25"/>
      <c r="U548" s="26"/>
      <c r="V548" s="26"/>
      <c r="W548" s="26"/>
      <c r="X548" s="27" t="str">
        <f aca="false">IF(B548&lt;&gt;"SOLD","",IF(C548="Consignment",N(W548)-R548,N(U548)-R548-N(V548)))</f>
        <v/>
      </c>
      <c r="Y548" s="29" t="str">
        <f aca="false">IF(OR(X548="",N(R548)=0),"",X548/R548)</f>
        <v/>
      </c>
      <c r="Z548" s="30" t="str">
        <f aca="true">IF(O548="","",IF(T548="",TODAY(),T548)-O548)</f>
        <v/>
      </c>
      <c r="AA548" s="31" t="str">
        <f aca="false">IF(T548="","",TEXT(T548,"YYYY-MM"))</f>
        <v/>
      </c>
      <c r="AB548" s="27" t="str">
        <f aca="false">IF(X548="","",X548/2)</f>
        <v/>
      </c>
      <c r="AC548" s="21"/>
    </row>
    <row r="549" customFormat="false" ht="15" hidden="false" customHeight="false" outlineLevel="0" collapsed="false">
      <c r="A549" s="20"/>
      <c r="B549" s="21"/>
      <c r="C549" s="21"/>
      <c r="D549" s="21"/>
      <c r="E549" s="21"/>
      <c r="F549" s="21"/>
      <c r="G549" s="22"/>
      <c r="H549" s="21"/>
      <c r="I549" s="21"/>
      <c r="J549" s="21"/>
      <c r="K549" s="23"/>
      <c r="L549" s="24"/>
      <c r="M549" s="21"/>
      <c r="N549" s="21"/>
      <c r="O549" s="25"/>
      <c r="P549" s="26"/>
      <c r="Q549" s="27" t="str">
        <f aca="false">IF(A549="","",SUMIF(Expenses!$B$2:$B$3000,A549,Expenses!$E$2:$E$3000))</f>
        <v/>
      </c>
      <c r="R549" s="27" t="str">
        <f aca="false">IF(A549="","",N(P549)+N(Q549))</f>
        <v/>
      </c>
      <c r="S549" s="28"/>
      <c r="T549" s="25"/>
      <c r="U549" s="26"/>
      <c r="V549" s="26"/>
      <c r="W549" s="26"/>
      <c r="X549" s="27" t="str">
        <f aca="false">IF(B549&lt;&gt;"SOLD","",IF(C549="Consignment",N(W549)-R549,N(U549)-R549-N(V549)))</f>
        <v/>
      </c>
      <c r="Y549" s="29" t="str">
        <f aca="false">IF(OR(X549="",N(R549)=0),"",X549/R549)</f>
        <v/>
      </c>
      <c r="Z549" s="30" t="str">
        <f aca="true">IF(O549="","",IF(T549="",TODAY(),T549)-O549)</f>
        <v/>
      </c>
      <c r="AA549" s="31" t="str">
        <f aca="false">IF(T549="","",TEXT(T549,"YYYY-MM"))</f>
        <v/>
      </c>
      <c r="AB549" s="27" t="str">
        <f aca="false">IF(X549="","",X549/2)</f>
        <v/>
      </c>
      <c r="AC549" s="21"/>
    </row>
    <row r="550" customFormat="false" ht="15" hidden="false" customHeight="false" outlineLevel="0" collapsed="false">
      <c r="A550" s="20"/>
      <c r="B550" s="21"/>
      <c r="C550" s="21"/>
      <c r="D550" s="21"/>
      <c r="E550" s="21"/>
      <c r="F550" s="21"/>
      <c r="G550" s="22"/>
      <c r="H550" s="21"/>
      <c r="I550" s="21"/>
      <c r="J550" s="21"/>
      <c r="K550" s="23"/>
      <c r="L550" s="24"/>
      <c r="M550" s="21"/>
      <c r="N550" s="21"/>
      <c r="O550" s="25"/>
      <c r="P550" s="26"/>
      <c r="Q550" s="27" t="str">
        <f aca="false">IF(A550="","",SUMIF(Expenses!$B$2:$B$3000,A550,Expenses!$E$2:$E$3000))</f>
        <v/>
      </c>
      <c r="R550" s="27" t="str">
        <f aca="false">IF(A550="","",N(P550)+N(Q550))</f>
        <v/>
      </c>
      <c r="S550" s="28"/>
      <c r="T550" s="25"/>
      <c r="U550" s="26"/>
      <c r="V550" s="26"/>
      <c r="W550" s="26"/>
      <c r="X550" s="27" t="str">
        <f aca="false">IF(B550&lt;&gt;"SOLD","",IF(C550="Consignment",N(W550)-R550,N(U550)-R550-N(V550)))</f>
        <v/>
      </c>
      <c r="Y550" s="29" t="str">
        <f aca="false">IF(OR(X550="",N(R550)=0),"",X550/R550)</f>
        <v/>
      </c>
      <c r="Z550" s="30" t="str">
        <f aca="true">IF(O550="","",IF(T550="",TODAY(),T550)-O550)</f>
        <v/>
      </c>
      <c r="AA550" s="31" t="str">
        <f aca="false">IF(T550="","",TEXT(T550,"YYYY-MM"))</f>
        <v/>
      </c>
      <c r="AB550" s="27" t="str">
        <f aca="false">IF(X550="","",X550/2)</f>
        <v/>
      </c>
      <c r="AC550" s="21"/>
    </row>
    <row r="551" customFormat="false" ht="15" hidden="false" customHeight="false" outlineLevel="0" collapsed="false">
      <c r="A551" s="20"/>
      <c r="B551" s="21"/>
      <c r="C551" s="21"/>
      <c r="D551" s="21"/>
      <c r="E551" s="21"/>
      <c r="F551" s="21"/>
      <c r="G551" s="22"/>
      <c r="H551" s="21"/>
      <c r="I551" s="21"/>
      <c r="J551" s="21"/>
      <c r="K551" s="23"/>
      <c r="L551" s="24"/>
      <c r="M551" s="21"/>
      <c r="N551" s="21"/>
      <c r="O551" s="25"/>
      <c r="P551" s="26"/>
      <c r="Q551" s="27" t="str">
        <f aca="false">IF(A551="","",SUMIF(Expenses!$B$2:$B$3000,A551,Expenses!$E$2:$E$3000))</f>
        <v/>
      </c>
      <c r="R551" s="27" t="str">
        <f aca="false">IF(A551="","",N(P551)+N(Q551))</f>
        <v/>
      </c>
      <c r="S551" s="28"/>
      <c r="T551" s="25"/>
      <c r="U551" s="26"/>
      <c r="V551" s="26"/>
      <c r="W551" s="26"/>
      <c r="X551" s="27" t="str">
        <f aca="false">IF(B551&lt;&gt;"SOLD","",IF(C551="Consignment",N(W551)-R551,N(U551)-R551-N(V551)))</f>
        <v/>
      </c>
      <c r="Y551" s="29" t="str">
        <f aca="false">IF(OR(X551="",N(R551)=0),"",X551/R551)</f>
        <v/>
      </c>
      <c r="Z551" s="30" t="str">
        <f aca="true">IF(O551="","",IF(T551="",TODAY(),T551)-O551)</f>
        <v/>
      </c>
      <c r="AA551" s="31" t="str">
        <f aca="false">IF(T551="","",TEXT(T551,"YYYY-MM"))</f>
        <v/>
      </c>
      <c r="AB551" s="27" t="str">
        <f aca="false">IF(X551="","",X551/2)</f>
        <v/>
      </c>
      <c r="AC551" s="21"/>
    </row>
    <row r="552" customFormat="false" ht="15" hidden="false" customHeight="false" outlineLevel="0" collapsed="false">
      <c r="A552" s="20"/>
      <c r="B552" s="21"/>
      <c r="C552" s="21"/>
      <c r="D552" s="21"/>
      <c r="E552" s="21"/>
      <c r="F552" s="21"/>
      <c r="G552" s="22"/>
      <c r="H552" s="21"/>
      <c r="I552" s="21"/>
      <c r="J552" s="21"/>
      <c r="K552" s="23"/>
      <c r="L552" s="24"/>
      <c r="M552" s="21"/>
      <c r="N552" s="21"/>
      <c r="O552" s="25"/>
      <c r="P552" s="26"/>
      <c r="Q552" s="27" t="str">
        <f aca="false">IF(A552="","",SUMIF(Expenses!$B$2:$B$3000,A552,Expenses!$E$2:$E$3000))</f>
        <v/>
      </c>
      <c r="R552" s="27" t="str">
        <f aca="false">IF(A552="","",N(P552)+N(Q552))</f>
        <v/>
      </c>
      <c r="S552" s="28"/>
      <c r="T552" s="25"/>
      <c r="U552" s="26"/>
      <c r="V552" s="26"/>
      <c r="W552" s="26"/>
      <c r="X552" s="27" t="str">
        <f aca="false">IF(B552&lt;&gt;"SOLD","",IF(C552="Consignment",N(W552)-R552,N(U552)-R552-N(V552)))</f>
        <v/>
      </c>
      <c r="Y552" s="29" t="str">
        <f aca="false">IF(OR(X552="",N(R552)=0),"",X552/R552)</f>
        <v/>
      </c>
      <c r="Z552" s="30" t="str">
        <f aca="true">IF(O552="","",IF(T552="",TODAY(),T552)-O552)</f>
        <v/>
      </c>
      <c r="AA552" s="31" t="str">
        <f aca="false">IF(T552="","",TEXT(T552,"YYYY-MM"))</f>
        <v/>
      </c>
      <c r="AB552" s="27" t="str">
        <f aca="false">IF(X552="","",X552/2)</f>
        <v/>
      </c>
      <c r="AC552" s="21"/>
    </row>
    <row r="553" customFormat="false" ht="15" hidden="false" customHeight="false" outlineLevel="0" collapsed="false">
      <c r="A553" s="20"/>
      <c r="B553" s="21"/>
      <c r="C553" s="21"/>
      <c r="D553" s="21"/>
      <c r="E553" s="21"/>
      <c r="F553" s="21"/>
      <c r="G553" s="22"/>
      <c r="H553" s="21"/>
      <c r="I553" s="21"/>
      <c r="J553" s="21"/>
      <c r="K553" s="23"/>
      <c r="L553" s="24"/>
      <c r="M553" s="21"/>
      <c r="N553" s="21"/>
      <c r="O553" s="25"/>
      <c r="P553" s="26"/>
      <c r="Q553" s="27" t="str">
        <f aca="false">IF(A553="","",SUMIF(Expenses!$B$2:$B$3000,A553,Expenses!$E$2:$E$3000))</f>
        <v/>
      </c>
      <c r="R553" s="27" t="str">
        <f aca="false">IF(A553="","",N(P553)+N(Q553))</f>
        <v/>
      </c>
      <c r="S553" s="28"/>
      <c r="T553" s="25"/>
      <c r="U553" s="26"/>
      <c r="V553" s="26"/>
      <c r="W553" s="26"/>
      <c r="X553" s="27" t="str">
        <f aca="false">IF(B553&lt;&gt;"SOLD","",IF(C553="Consignment",N(W553)-R553,N(U553)-R553-N(V553)))</f>
        <v/>
      </c>
      <c r="Y553" s="29" t="str">
        <f aca="false">IF(OR(X553="",N(R553)=0),"",X553/R553)</f>
        <v/>
      </c>
      <c r="Z553" s="30" t="str">
        <f aca="true">IF(O553="","",IF(T553="",TODAY(),T553)-O553)</f>
        <v/>
      </c>
      <c r="AA553" s="31" t="str">
        <f aca="false">IF(T553="","",TEXT(T553,"YYYY-MM"))</f>
        <v/>
      </c>
      <c r="AB553" s="27" t="str">
        <f aca="false">IF(X553="","",X553/2)</f>
        <v/>
      </c>
      <c r="AC553" s="21"/>
    </row>
    <row r="554" customFormat="false" ht="15" hidden="false" customHeight="false" outlineLevel="0" collapsed="false">
      <c r="A554" s="20"/>
      <c r="B554" s="21"/>
      <c r="C554" s="21"/>
      <c r="D554" s="21"/>
      <c r="E554" s="21"/>
      <c r="F554" s="21"/>
      <c r="G554" s="22"/>
      <c r="H554" s="21"/>
      <c r="I554" s="21"/>
      <c r="J554" s="21"/>
      <c r="K554" s="23"/>
      <c r="L554" s="24"/>
      <c r="M554" s="21"/>
      <c r="N554" s="21"/>
      <c r="O554" s="25"/>
      <c r="P554" s="26"/>
      <c r="Q554" s="27" t="str">
        <f aca="false">IF(A554="","",SUMIF(Expenses!$B$2:$B$3000,A554,Expenses!$E$2:$E$3000))</f>
        <v/>
      </c>
      <c r="R554" s="27" t="str">
        <f aca="false">IF(A554="","",N(P554)+N(Q554))</f>
        <v/>
      </c>
      <c r="S554" s="28"/>
      <c r="T554" s="25"/>
      <c r="U554" s="26"/>
      <c r="V554" s="26"/>
      <c r="W554" s="26"/>
      <c r="X554" s="27" t="str">
        <f aca="false">IF(B554&lt;&gt;"SOLD","",IF(C554="Consignment",N(W554)-R554,N(U554)-R554-N(V554)))</f>
        <v/>
      </c>
      <c r="Y554" s="29" t="str">
        <f aca="false">IF(OR(X554="",N(R554)=0),"",X554/R554)</f>
        <v/>
      </c>
      <c r="Z554" s="30" t="str">
        <f aca="true">IF(O554="","",IF(T554="",TODAY(),T554)-O554)</f>
        <v/>
      </c>
      <c r="AA554" s="31" t="str">
        <f aca="false">IF(T554="","",TEXT(T554,"YYYY-MM"))</f>
        <v/>
      </c>
      <c r="AB554" s="27" t="str">
        <f aca="false">IF(X554="","",X554/2)</f>
        <v/>
      </c>
      <c r="AC554" s="21"/>
    </row>
    <row r="555" customFormat="false" ht="15" hidden="false" customHeight="false" outlineLevel="0" collapsed="false">
      <c r="A555" s="20"/>
      <c r="B555" s="21"/>
      <c r="C555" s="21"/>
      <c r="D555" s="21"/>
      <c r="E555" s="21"/>
      <c r="F555" s="21"/>
      <c r="G555" s="22"/>
      <c r="H555" s="21"/>
      <c r="I555" s="21"/>
      <c r="J555" s="21"/>
      <c r="K555" s="23"/>
      <c r="L555" s="24"/>
      <c r="M555" s="21"/>
      <c r="N555" s="21"/>
      <c r="O555" s="25"/>
      <c r="P555" s="26"/>
      <c r="Q555" s="27" t="str">
        <f aca="false">IF(A555="","",SUMIF(Expenses!$B$2:$B$3000,A555,Expenses!$E$2:$E$3000))</f>
        <v/>
      </c>
      <c r="R555" s="27" t="str">
        <f aca="false">IF(A555="","",N(P555)+N(Q555))</f>
        <v/>
      </c>
      <c r="S555" s="28"/>
      <c r="T555" s="25"/>
      <c r="U555" s="26"/>
      <c r="V555" s="26"/>
      <c r="W555" s="26"/>
      <c r="X555" s="27" t="str">
        <f aca="false">IF(B555&lt;&gt;"SOLD","",IF(C555="Consignment",N(W555)-R555,N(U555)-R555-N(V555)))</f>
        <v/>
      </c>
      <c r="Y555" s="29" t="str">
        <f aca="false">IF(OR(X555="",N(R555)=0),"",X555/R555)</f>
        <v/>
      </c>
      <c r="Z555" s="30" t="str">
        <f aca="true">IF(O555="","",IF(T555="",TODAY(),T555)-O555)</f>
        <v/>
      </c>
      <c r="AA555" s="31" t="str">
        <f aca="false">IF(T555="","",TEXT(T555,"YYYY-MM"))</f>
        <v/>
      </c>
      <c r="AB555" s="27" t="str">
        <f aca="false">IF(X555="","",X555/2)</f>
        <v/>
      </c>
      <c r="AC555" s="21"/>
    </row>
    <row r="556" customFormat="false" ht="15" hidden="false" customHeight="false" outlineLevel="0" collapsed="false">
      <c r="A556" s="20"/>
      <c r="B556" s="21"/>
      <c r="C556" s="21"/>
      <c r="D556" s="21"/>
      <c r="E556" s="21"/>
      <c r="F556" s="21"/>
      <c r="G556" s="22"/>
      <c r="H556" s="21"/>
      <c r="I556" s="21"/>
      <c r="J556" s="21"/>
      <c r="K556" s="23"/>
      <c r="L556" s="24"/>
      <c r="M556" s="21"/>
      <c r="N556" s="21"/>
      <c r="O556" s="25"/>
      <c r="P556" s="26"/>
      <c r="Q556" s="27" t="str">
        <f aca="false">IF(A556="","",SUMIF(Expenses!$B$2:$B$3000,A556,Expenses!$E$2:$E$3000))</f>
        <v/>
      </c>
      <c r="R556" s="27" t="str">
        <f aca="false">IF(A556="","",N(P556)+N(Q556))</f>
        <v/>
      </c>
      <c r="S556" s="28"/>
      <c r="T556" s="25"/>
      <c r="U556" s="26"/>
      <c r="V556" s="26"/>
      <c r="W556" s="26"/>
      <c r="X556" s="27" t="str">
        <f aca="false">IF(B556&lt;&gt;"SOLD","",IF(C556="Consignment",N(W556)-R556,N(U556)-R556-N(V556)))</f>
        <v/>
      </c>
      <c r="Y556" s="29" t="str">
        <f aca="false">IF(OR(X556="",N(R556)=0),"",X556/R556)</f>
        <v/>
      </c>
      <c r="Z556" s="30" t="str">
        <f aca="true">IF(O556="","",IF(T556="",TODAY(),T556)-O556)</f>
        <v/>
      </c>
      <c r="AA556" s="31" t="str">
        <f aca="false">IF(T556="","",TEXT(T556,"YYYY-MM"))</f>
        <v/>
      </c>
      <c r="AB556" s="27" t="str">
        <f aca="false">IF(X556="","",X556/2)</f>
        <v/>
      </c>
      <c r="AC556" s="21"/>
    </row>
    <row r="557" customFormat="false" ht="15" hidden="false" customHeight="false" outlineLevel="0" collapsed="false">
      <c r="A557" s="20"/>
      <c r="B557" s="21"/>
      <c r="C557" s="21"/>
      <c r="D557" s="21"/>
      <c r="E557" s="21"/>
      <c r="F557" s="21"/>
      <c r="G557" s="22"/>
      <c r="H557" s="21"/>
      <c r="I557" s="21"/>
      <c r="J557" s="21"/>
      <c r="K557" s="23"/>
      <c r="L557" s="24"/>
      <c r="M557" s="21"/>
      <c r="N557" s="21"/>
      <c r="O557" s="25"/>
      <c r="P557" s="26"/>
      <c r="Q557" s="27" t="str">
        <f aca="false">IF(A557="","",SUMIF(Expenses!$B$2:$B$3000,A557,Expenses!$E$2:$E$3000))</f>
        <v/>
      </c>
      <c r="R557" s="27" t="str">
        <f aca="false">IF(A557="","",N(P557)+N(Q557))</f>
        <v/>
      </c>
      <c r="S557" s="28"/>
      <c r="T557" s="25"/>
      <c r="U557" s="26"/>
      <c r="V557" s="26"/>
      <c r="W557" s="26"/>
      <c r="X557" s="27" t="str">
        <f aca="false">IF(B557&lt;&gt;"SOLD","",IF(C557="Consignment",N(W557)-R557,N(U557)-R557-N(V557)))</f>
        <v/>
      </c>
      <c r="Y557" s="29" t="str">
        <f aca="false">IF(OR(X557="",N(R557)=0),"",X557/R557)</f>
        <v/>
      </c>
      <c r="Z557" s="30" t="str">
        <f aca="true">IF(O557="","",IF(T557="",TODAY(),T557)-O557)</f>
        <v/>
      </c>
      <c r="AA557" s="31" t="str">
        <f aca="false">IF(T557="","",TEXT(T557,"YYYY-MM"))</f>
        <v/>
      </c>
      <c r="AB557" s="27" t="str">
        <f aca="false">IF(X557="","",X557/2)</f>
        <v/>
      </c>
      <c r="AC557" s="21"/>
    </row>
    <row r="558" customFormat="false" ht="15" hidden="false" customHeight="false" outlineLevel="0" collapsed="false">
      <c r="A558" s="20"/>
      <c r="B558" s="21"/>
      <c r="C558" s="21"/>
      <c r="D558" s="21"/>
      <c r="E558" s="21"/>
      <c r="F558" s="21"/>
      <c r="G558" s="22"/>
      <c r="H558" s="21"/>
      <c r="I558" s="21"/>
      <c r="J558" s="21"/>
      <c r="K558" s="23"/>
      <c r="L558" s="24"/>
      <c r="M558" s="21"/>
      <c r="N558" s="21"/>
      <c r="O558" s="25"/>
      <c r="P558" s="26"/>
      <c r="Q558" s="27" t="str">
        <f aca="false">IF(A558="","",SUMIF(Expenses!$B$2:$B$3000,A558,Expenses!$E$2:$E$3000))</f>
        <v/>
      </c>
      <c r="R558" s="27" t="str">
        <f aca="false">IF(A558="","",N(P558)+N(Q558))</f>
        <v/>
      </c>
      <c r="S558" s="28"/>
      <c r="T558" s="25"/>
      <c r="U558" s="26"/>
      <c r="V558" s="26"/>
      <c r="W558" s="26"/>
      <c r="X558" s="27" t="str">
        <f aca="false">IF(B558&lt;&gt;"SOLD","",IF(C558="Consignment",N(W558)-R558,N(U558)-R558-N(V558)))</f>
        <v/>
      </c>
      <c r="Y558" s="29" t="str">
        <f aca="false">IF(OR(X558="",N(R558)=0),"",X558/R558)</f>
        <v/>
      </c>
      <c r="Z558" s="30" t="str">
        <f aca="true">IF(O558="","",IF(T558="",TODAY(),T558)-O558)</f>
        <v/>
      </c>
      <c r="AA558" s="31" t="str">
        <f aca="false">IF(T558="","",TEXT(T558,"YYYY-MM"))</f>
        <v/>
      </c>
      <c r="AB558" s="27" t="str">
        <f aca="false">IF(X558="","",X558/2)</f>
        <v/>
      </c>
      <c r="AC558" s="21"/>
    </row>
    <row r="559" customFormat="false" ht="15" hidden="false" customHeight="false" outlineLevel="0" collapsed="false">
      <c r="A559" s="20"/>
      <c r="B559" s="21"/>
      <c r="C559" s="21"/>
      <c r="D559" s="21"/>
      <c r="E559" s="21"/>
      <c r="F559" s="21"/>
      <c r="G559" s="22"/>
      <c r="H559" s="21"/>
      <c r="I559" s="21"/>
      <c r="J559" s="21"/>
      <c r="K559" s="23"/>
      <c r="L559" s="24"/>
      <c r="M559" s="21"/>
      <c r="N559" s="21"/>
      <c r="O559" s="25"/>
      <c r="P559" s="26"/>
      <c r="Q559" s="27" t="str">
        <f aca="false">IF(A559="","",SUMIF(Expenses!$B$2:$B$3000,A559,Expenses!$E$2:$E$3000))</f>
        <v/>
      </c>
      <c r="R559" s="27" t="str">
        <f aca="false">IF(A559="","",N(P559)+N(Q559))</f>
        <v/>
      </c>
      <c r="S559" s="28"/>
      <c r="T559" s="25"/>
      <c r="U559" s="26"/>
      <c r="V559" s="26"/>
      <c r="W559" s="26"/>
      <c r="X559" s="27" t="str">
        <f aca="false">IF(B559&lt;&gt;"SOLD","",IF(C559="Consignment",N(W559)-R559,N(U559)-R559-N(V559)))</f>
        <v/>
      </c>
      <c r="Y559" s="29" t="str">
        <f aca="false">IF(OR(X559="",N(R559)=0),"",X559/R559)</f>
        <v/>
      </c>
      <c r="Z559" s="30" t="str">
        <f aca="true">IF(O559="","",IF(T559="",TODAY(),T559)-O559)</f>
        <v/>
      </c>
      <c r="AA559" s="31" t="str">
        <f aca="false">IF(T559="","",TEXT(T559,"YYYY-MM"))</f>
        <v/>
      </c>
      <c r="AB559" s="27" t="str">
        <f aca="false">IF(X559="","",X559/2)</f>
        <v/>
      </c>
      <c r="AC559" s="21"/>
    </row>
    <row r="560" customFormat="false" ht="15" hidden="false" customHeight="false" outlineLevel="0" collapsed="false">
      <c r="A560" s="20"/>
      <c r="B560" s="21"/>
      <c r="C560" s="21"/>
      <c r="D560" s="21"/>
      <c r="E560" s="21"/>
      <c r="F560" s="21"/>
      <c r="G560" s="22"/>
      <c r="H560" s="21"/>
      <c r="I560" s="21"/>
      <c r="J560" s="21"/>
      <c r="K560" s="23"/>
      <c r="L560" s="24"/>
      <c r="M560" s="21"/>
      <c r="N560" s="21"/>
      <c r="O560" s="25"/>
      <c r="P560" s="26"/>
      <c r="Q560" s="27" t="str">
        <f aca="false">IF(A560="","",SUMIF(Expenses!$B$2:$B$3000,A560,Expenses!$E$2:$E$3000))</f>
        <v/>
      </c>
      <c r="R560" s="27" t="str">
        <f aca="false">IF(A560="","",N(P560)+N(Q560))</f>
        <v/>
      </c>
      <c r="S560" s="28"/>
      <c r="T560" s="25"/>
      <c r="U560" s="26"/>
      <c r="V560" s="26"/>
      <c r="W560" s="26"/>
      <c r="X560" s="27" t="str">
        <f aca="false">IF(B560&lt;&gt;"SOLD","",IF(C560="Consignment",N(W560)-R560,N(U560)-R560-N(V560)))</f>
        <v/>
      </c>
      <c r="Y560" s="29" t="str">
        <f aca="false">IF(OR(X560="",N(R560)=0),"",X560/R560)</f>
        <v/>
      </c>
      <c r="Z560" s="30" t="str">
        <f aca="true">IF(O560="","",IF(T560="",TODAY(),T560)-O560)</f>
        <v/>
      </c>
      <c r="AA560" s="31" t="str">
        <f aca="false">IF(T560="","",TEXT(T560,"YYYY-MM"))</f>
        <v/>
      </c>
      <c r="AB560" s="27" t="str">
        <f aca="false">IF(X560="","",X560/2)</f>
        <v/>
      </c>
      <c r="AC560" s="21"/>
    </row>
    <row r="561" customFormat="false" ht="15" hidden="false" customHeight="false" outlineLevel="0" collapsed="false">
      <c r="A561" s="20"/>
      <c r="B561" s="21"/>
      <c r="C561" s="21"/>
      <c r="D561" s="21"/>
      <c r="E561" s="21"/>
      <c r="F561" s="21"/>
      <c r="G561" s="22"/>
      <c r="H561" s="21"/>
      <c r="I561" s="21"/>
      <c r="J561" s="21"/>
      <c r="K561" s="23"/>
      <c r="L561" s="24"/>
      <c r="M561" s="21"/>
      <c r="N561" s="21"/>
      <c r="O561" s="25"/>
      <c r="P561" s="26"/>
      <c r="Q561" s="27" t="str">
        <f aca="false">IF(A561="","",SUMIF(Expenses!$B$2:$B$3000,A561,Expenses!$E$2:$E$3000))</f>
        <v/>
      </c>
      <c r="R561" s="27" t="str">
        <f aca="false">IF(A561="","",N(P561)+N(Q561))</f>
        <v/>
      </c>
      <c r="S561" s="28"/>
      <c r="T561" s="25"/>
      <c r="U561" s="26"/>
      <c r="V561" s="26"/>
      <c r="W561" s="26"/>
      <c r="X561" s="27" t="str">
        <f aca="false">IF(B561&lt;&gt;"SOLD","",IF(C561="Consignment",N(W561)-R561,N(U561)-R561-N(V561)))</f>
        <v/>
      </c>
      <c r="Y561" s="29" t="str">
        <f aca="false">IF(OR(X561="",N(R561)=0),"",X561/R561)</f>
        <v/>
      </c>
      <c r="Z561" s="30" t="str">
        <f aca="true">IF(O561="","",IF(T561="",TODAY(),T561)-O561)</f>
        <v/>
      </c>
      <c r="AA561" s="31" t="str">
        <f aca="false">IF(T561="","",TEXT(T561,"YYYY-MM"))</f>
        <v/>
      </c>
      <c r="AB561" s="27" t="str">
        <f aca="false">IF(X561="","",X561/2)</f>
        <v/>
      </c>
      <c r="AC561" s="21"/>
    </row>
    <row r="562" customFormat="false" ht="15" hidden="false" customHeight="false" outlineLevel="0" collapsed="false">
      <c r="A562" s="20"/>
      <c r="B562" s="21"/>
      <c r="C562" s="21"/>
      <c r="D562" s="21"/>
      <c r="E562" s="21"/>
      <c r="F562" s="21"/>
      <c r="G562" s="22"/>
      <c r="H562" s="21"/>
      <c r="I562" s="21"/>
      <c r="J562" s="21"/>
      <c r="K562" s="23"/>
      <c r="L562" s="24"/>
      <c r="M562" s="21"/>
      <c r="N562" s="21"/>
      <c r="O562" s="25"/>
      <c r="P562" s="26"/>
      <c r="Q562" s="27" t="str">
        <f aca="false">IF(A562="","",SUMIF(Expenses!$B$2:$B$3000,A562,Expenses!$E$2:$E$3000))</f>
        <v/>
      </c>
      <c r="R562" s="27" t="str">
        <f aca="false">IF(A562="","",N(P562)+N(Q562))</f>
        <v/>
      </c>
      <c r="S562" s="28"/>
      <c r="T562" s="25"/>
      <c r="U562" s="26"/>
      <c r="V562" s="26"/>
      <c r="W562" s="26"/>
      <c r="X562" s="27" t="str">
        <f aca="false">IF(B562&lt;&gt;"SOLD","",IF(C562="Consignment",N(W562)-R562,N(U562)-R562-N(V562)))</f>
        <v/>
      </c>
      <c r="Y562" s="29" t="str">
        <f aca="false">IF(OR(X562="",N(R562)=0),"",X562/R562)</f>
        <v/>
      </c>
      <c r="Z562" s="30" t="str">
        <f aca="true">IF(O562="","",IF(T562="",TODAY(),T562)-O562)</f>
        <v/>
      </c>
      <c r="AA562" s="31" t="str">
        <f aca="false">IF(T562="","",TEXT(T562,"YYYY-MM"))</f>
        <v/>
      </c>
      <c r="AB562" s="27" t="str">
        <f aca="false">IF(X562="","",X562/2)</f>
        <v/>
      </c>
      <c r="AC562" s="21"/>
    </row>
    <row r="563" customFormat="false" ht="15" hidden="false" customHeight="false" outlineLevel="0" collapsed="false">
      <c r="A563" s="20"/>
      <c r="B563" s="21"/>
      <c r="C563" s="21"/>
      <c r="D563" s="21"/>
      <c r="E563" s="21"/>
      <c r="F563" s="21"/>
      <c r="G563" s="22"/>
      <c r="H563" s="21"/>
      <c r="I563" s="21"/>
      <c r="J563" s="21"/>
      <c r="K563" s="23"/>
      <c r="L563" s="24"/>
      <c r="M563" s="21"/>
      <c r="N563" s="21"/>
      <c r="O563" s="25"/>
      <c r="P563" s="26"/>
      <c r="Q563" s="27" t="str">
        <f aca="false">IF(A563="","",SUMIF(Expenses!$B$2:$B$3000,A563,Expenses!$E$2:$E$3000))</f>
        <v/>
      </c>
      <c r="R563" s="27" t="str">
        <f aca="false">IF(A563="","",N(P563)+N(Q563))</f>
        <v/>
      </c>
      <c r="S563" s="28"/>
      <c r="T563" s="25"/>
      <c r="U563" s="26"/>
      <c r="V563" s="26"/>
      <c r="W563" s="26"/>
      <c r="X563" s="27" t="str">
        <f aca="false">IF(B563&lt;&gt;"SOLD","",IF(C563="Consignment",N(W563)-R563,N(U563)-R563-N(V563)))</f>
        <v/>
      </c>
      <c r="Y563" s="29" t="str">
        <f aca="false">IF(OR(X563="",N(R563)=0),"",X563/R563)</f>
        <v/>
      </c>
      <c r="Z563" s="30" t="str">
        <f aca="true">IF(O563="","",IF(T563="",TODAY(),T563)-O563)</f>
        <v/>
      </c>
      <c r="AA563" s="31" t="str">
        <f aca="false">IF(T563="","",TEXT(T563,"YYYY-MM"))</f>
        <v/>
      </c>
      <c r="AB563" s="27" t="str">
        <f aca="false">IF(X563="","",X563/2)</f>
        <v/>
      </c>
      <c r="AC563" s="21"/>
    </row>
    <row r="564" customFormat="false" ht="15" hidden="false" customHeight="false" outlineLevel="0" collapsed="false">
      <c r="A564" s="20"/>
      <c r="B564" s="21"/>
      <c r="C564" s="21"/>
      <c r="D564" s="21"/>
      <c r="E564" s="21"/>
      <c r="F564" s="21"/>
      <c r="G564" s="22"/>
      <c r="H564" s="21"/>
      <c r="I564" s="21"/>
      <c r="J564" s="21"/>
      <c r="K564" s="23"/>
      <c r="L564" s="24"/>
      <c r="M564" s="21"/>
      <c r="N564" s="21"/>
      <c r="O564" s="25"/>
      <c r="P564" s="26"/>
      <c r="Q564" s="27" t="str">
        <f aca="false">IF(A564="","",SUMIF(Expenses!$B$2:$B$3000,A564,Expenses!$E$2:$E$3000))</f>
        <v/>
      </c>
      <c r="R564" s="27" t="str">
        <f aca="false">IF(A564="","",N(P564)+N(Q564))</f>
        <v/>
      </c>
      <c r="S564" s="28"/>
      <c r="T564" s="25"/>
      <c r="U564" s="26"/>
      <c r="V564" s="26"/>
      <c r="W564" s="26"/>
      <c r="X564" s="27" t="str">
        <f aca="false">IF(B564&lt;&gt;"SOLD","",IF(C564="Consignment",N(W564)-R564,N(U564)-R564-N(V564)))</f>
        <v/>
      </c>
      <c r="Y564" s="29" t="str">
        <f aca="false">IF(OR(X564="",N(R564)=0),"",X564/R564)</f>
        <v/>
      </c>
      <c r="Z564" s="30" t="str">
        <f aca="true">IF(O564="","",IF(T564="",TODAY(),T564)-O564)</f>
        <v/>
      </c>
      <c r="AA564" s="31" t="str">
        <f aca="false">IF(T564="","",TEXT(T564,"YYYY-MM"))</f>
        <v/>
      </c>
      <c r="AB564" s="27" t="str">
        <f aca="false">IF(X564="","",X564/2)</f>
        <v/>
      </c>
      <c r="AC564" s="21"/>
    </row>
    <row r="565" customFormat="false" ht="15" hidden="false" customHeight="false" outlineLevel="0" collapsed="false">
      <c r="A565" s="20"/>
      <c r="B565" s="21"/>
      <c r="C565" s="21"/>
      <c r="D565" s="21"/>
      <c r="E565" s="21"/>
      <c r="F565" s="21"/>
      <c r="G565" s="22"/>
      <c r="H565" s="21"/>
      <c r="I565" s="21"/>
      <c r="J565" s="21"/>
      <c r="K565" s="23"/>
      <c r="L565" s="24"/>
      <c r="M565" s="21"/>
      <c r="N565" s="21"/>
      <c r="O565" s="25"/>
      <c r="P565" s="26"/>
      <c r="Q565" s="27" t="str">
        <f aca="false">IF(A565="","",SUMIF(Expenses!$B$2:$B$3000,A565,Expenses!$E$2:$E$3000))</f>
        <v/>
      </c>
      <c r="R565" s="27" t="str">
        <f aca="false">IF(A565="","",N(P565)+N(Q565))</f>
        <v/>
      </c>
      <c r="S565" s="28"/>
      <c r="T565" s="25"/>
      <c r="U565" s="26"/>
      <c r="V565" s="26"/>
      <c r="W565" s="26"/>
      <c r="X565" s="27" t="str">
        <f aca="false">IF(B565&lt;&gt;"SOLD","",IF(C565="Consignment",N(W565)-R565,N(U565)-R565-N(V565)))</f>
        <v/>
      </c>
      <c r="Y565" s="29" t="str">
        <f aca="false">IF(OR(X565="",N(R565)=0),"",X565/R565)</f>
        <v/>
      </c>
      <c r="Z565" s="30" t="str">
        <f aca="true">IF(O565="","",IF(T565="",TODAY(),T565)-O565)</f>
        <v/>
      </c>
      <c r="AA565" s="31" t="str">
        <f aca="false">IF(T565="","",TEXT(T565,"YYYY-MM"))</f>
        <v/>
      </c>
      <c r="AB565" s="27" t="str">
        <f aca="false">IF(X565="","",X565/2)</f>
        <v/>
      </c>
      <c r="AC565" s="21"/>
    </row>
    <row r="566" customFormat="false" ht="15" hidden="false" customHeight="false" outlineLevel="0" collapsed="false">
      <c r="A566" s="20"/>
      <c r="B566" s="21"/>
      <c r="C566" s="21"/>
      <c r="D566" s="21"/>
      <c r="E566" s="21"/>
      <c r="F566" s="21"/>
      <c r="G566" s="22"/>
      <c r="H566" s="21"/>
      <c r="I566" s="21"/>
      <c r="J566" s="21"/>
      <c r="K566" s="23"/>
      <c r="L566" s="24"/>
      <c r="M566" s="21"/>
      <c r="N566" s="21"/>
      <c r="O566" s="25"/>
      <c r="P566" s="26"/>
      <c r="Q566" s="27" t="str">
        <f aca="false">IF(A566="","",SUMIF(Expenses!$B$2:$B$3000,A566,Expenses!$E$2:$E$3000))</f>
        <v/>
      </c>
      <c r="R566" s="27" t="str">
        <f aca="false">IF(A566="","",N(P566)+N(Q566))</f>
        <v/>
      </c>
      <c r="S566" s="28"/>
      <c r="T566" s="25"/>
      <c r="U566" s="26"/>
      <c r="V566" s="26"/>
      <c r="W566" s="26"/>
      <c r="X566" s="27" t="str">
        <f aca="false">IF(B566&lt;&gt;"SOLD","",IF(C566="Consignment",N(W566)-R566,N(U566)-R566-N(V566)))</f>
        <v/>
      </c>
      <c r="Y566" s="29" t="str">
        <f aca="false">IF(OR(X566="",N(R566)=0),"",X566/R566)</f>
        <v/>
      </c>
      <c r="Z566" s="30" t="str">
        <f aca="true">IF(O566="","",IF(T566="",TODAY(),T566)-O566)</f>
        <v/>
      </c>
      <c r="AA566" s="31" t="str">
        <f aca="false">IF(T566="","",TEXT(T566,"YYYY-MM"))</f>
        <v/>
      </c>
      <c r="AB566" s="27" t="str">
        <f aca="false">IF(X566="","",X566/2)</f>
        <v/>
      </c>
      <c r="AC566" s="21"/>
    </row>
    <row r="567" customFormat="false" ht="15" hidden="false" customHeight="false" outlineLevel="0" collapsed="false">
      <c r="A567" s="20"/>
      <c r="B567" s="21"/>
      <c r="C567" s="21"/>
      <c r="D567" s="21"/>
      <c r="E567" s="21"/>
      <c r="F567" s="21"/>
      <c r="G567" s="22"/>
      <c r="H567" s="21"/>
      <c r="I567" s="21"/>
      <c r="J567" s="21"/>
      <c r="K567" s="23"/>
      <c r="L567" s="24"/>
      <c r="M567" s="21"/>
      <c r="N567" s="21"/>
      <c r="O567" s="25"/>
      <c r="P567" s="26"/>
      <c r="Q567" s="27" t="str">
        <f aca="false">IF(A567="","",SUMIF(Expenses!$B$2:$B$3000,A567,Expenses!$E$2:$E$3000))</f>
        <v/>
      </c>
      <c r="R567" s="27" t="str">
        <f aca="false">IF(A567="","",N(P567)+N(Q567))</f>
        <v/>
      </c>
      <c r="S567" s="28"/>
      <c r="T567" s="25"/>
      <c r="U567" s="26"/>
      <c r="V567" s="26"/>
      <c r="W567" s="26"/>
      <c r="X567" s="27" t="str">
        <f aca="false">IF(B567&lt;&gt;"SOLD","",IF(C567="Consignment",N(W567)-R567,N(U567)-R567-N(V567)))</f>
        <v/>
      </c>
      <c r="Y567" s="29" t="str">
        <f aca="false">IF(OR(X567="",N(R567)=0),"",X567/R567)</f>
        <v/>
      </c>
      <c r="Z567" s="30" t="str">
        <f aca="true">IF(O567="","",IF(T567="",TODAY(),T567)-O567)</f>
        <v/>
      </c>
      <c r="AA567" s="31" t="str">
        <f aca="false">IF(T567="","",TEXT(T567,"YYYY-MM"))</f>
        <v/>
      </c>
      <c r="AB567" s="27" t="str">
        <f aca="false">IF(X567="","",X567/2)</f>
        <v/>
      </c>
      <c r="AC567" s="21"/>
    </row>
    <row r="568" customFormat="false" ht="15" hidden="false" customHeight="false" outlineLevel="0" collapsed="false">
      <c r="A568" s="20"/>
      <c r="B568" s="21"/>
      <c r="C568" s="21"/>
      <c r="D568" s="21"/>
      <c r="E568" s="21"/>
      <c r="F568" s="21"/>
      <c r="G568" s="22"/>
      <c r="H568" s="21"/>
      <c r="I568" s="21"/>
      <c r="J568" s="21"/>
      <c r="K568" s="23"/>
      <c r="L568" s="24"/>
      <c r="M568" s="21"/>
      <c r="N568" s="21"/>
      <c r="O568" s="25"/>
      <c r="P568" s="26"/>
      <c r="Q568" s="27" t="str">
        <f aca="false">IF(A568="","",SUMIF(Expenses!$B$2:$B$3000,A568,Expenses!$E$2:$E$3000))</f>
        <v/>
      </c>
      <c r="R568" s="27" t="str">
        <f aca="false">IF(A568="","",N(P568)+N(Q568))</f>
        <v/>
      </c>
      <c r="S568" s="28"/>
      <c r="T568" s="25"/>
      <c r="U568" s="26"/>
      <c r="V568" s="26"/>
      <c r="W568" s="26"/>
      <c r="X568" s="27" t="str">
        <f aca="false">IF(B568&lt;&gt;"SOLD","",IF(C568="Consignment",N(W568)-R568,N(U568)-R568-N(V568)))</f>
        <v/>
      </c>
      <c r="Y568" s="29" t="str">
        <f aca="false">IF(OR(X568="",N(R568)=0),"",X568/R568)</f>
        <v/>
      </c>
      <c r="Z568" s="30" t="str">
        <f aca="true">IF(O568="","",IF(T568="",TODAY(),T568)-O568)</f>
        <v/>
      </c>
      <c r="AA568" s="31" t="str">
        <f aca="false">IF(T568="","",TEXT(T568,"YYYY-MM"))</f>
        <v/>
      </c>
      <c r="AB568" s="27" t="str">
        <f aca="false">IF(X568="","",X568/2)</f>
        <v/>
      </c>
      <c r="AC568" s="21"/>
    </row>
    <row r="569" customFormat="false" ht="15" hidden="false" customHeight="false" outlineLevel="0" collapsed="false">
      <c r="A569" s="20"/>
      <c r="B569" s="21"/>
      <c r="C569" s="21"/>
      <c r="D569" s="21"/>
      <c r="E569" s="21"/>
      <c r="F569" s="21"/>
      <c r="G569" s="22"/>
      <c r="H569" s="21"/>
      <c r="I569" s="21"/>
      <c r="J569" s="21"/>
      <c r="K569" s="23"/>
      <c r="L569" s="24"/>
      <c r="M569" s="21"/>
      <c r="N569" s="21"/>
      <c r="O569" s="25"/>
      <c r="P569" s="26"/>
      <c r="Q569" s="27" t="str">
        <f aca="false">IF(A569="","",SUMIF(Expenses!$B$2:$B$3000,A569,Expenses!$E$2:$E$3000))</f>
        <v/>
      </c>
      <c r="R569" s="27" t="str">
        <f aca="false">IF(A569="","",N(P569)+N(Q569))</f>
        <v/>
      </c>
      <c r="S569" s="28"/>
      <c r="T569" s="25"/>
      <c r="U569" s="26"/>
      <c r="V569" s="26"/>
      <c r="W569" s="26"/>
      <c r="X569" s="27" t="str">
        <f aca="false">IF(B569&lt;&gt;"SOLD","",IF(C569="Consignment",N(W569)-R569,N(U569)-R569-N(V569)))</f>
        <v/>
      </c>
      <c r="Y569" s="29" t="str">
        <f aca="false">IF(OR(X569="",N(R569)=0),"",X569/R569)</f>
        <v/>
      </c>
      <c r="Z569" s="30" t="str">
        <f aca="true">IF(O569="","",IF(T569="",TODAY(),T569)-O569)</f>
        <v/>
      </c>
      <c r="AA569" s="31" t="str">
        <f aca="false">IF(T569="","",TEXT(T569,"YYYY-MM"))</f>
        <v/>
      </c>
      <c r="AB569" s="27" t="str">
        <f aca="false">IF(X569="","",X569/2)</f>
        <v/>
      </c>
      <c r="AC569" s="21"/>
    </row>
    <row r="570" customFormat="false" ht="15" hidden="false" customHeight="false" outlineLevel="0" collapsed="false">
      <c r="A570" s="20"/>
      <c r="B570" s="21"/>
      <c r="C570" s="21"/>
      <c r="D570" s="21"/>
      <c r="E570" s="21"/>
      <c r="F570" s="21"/>
      <c r="G570" s="22"/>
      <c r="H570" s="21"/>
      <c r="I570" s="21"/>
      <c r="J570" s="21"/>
      <c r="K570" s="23"/>
      <c r="L570" s="24"/>
      <c r="M570" s="21"/>
      <c r="N570" s="21"/>
      <c r="O570" s="25"/>
      <c r="P570" s="26"/>
      <c r="Q570" s="27" t="str">
        <f aca="false">IF(A570="","",SUMIF(Expenses!$B$2:$B$3000,A570,Expenses!$E$2:$E$3000))</f>
        <v/>
      </c>
      <c r="R570" s="27" t="str">
        <f aca="false">IF(A570="","",N(P570)+N(Q570))</f>
        <v/>
      </c>
      <c r="S570" s="28"/>
      <c r="T570" s="25"/>
      <c r="U570" s="26"/>
      <c r="V570" s="26"/>
      <c r="W570" s="26"/>
      <c r="X570" s="27" t="str">
        <f aca="false">IF(B570&lt;&gt;"SOLD","",IF(C570="Consignment",N(W570)-R570,N(U570)-R570-N(V570)))</f>
        <v/>
      </c>
      <c r="Y570" s="29" t="str">
        <f aca="false">IF(OR(X570="",N(R570)=0),"",X570/R570)</f>
        <v/>
      </c>
      <c r="Z570" s="30" t="str">
        <f aca="true">IF(O570="","",IF(T570="",TODAY(),T570)-O570)</f>
        <v/>
      </c>
      <c r="AA570" s="31" t="str">
        <f aca="false">IF(T570="","",TEXT(T570,"YYYY-MM"))</f>
        <v/>
      </c>
      <c r="AB570" s="27" t="str">
        <f aca="false">IF(X570="","",X570/2)</f>
        <v/>
      </c>
      <c r="AC570" s="21"/>
    </row>
    <row r="571" customFormat="false" ht="15" hidden="false" customHeight="false" outlineLevel="0" collapsed="false">
      <c r="A571" s="20"/>
      <c r="B571" s="21"/>
      <c r="C571" s="21"/>
      <c r="D571" s="21"/>
      <c r="E571" s="21"/>
      <c r="F571" s="21"/>
      <c r="G571" s="22"/>
      <c r="H571" s="21"/>
      <c r="I571" s="21"/>
      <c r="J571" s="21"/>
      <c r="K571" s="23"/>
      <c r="L571" s="24"/>
      <c r="M571" s="21"/>
      <c r="N571" s="21"/>
      <c r="O571" s="25"/>
      <c r="P571" s="26"/>
      <c r="Q571" s="27" t="str">
        <f aca="false">IF(A571="","",SUMIF(Expenses!$B$2:$B$3000,A571,Expenses!$E$2:$E$3000))</f>
        <v/>
      </c>
      <c r="R571" s="27" t="str">
        <f aca="false">IF(A571="","",N(P571)+N(Q571))</f>
        <v/>
      </c>
      <c r="S571" s="28"/>
      <c r="T571" s="25"/>
      <c r="U571" s="26"/>
      <c r="V571" s="26"/>
      <c r="W571" s="26"/>
      <c r="X571" s="27" t="str">
        <f aca="false">IF(B571&lt;&gt;"SOLD","",IF(C571="Consignment",N(W571)-R571,N(U571)-R571-N(V571)))</f>
        <v/>
      </c>
      <c r="Y571" s="29" t="str">
        <f aca="false">IF(OR(X571="",N(R571)=0),"",X571/R571)</f>
        <v/>
      </c>
      <c r="Z571" s="30" t="str">
        <f aca="true">IF(O571="","",IF(T571="",TODAY(),T571)-O571)</f>
        <v/>
      </c>
      <c r="AA571" s="31" t="str">
        <f aca="false">IF(T571="","",TEXT(T571,"YYYY-MM"))</f>
        <v/>
      </c>
      <c r="AB571" s="27" t="str">
        <f aca="false">IF(X571="","",X571/2)</f>
        <v/>
      </c>
      <c r="AC571" s="21"/>
    </row>
    <row r="572" customFormat="false" ht="15" hidden="false" customHeight="false" outlineLevel="0" collapsed="false">
      <c r="A572" s="20"/>
      <c r="B572" s="21"/>
      <c r="C572" s="21"/>
      <c r="D572" s="21"/>
      <c r="E572" s="21"/>
      <c r="F572" s="21"/>
      <c r="G572" s="22"/>
      <c r="H572" s="21"/>
      <c r="I572" s="21"/>
      <c r="J572" s="21"/>
      <c r="K572" s="23"/>
      <c r="L572" s="24"/>
      <c r="M572" s="21"/>
      <c r="N572" s="21"/>
      <c r="O572" s="25"/>
      <c r="P572" s="26"/>
      <c r="Q572" s="27" t="str">
        <f aca="false">IF(A572="","",SUMIF(Expenses!$B$2:$B$3000,A572,Expenses!$E$2:$E$3000))</f>
        <v/>
      </c>
      <c r="R572" s="27" t="str">
        <f aca="false">IF(A572="","",N(P572)+N(Q572))</f>
        <v/>
      </c>
      <c r="S572" s="28"/>
      <c r="T572" s="25"/>
      <c r="U572" s="26"/>
      <c r="V572" s="26"/>
      <c r="W572" s="26"/>
      <c r="X572" s="27" t="str">
        <f aca="false">IF(B572&lt;&gt;"SOLD","",IF(C572="Consignment",N(W572)-R572,N(U572)-R572-N(V572)))</f>
        <v/>
      </c>
      <c r="Y572" s="29" t="str">
        <f aca="false">IF(OR(X572="",N(R572)=0),"",X572/R572)</f>
        <v/>
      </c>
      <c r="Z572" s="30" t="str">
        <f aca="true">IF(O572="","",IF(T572="",TODAY(),T572)-O572)</f>
        <v/>
      </c>
      <c r="AA572" s="31" t="str">
        <f aca="false">IF(T572="","",TEXT(T572,"YYYY-MM"))</f>
        <v/>
      </c>
      <c r="AB572" s="27" t="str">
        <f aca="false">IF(X572="","",X572/2)</f>
        <v/>
      </c>
      <c r="AC572" s="21"/>
    </row>
    <row r="573" customFormat="false" ht="15" hidden="false" customHeight="false" outlineLevel="0" collapsed="false">
      <c r="A573" s="20"/>
      <c r="B573" s="21"/>
      <c r="C573" s="21"/>
      <c r="D573" s="21"/>
      <c r="E573" s="21"/>
      <c r="F573" s="21"/>
      <c r="G573" s="22"/>
      <c r="H573" s="21"/>
      <c r="I573" s="21"/>
      <c r="J573" s="21"/>
      <c r="K573" s="23"/>
      <c r="L573" s="24"/>
      <c r="M573" s="21"/>
      <c r="N573" s="21"/>
      <c r="O573" s="25"/>
      <c r="P573" s="26"/>
      <c r="Q573" s="27" t="str">
        <f aca="false">IF(A573="","",SUMIF(Expenses!$B$2:$B$3000,A573,Expenses!$E$2:$E$3000))</f>
        <v/>
      </c>
      <c r="R573" s="27" t="str">
        <f aca="false">IF(A573="","",N(P573)+N(Q573))</f>
        <v/>
      </c>
      <c r="S573" s="28"/>
      <c r="T573" s="25"/>
      <c r="U573" s="26"/>
      <c r="V573" s="26"/>
      <c r="W573" s="26"/>
      <c r="X573" s="27" t="str">
        <f aca="false">IF(B573&lt;&gt;"SOLD","",IF(C573="Consignment",N(W573)-R573,N(U573)-R573-N(V573)))</f>
        <v/>
      </c>
      <c r="Y573" s="29" t="str">
        <f aca="false">IF(OR(X573="",N(R573)=0),"",X573/R573)</f>
        <v/>
      </c>
      <c r="Z573" s="30" t="str">
        <f aca="true">IF(O573="","",IF(T573="",TODAY(),T573)-O573)</f>
        <v/>
      </c>
      <c r="AA573" s="31" t="str">
        <f aca="false">IF(T573="","",TEXT(T573,"YYYY-MM"))</f>
        <v/>
      </c>
      <c r="AB573" s="27" t="str">
        <f aca="false">IF(X573="","",X573/2)</f>
        <v/>
      </c>
      <c r="AC573" s="21"/>
    </row>
    <row r="574" customFormat="false" ht="15" hidden="false" customHeight="false" outlineLevel="0" collapsed="false">
      <c r="A574" s="20"/>
      <c r="B574" s="21"/>
      <c r="C574" s="21"/>
      <c r="D574" s="21"/>
      <c r="E574" s="21"/>
      <c r="F574" s="21"/>
      <c r="G574" s="22"/>
      <c r="H574" s="21"/>
      <c r="I574" s="21"/>
      <c r="J574" s="21"/>
      <c r="K574" s="23"/>
      <c r="L574" s="24"/>
      <c r="M574" s="21"/>
      <c r="N574" s="21"/>
      <c r="O574" s="25"/>
      <c r="P574" s="26"/>
      <c r="Q574" s="27" t="str">
        <f aca="false">IF(A574="","",SUMIF(Expenses!$B$2:$B$3000,A574,Expenses!$E$2:$E$3000))</f>
        <v/>
      </c>
      <c r="R574" s="27" t="str">
        <f aca="false">IF(A574="","",N(P574)+N(Q574))</f>
        <v/>
      </c>
      <c r="S574" s="28"/>
      <c r="T574" s="25"/>
      <c r="U574" s="26"/>
      <c r="V574" s="26"/>
      <c r="W574" s="26"/>
      <c r="X574" s="27" t="str">
        <f aca="false">IF(B574&lt;&gt;"SOLD","",IF(C574="Consignment",N(W574)-R574,N(U574)-R574-N(V574)))</f>
        <v/>
      </c>
      <c r="Y574" s="29" t="str">
        <f aca="false">IF(OR(X574="",N(R574)=0),"",X574/R574)</f>
        <v/>
      </c>
      <c r="Z574" s="30" t="str">
        <f aca="true">IF(O574="","",IF(T574="",TODAY(),T574)-O574)</f>
        <v/>
      </c>
      <c r="AA574" s="31" t="str">
        <f aca="false">IF(T574="","",TEXT(T574,"YYYY-MM"))</f>
        <v/>
      </c>
      <c r="AB574" s="27" t="str">
        <f aca="false">IF(X574="","",X574/2)</f>
        <v/>
      </c>
      <c r="AC574" s="21"/>
    </row>
    <row r="575" customFormat="false" ht="15" hidden="false" customHeight="false" outlineLevel="0" collapsed="false">
      <c r="A575" s="20"/>
      <c r="B575" s="21"/>
      <c r="C575" s="21"/>
      <c r="D575" s="21"/>
      <c r="E575" s="21"/>
      <c r="F575" s="21"/>
      <c r="G575" s="22"/>
      <c r="H575" s="21"/>
      <c r="I575" s="21"/>
      <c r="J575" s="21"/>
      <c r="K575" s="23"/>
      <c r="L575" s="24"/>
      <c r="M575" s="21"/>
      <c r="N575" s="21"/>
      <c r="O575" s="25"/>
      <c r="P575" s="26"/>
      <c r="Q575" s="27" t="str">
        <f aca="false">IF(A575="","",SUMIF(Expenses!$B$2:$B$3000,A575,Expenses!$E$2:$E$3000))</f>
        <v/>
      </c>
      <c r="R575" s="27" t="str">
        <f aca="false">IF(A575="","",N(P575)+N(Q575))</f>
        <v/>
      </c>
      <c r="S575" s="28"/>
      <c r="T575" s="25"/>
      <c r="U575" s="26"/>
      <c r="V575" s="26"/>
      <c r="W575" s="26"/>
      <c r="X575" s="27" t="str">
        <f aca="false">IF(B575&lt;&gt;"SOLD","",IF(C575="Consignment",N(W575)-R575,N(U575)-R575-N(V575)))</f>
        <v/>
      </c>
      <c r="Y575" s="29" t="str">
        <f aca="false">IF(OR(X575="",N(R575)=0),"",X575/R575)</f>
        <v/>
      </c>
      <c r="Z575" s="30" t="str">
        <f aca="true">IF(O575="","",IF(T575="",TODAY(),T575)-O575)</f>
        <v/>
      </c>
      <c r="AA575" s="31" t="str">
        <f aca="false">IF(T575="","",TEXT(T575,"YYYY-MM"))</f>
        <v/>
      </c>
      <c r="AB575" s="27" t="str">
        <f aca="false">IF(X575="","",X575/2)</f>
        <v/>
      </c>
      <c r="AC575" s="21"/>
    </row>
    <row r="576" customFormat="false" ht="15" hidden="false" customHeight="false" outlineLevel="0" collapsed="false">
      <c r="A576" s="20"/>
      <c r="B576" s="21"/>
      <c r="C576" s="21"/>
      <c r="D576" s="21"/>
      <c r="E576" s="21"/>
      <c r="F576" s="21"/>
      <c r="G576" s="22"/>
      <c r="H576" s="21"/>
      <c r="I576" s="21"/>
      <c r="J576" s="21"/>
      <c r="K576" s="23"/>
      <c r="L576" s="24"/>
      <c r="M576" s="21"/>
      <c r="N576" s="21"/>
      <c r="O576" s="25"/>
      <c r="P576" s="26"/>
      <c r="Q576" s="27" t="str">
        <f aca="false">IF(A576="","",SUMIF(Expenses!$B$2:$B$3000,A576,Expenses!$E$2:$E$3000))</f>
        <v/>
      </c>
      <c r="R576" s="27" t="str">
        <f aca="false">IF(A576="","",N(P576)+N(Q576))</f>
        <v/>
      </c>
      <c r="S576" s="28"/>
      <c r="T576" s="25"/>
      <c r="U576" s="26"/>
      <c r="V576" s="26"/>
      <c r="W576" s="26"/>
      <c r="X576" s="27" t="str">
        <f aca="false">IF(B576&lt;&gt;"SOLD","",IF(C576="Consignment",N(W576)-R576,N(U576)-R576-N(V576)))</f>
        <v/>
      </c>
      <c r="Y576" s="29" t="str">
        <f aca="false">IF(OR(X576="",N(R576)=0),"",X576/R576)</f>
        <v/>
      </c>
      <c r="Z576" s="30" t="str">
        <f aca="true">IF(O576="","",IF(T576="",TODAY(),T576)-O576)</f>
        <v/>
      </c>
      <c r="AA576" s="31" t="str">
        <f aca="false">IF(T576="","",TEXT(T576,"YYYY-MM"))</f>
        <v/>
      </c>
      <c r="AB576" s="27" t="str">
        <f aca="false">IF(X576="","",X576/2)</f>
        <v/>
      </c>
      <c r="AC576" s="21"/>
    </row>
    <row r="577" customFormat="false" ht="15" hidden="false" customHeight="false" outlineLevel="0" collapsed="false">
      <c r="A577" s="20"/>
      <c r="B577" s="21"/>
      <c r="C577" s="21"/>
      <c r="D577" s="21"/>
      <c r="E577" s="21"/>
      <c r="F577" s="21"/>
      <c r="G577" s="22"/>
      <c r="H577" s="21"/>
      <c r="I577" s="21"/>
      <c r="J577" s="21"/>
      <c r="K577" s="23"/>
      <c r="L577" s="24"/>
      <c r="M577" s="21"/>
      <c r="N577" s="21"/>
      <c r="O577" s="25"/>
      <c r="P577" s="26"/>
      <c r="Q577" s="27" t="str">
        <f aca="false">IF(A577="","",SUMIF(Expenses!$B$2:$B$3000,A577,Expenses!$E$2:$E$3000))</f>
        <v/>
      </c>
      <c r="R577" s="27" t="str">
        <f aca="false">IF(A577="","",N(P577)+N(Q577))</f>
        <v/>
      </c>
      <c r="S577" s="28"/>
      <c r="T577" s="25"/>
      <c r="U577" s="26"/>
      <c r="V577" s="26"/>
      <c r="W577" s="26"/>
      <c r="X577" s="27" t="str">
        <f aca="false">IF(B577&lt;&gt;"SOLD","",IF(C577="Consignment",N(W577)-R577,N(U577)-R577-N(V577)))</f>
        <v/>
      </c>
      <c r="Y577" s="29" t="str">
        <f aca="false">IF(OR(X577="",N(R577)=0),"",X577/R577)</f>
        <v/>
      </c>
      <c r="Z577" s="30" t="str">
        <f aca="true">IF(O577="","",IF(T577="",TODAY(),T577)-O577)</f>
        <v/>
      </c>
      <c r="AA577" s="31" t="str">
        <f aca="false">IF(T577="","",TEXT(T577,"YYYY-MM"))</f>
        <v/>
      </c>
      <c r="AB577" s="27" t="str">
        <f aca="false">IF(X577="","",X577/2)</f>
        <v/>
      </c>
      <c r="AC577" s="21"/>
    </row>
    <row r="578" customFormat="false" ht="15" hidden="false" customHeight="false" outlineLevel="0" collapsed="false">
      <c r="A578" s="20"/>
      <c r="B578" s="21"/>
      <c r="C578" s="21"/>
      <c r="D578" s="21"/>
      <c r="E578" s="21"/>
      <c r="F578" s="21"/>
      <c r="G578" s="22"/>
      <c r="H578" s="21"/>
      <c r="I578" s="21"/>
      <c r="J578" s="21"/>
      <c r="K578" s="23"/>
      <c r="L578" s="24"/>
      <c r="M578" s="21"/>
      <c r="N578" s="21"/>
      <c r="O578" s="25"/>
      <c r="P578" s="26"/>
      <c r="Q578" s="27" t="str">
        <f aca="false">IF(A578="","",SUMIF(Expenses!$B$2:$B$3000,A578,Expenses!$E$2:$E$3000))</f>
        <v/>
      </c>
      <c r="R578" s="27" t="str">
        <f aca="false">IF(A578="","",N(P578)+N(Q578))</f>
        <v/>
      </c>
      <c r="S578" s="28"/>
      <c r="T578" s="25"/>
      <c r="U578" s="26"/>
      <c r="V578" s="26"/>
      <c r="W578" s="26"/>
      <c r="X578" s="27" t="str">
        <f aca="false">IF(B578&lt;&gt;"SOLD","",IF(C578="Consignment",N(W578)-R578,N(U578)-R578-N(V578)))</f>
        <v/>
      </c>
      <c r="Y578" s="29" t="str">
        <f aca="false">IF(OR(X578="",N(R578)=0),"",X578/R578)</f>
        <v/>
      </c>
      <c r="Z578" s="30" t="str">
        <f aca="true">IF(O578="","",IF(T578="",TODAY(),T578)-O578)</f>
        <v/>
      </c>
      <c r="AA578" s="31" t="str">
        <f aca="false">IF(T578="","",TEXT(T578,"YYYY-MM"))</f>
        <v/>
      </c>
      <c r="AB578" s="27" t="str">
        <f aca="false">IF(X578="","",X578/2)</f>
        <v/>
      </c>
      <c r="AC578" s="21"/>
    </row>
    <row r="579" customFormat="false" ht="15" hidden="false" customHeight="false" outlineLevel="0" collapsed="false">
      <c r="A579" s="20"/>
      <c r="B579" s="21"/>
      <c r="C579" s="21"/>
      <c r="D579" s="21"/>
      <c r="E579" s="21"/>
      <c r="F579" s="21"/>
      <c r="G579" s="22"/>
      <c r="H579" s="21"/>
      <c r="I579" s="21"/>
      <c r="J579" s="21"/>
      <c r="K579" s="23"/>
      <c r="L579" s="24"/>
      <c r="M579" s="21"/>
      <c r="N579" s="21"/>
      <c r="O579" s="25"/>
      <c r="P579" s="26"/>
      <c r="Q579" s="27" t="str">
        <f aca="false">IF(A579="","",SUMIF(Expenses!$B$2:$B$3000,A579,Expenses!$E$2:$E$3000))</f>
        <v/>
      </c>
      <c r="R579" s="27" t="str">
        <f aca="false">IF(A579="","",N(P579)+N(Q579))</f>
        <v/>
      </c>
      <c r="S579" s="28"/>
      <c r="T579" s="25"/>
      <c r="U579" s="26"/>
      <c r="V579" s="26"/>
      <c r="W579" s="26"/>
      <c r="X579" s="27" t="str">
        <f aca="false">IF(B579&lt;&gt;"SOLD","",IF(C579="Consignment",N(W579)-R579,N(U579)-R579-N(V579)))</f>
        <v/>
      </c>
      <c r="Y579" s="29" t="str">
        <f aca="false">IF(OR(X579="",N(R579)=0),"",X579/R579)</f>
        <v/>
      </c>
      <c r="Z579" s="30" t="str">
        <f aca="true">IF(O579="","",IF(T579="",TODAY(),T579)-O579)</f>
        <v/>
      </c>
      <c r="AA579" s="31" t="str">
        <f aca="false">IF(T579="","",TEXT(T579,"YYYY-MM"))</f>
        <v/>
      </c>
      <c r="AB579" s="27" t="str">
        <f aca="false">IF(X579="","",X579/2)</f>
        <v/>
      </c>
      <c r="AC579" s="21"/>
    </row>
    <row r="580" customFormat="false" ht="15" hidden="false" customHeight="false" outlineLevel="0" collapsed="false">
      <c r="A580" s="20"/>
      <c r="B580" s="21"/>
      <c r="C580" s="21"/>
      <c r="D580" s="21"/>
      <c r="E580" s="21"/>
      <c r="F580" s="21"/>
      <c r="G580" s="22"/>
      <c r="H580" s="21"/>
      <c r="I580" s="21"/>
      <c r="J580" s="21"/>
      <c r="K580" s="23"/>
      <c r="L580" s="24"/>
      <c r="M580" s="21"/>
      <c r="N580" s="21"/>
      <c r="O580" s="25"/>
      <c r="P580" s="26"/>
      <c r="Q580" s="27" t="str">
        <f aca="false">IF(A580="","",SUMIF(Expenses!$B$2:$B$3000,A580,Expenses!$E$2:$E$3000))</f>
        <v/>
      </c>
      <c r="R580" s="27" t="str">
        <f aca="false">IF(A580="","",N(P580)+N(Q580))</f>
        <v/>
      </c>
      <c r="S580" s="28"/>
      <c r="T580" s="25"/>
      <c r="U580" s="26"/>
      <c r="V580" s="26"/>
      <c r="W580" s="26"/>
      <c r="X580" s="27" t="str">
        <f aca="false">IF(B580&lt;&gt;"SOLD","",IF(C580="Consignment",N(W580)-R580,N(U580)-R580-N(V580)))</f>
        <v/>
      </c>
      <c r="Y580" s="29" t="str">
        <f aca="false">IF(OR(X580="",N(R580)=0),"",X580/R580)</f>
        <v/>
      </c>
      <c r="Z580" s="30" t="str">
        <f aca="true">IF(O580="","",IF(T580="",TODAY(),T580)-O580)</f>
        <v/>
      </c>
      <c r="AA580" s="31" t="str">
        <f aca="false">IF(T580="","",TEXT(T580,"YYYY-MM"))</f>
        <v/>
      </c>
      <c r="AB580" s="27" t="str">
        <f aca="false">IF(X580="","",X580/2)</f>
        <v/>
      </c>
      <c r="AC580" s="21"/>
    </row>
    <row r="581" customFormat="false" ht="15" hidden="false" customHeight="false" outlineLevel="0" collapsed="false">
      <c r="A581" s="20"/>
      <c r="B581" s="21"/>
      <c r="C581" s="21"/>
      <c r="D581" s="21"/>
      <c r="E581" s="21"/>
      <c r="F581" s="21"/>
      <c r="G581" s="22"/>
      <c r="H581" s="21"/>
      <c r="I581" s="21"/>
      <c r="J581" s="21"/>
      <c r="K581" s="23"/>
      <c r="L581" s="24"/>
      <c r="M581" s="21"/>
      <c r="N581" s="21"/>
      <c r="O581" s="25"/>
      <c r="P581" s="26"/>
      <c r="Q581" s="27" t="str">
        <f aca="false">IF(A581="","",SUMIF(Expenses!$B$2:$B$3000,A581,Expenses!$E$2:$E$3000))</f>
        <v/>
      </c>
      <c r="R581" s="27" t="str">
        <f aca="false">IF(A581="","",N(P581)+N(Q581))</f>
        <v/>
      </c>
      <c r="S581" s="28"/>
      <c r="T581" s="25"/>
      <c r="U581" s="26"/>
      <c r="V581" s="26"/>
      <c r="W581" s="26"/>
      <c r="X581" s="27" t="str">
        <f aca="false">IF(B581&lt;&gt;"SOLD","",IF(C581="Consignment",N(W581)-R581,N(U581)-R581-N(V581)))</f>
        <v/>
      </c>
      <c r="Y581" s="29" t="str">
        <f aca="false">IF(OR(X581="",N(R581)=0),"",X581/R581)</f>
        <v/>
      </c>
      <c r="Z581" s="30" t="str">
        <f aca="true">IF(O581="","",IF(T581="",TODAY(),T581)-O581)</f>
        <v/>
      </c>
      <c r="AA581" s="31" t="str">
        <f aca="false">IF(T581="","",TEXT(T581,"YYYY-MM"))</f>
        <v/>
      </c>
      <c r="AB581" s="27" t="str">
        <f aca="false">IF(X581="","",X581/2)</f>
        <v/>
      </c>
      <c r="AC581" s="21"/>
    </row>
    <row r="582" customFormat="false" ht="15" hidden="false" customHeight="false" outlineLevel="0" collapsed="false">
      <c r="A582" s="20"/>
      <c r="B582" s="21"/>
      <c r="C582" s="21"/>
      <c r="D582" s="21"/>
      <c r="E582" s="21"/>
      <c r="F582" s="21"/>
      <c r="G582" s="22"/>
      <c r="H582" s="21"/>
      <c r="I582" s="21"/>
      <c r="J582" s="21"/>
      <c r="K582" s="23"/>
      <c r="L582" s="24"/>
      <c r="M582" s="21"/>
      <c r="N582" s="21"/>
      <c r="O582" s="25"/>
      <c r="P582" s="26"/>
      <c r="Q582" s="27" t="str">
        <f aca="false">IF(A582="","",SUMIF(Expenses!$B$2:$B$3000,A582,Expenses!$E$2:$E$3000))</f>
        <v/>
      </c>
      <c r="R582" s="27" t="str">
        <f aca="false">IF(A582="","",N(P582)+N(Q582))</f>
        <v/>
      </c>
      <c r="S582" s="28"/>
      <c r="T582" s="25"/>
      <c r="U582" s="26"/>
      <c r="V582" s="26"/>
      <c r="W582" s="26"/>
      <c r="X582" s="27" t="str">
        <f aca="false">IF(B582&lt;&gt;"SOLD","",IF(C582="Consignment",N(W582)-R582,N(U582)-R582-N(V582)))</f>
        <v/>
      </c>
      <c r="Y582" s="29" t="str">
        <f aca="false">IF(OR(X582="",N(R582)=0),"",X582/R582)</f>
        <v/>
      </c>
      <c r="Z582" s="30" t="str">
        <f aca="true">IF(O582="","",IF(T582="",TODAY(),T582)-O582)</f>
        <v/>
      </c>
      <c r="AA582" s="31" t="str">
        <f aca="false">IF(T582="","",TEXT(T582,"YYYY-MM"))</f>
        <v/>
      </c>
      <c r="AB582" s="27" t="str">
        <f aca="false">IF(X582="","",X582/2)</f>
        <v/>
      </c>
      <c r="AC582" s="21"/>
    </row>
    <row r="583" customFormat="false" ht="15" hidden="false" customHeight="false" outlineLevel="0" collapsed="false">
      <c r="A583" s="20"/>
      <c r="B583" s="21"/>
      <c r="C583" s="21"/>
      <c r="D583" s="21"/>
      <c r="E583" s="21"/>
      <c r="F583" s="21"/>
      <c r="G583" s="22"/>
      <c r="H583" s="21"/>
      <c r="I583" s="21"/>
      <c r="J583" s="21"/>
      <c r="K583" s="23"/>
      <c r="L583" s="24"/>
      <c r="M583" s="21"/>
      <c r="N583" s="21"/>
      <c r="O583" s="25"/>
      <c r="P583" s="26"/>
      <c r="Q583" s="27" t="str">
        <f aca="false">IF(A583="","",SUMIF(Expenses!$B$2:$B$3000,A583,Expenses!$E$2:$E$3000))</f>
        <v/>
      </c>
      <c r="R583" s="27" t="str">
        <f aca="false">IF(A583="","",N(P583)+N(Q583))</f>
        <v/>
      </c>
      <c r="S583" s="28"/>
      <c r="T583" s="25"/>
      <c r="U583" s="26"/>
      <c r="V583" s="26"/>
      <c r="W583" s="26"/>
      <c r="X583" s="27" t="str">
        <f aca="false">IF(B583&lt;&gt;"SOLD","",IF(C583="Consignment",N(W583)-R583,N(U583)-R583-N(V583)))</f>
        <v/>
      </c>
      <c r="Y583" s="29" t="str">
        <f aca="false">IF(OR(X583="",N(R583)=0),"",X583/R583)</f>
        <v/>
      </c>
      <c r="Z583" s="30" t="str">
        <f aca="true">IF(O583="","",IF(T583="",TODAY(),T583)-O583)</f>
        <v/>
      </c>
      <c r="AA583" s="31" t="str">
        <f aca="false">IF(T583="","",TEXT(T583,"YYYY-MM"))</f>
        <v/>
      </c>
      <c r="AB583" s="27" t="str">
        <f aca="false">IF(X583="","",X583/2)</f>
        <v/>
      </c>
      <c r="AC583" s="21"/>
    </row>
    <row r="584" customFormat="false" ht="15" hidden="false" customHeight="false" outlineLevel="0" collapsed="false">
      <c r="A584" s="20"/>
      <c r="B584" s="21"/>
      <c r="C584" s="21"/>
      <c r="D584" s="21"/>
      <c r="E584" s="21"/>
      <c r="F584" s="21"/>
      <c r="G584" s="22"/>
      <c r="H584" s="21"/>
      <c r="I584" s="21"/>
      <c r="J584" s="21"/>
      <c r="K584" s="23"/>
      <c r="L584" s="24"/>
      <c r="M584" s="21"/>
      <c r="N584" s="21"/>
      <c r="O584" s="25"/>
      <c r="P584" s="26"/>
      <c r="Q584" s="27" t="str">
        <f aca="false">IF(A584="","",SUMIF(Expenses!$B$2:$B$3000,A584,Expenses!$E$2:$E$3000))</f>
        <v/>
      </c>
      <c r="R584" s="27" t="str">
        <f aca="false">IF(A584="","",N(P584)+N(Q584))</f>
        <v/>
      </c>
      <c r="S584" s="28"/>
      <c r="T584" s="25"/>
      <c r="U584" s="26"/>
      <c r="V584" s="26"/>
      <c r="W584" s="26"/>
      <c r="X584" s="27" t="str">
        <f aca="false">IF(B584&lt;&gt;"SOLD","",IF(C584="Consignment",N(W584)-R584,N(U584)-R584-N(V584)))</f>
        <v/>
      </c>
      <c r="Y584" s="29" t="str">
        <f aca="false">IF(OR(X584="",N(R584)=0),"",X584/R584)</f>
        <v/>
      </c>
      <c r="Z584" s="30" t="str">
        <f aca="true">IF(O584="","",IF(T584="",TODAY(),T584)-O584)</f>
        <v/>
      </c>
      <c r="AA584" s="31" t="str">
        <f aca="false">IF(T584="","",TEXT(T584,"YYYY-MM"))</f>
        <v/>
      </c>
      <c r="AB584" s="27" t="str">
        <f aca="false">IF(X584="","",X584/2)</f>
        <v/>
      </c>
      <c r="AC584" s="21"/>
    </row>
    <row r="585" customFormat="false" ht="15" hidden="false" customHeight="false" outlineLevel="0" collapsed="false">
      <c r="A585" s="20"/>
      <c r="B585" s="21"/>
      <c r="C585" s="21"/>
      <c r="D585" s="21"/>
      <c r="E585" s="21"/>
      <c r="F585" s="21"/>
      <c r="G585" s="22"/>
      <c r="H585" s="21"/>
      <c r="I585" s="21"/>
      <c r="J585" s="21"/>
      <c r="K585" s="23"/>
      <c r="L585" s="24"/>
      <c r="M585" s="21"/>
      <c r="N585" s="21"/>
      <c r="O585" s="25"/>
      <c r="P585" s="26"/>
      <c r="Q585" s="27" t="str">
        <f aca="false">IF(A585="","",SUMIF(Expenses!$B$2:$B$3000,A585,Expenses!$E$2:$E$3000))</f>
        <v/>
      </c>
      <c r="R585" s="27" t="str">
        <f aca="false">IF(A585="","",N(P585)+N(Q585))</f>
        <v/>
      </c>
      <c r="S585" s="28"/>
      <c r="T585" s="25"/>
      <c r="U585" s="26"/>
      <c r="V585" s="26"/>
      <c r="W585" s="26"/>
      <c r="X585" s="27" t="str">
        <f aca="false">IF(B585&lt;&gt;"SOLD","",IF(C585="Consignment",N(W585)-R585,N(U585)-R585-N(V585)))</f>
        <v/>
      </c>
      <c r="Y585" s="29" t="str">
        <f aca="false">IF(OR(X585="",N(R585)=0),"",X585/R585)</f>
        <v/>
      </c>
      <c r="Z585" s="30" t="str">
        <f aca="true">IF(O585="","",IF(T585="",TODAY(),T585)-O585)</f>
        <v/>
      </c>
      <c r="AA585" s="31" t="str">
        <f aca="false">IF(T585="","",TEXT(T585,"YYYY-MM"))</f>
        <v/>
      </c>
      <c r="AB585" s="27" t="str">
        <f aca="false">IF(X585="","",X585/2)</f>
        <v/>
      </c>
      <c r="AC585" s="21"/>
    </row>
    <row r="586" customFormat="false" ht="15" hidden="false" customHeight="false" outlineLevel="0" collapsed="false">
      <c r="A586" s="20"/>
      <c r="B586" s="21"/>
      <c r="C586" s="21"/>
      <c r="D586" s="21"/>
      <c r="E586" s="21"/>
      <c r="F586" s="21"/>
      <c r="G586" s="22"/>
      <c r="H586" s="21"/>
      <c r="I586" s="21"/>
      <c r="J586" s="21"/>
      <c r="K586" s="23"/>
      <c r="L586" s="24"/>
      <c r="M586" s="21"/>
      <c r="N586" s="21"/>
      <c r="O586" s="25"/>
      <c r="P586" s="26"/>
      <c r="Q586" s="27" t="str">
        <f aca="false">IF(A586="","",SUMIF(Expenses!$B$2:$B$3000,A586,Expenses!$E$2:$E$3000))</f>
        <v/>
      </c>
      <c r="R586" s="27" t="str">
        <f aca="false">IF(A586="","",N(P586)+N(Q586))</f>
        <v/>
      </c>
      <c r="S586" s="28"/>
      <c r="T586" s="25"/>
      <c r="U586" s="26"/>
      <c r="V586" s="26"/>
      <c r="W586" s="26"/>
      <c r="X586" s="27" t="str">
        <f aca="false">IF(B586&lt;&gt;"SOLD","",IF(C586="Consignment",N(W586)-R586,N(U586)-R586-N(V586)))</f>
        <v/>
      </c>
      <c r="Y586" s="29" t="str">
        <f aca="false">IF(OR(X586="",N(R586)=0),"",X586/R586)</f>
        <v/>
      </c>
      <c r="Z586" s="30" t="str">
        <f aca="true">IF(O586="","",IF(T586="",TODAY(),T586)-O586)</f>
        <v/>
      </c>
      <c r="AA586" s="31" t="str">
        <f aca="false">IF(T586="","",TEXT(T586,"YYYY-MM"))</f>
        <v/>
      </c>
      <c r="AB586" s="27" t="str">
        <f aca="false">IF(X586="","",X586/2)</f>
        <v/>
      </c>
      <c r="AC586" s="21"/>
    </row>
    <row r="587" customFormat="false" ht="15" hidden="false" customHeight="false" outlineLevel="0" collapsed="false">
      <c r="A587" s="20"/>
      <c r="B587" s="21"/>
      <c r="C587" s="21"/>
      <c r="D587" s="21"/>
      <c r="E587" s="21"/>
      <c r="F587" s="21"/>
      <c r="G587" s="22"/>
      <c r="H587" s="21"/>
      <c r="I587" s="21"/>
      <c r="J587" s="21"/>
      <c r="K587" s="23"/>
      <c r="L587" s="24"/>
      <c r="M587" s="21"/>
      <c r="N587" s="21"/>
      <c r="O587" s="25"/>
      <c r="P587" s="26"/>
      <c r="Q587" s="27" t="str">
        <f aca="false">IF(A587="","",SUMIF(Expenses!$B$2:$B$3000,A587,Expenses!$E$2:$E$3000))</f>
        <v/>
      </c>
      <c r="R587" s="27" t="str">
        <f aca="false">IF(A587="","",N(P587)+N(Q587))</f>
        <v/>
      </c>
      <c r="S587" s="28"/>
      <c r="T587" s="25"/>
      <c r="U587" s="26"/>
      <c r="V587" s="26"/>
      <c r="W587" s="26"/>
      <c r="X587" s="27" t="str">
        <f aca="false">IF(B587&lt;&gt;"SOLD","",IF(C587="Consignment",N(W587)-R587,N(U587)-R587-N(V587)))</f>
        <v/>
      </c>
      <c r="Y587" s="29" t="str">
        <f aca="false">IF(OR(X587="",N(R587)=0),"",X587/R587)</f>
        <v/>
      </c>
      <c r="Z587" s="30" t="str">
        <f aca="true">IF(O587="","",IF(T587="",TODAY(),T587)-O587)</f>
        <v/>
      </c>
      <c r="AA587" s="31" t="str">
        <f aca="false">IF(T587="","",TEXT(T587,"YYYY-MM"))</f>
        <v/>
      </c>
      <c r="AB587" s="27" t="str">
        <f aca="false">IF(X587="","",X587/2)</f>
        <v/>
      </c>
      <c r="AC587" s="21"/>
    </row>
    <row r="588" customFormat="false" ht="15" hidden="false" customHeight="false" outlineLevel="0" collapsed="false">
      <c r="A588" s="20"/>
      <c r="B588" s="21"/>
      <c r="C588" s="21"/>
      <c r="D588" s="21"/>
      <c r="E588" s="21"/>
      <c r="F588" s="21"/>
      <c r="G588" s="22"/>
      <c r="H588" s="21"/>
      <c r="I588" s="21"/>
      <c r="J588" s="21"/>
      <c r="K588" s="23"/>
      <c r="L588" s="24"/>
      <c r="M588" s="21"/>
      <c r="N588" s="21"/>
      <c r="O588" s="25"/>
      <c r="P588" s="26"/>
      <c r="Q588" s="27" t="str">
        <f aca="false">IF(A588="","",SUMIF(Expenses!$B$2:$B$3000,A588,Expenses!$E$2:$E$3000))</f>
        <v/>
      </c>
      <c r="R588" s="27" t="str">
        <f aca="false">IF(A588="","",N(P588)+N(Q588))</f>
        <v/>
      </c>
      <c r="S588" s="28"/>
      <c r="T588" s="25"/>
      <c r="U588" s="26"/>
      <c r="V588" s="26"/>
      <c r="W588" s="26"/>
      <c r="X588" s="27" t="str">
        <f aca="false">IF(B588&lt;&gt;"SOLD","",IF(C588="Consignment",N(W588)-R588,N(U588)-R588-N(V588)))</f>
        <v/>
      </c>
      <c r="Y588" s="29" t="str">
        <f aca="false">IF(OR(X588="",N(R588)=0),"",X588/R588)</f>
        <v/>
      </c>
      <c r="Z588" s="30" t="str">
        <f aca="true">IF(O588="","",IF(T588="",TODAY(),T588)-O588)</f>
        <v/>
      </c>
      <c r="AA588" s="31" t="str">
        <f aca="false">IF(T588="","",TEXT(T588,"YYYY-MM"))</f>
        <v/>
      </c>
      <c r="AB588" s="27" t="str">
        <f aca="false">IF(X588="","",X588/2)</f>
        <v/>
      </c>
      <c r="AC588" s="21"/>
    </row>
    <row r="589" customFormat="false" ht="15" hidden="false" customHeight="false" outlineLevel="0" collapsed="false">
      <c r="A589" s="20"/>
      <c r="B589" s="21"/>
      <c r="C589" s="21"/>
      <c r="D589" s="21"/>
      <c r="E589" s="21"/>
      <c r="F589" s="21"/>
      <c r="G589" s="22"/>
      <c r="H589" s="21"/>
      <c r="I589" s="21"/>
      <c r="J589" s="21"/>
      <c r="K589" s="23"/>
      <c r="L589" s="24"/>
      <c r="M589" s="21"/>
      <c r="N589" s="21"/>
      <c r="O589" s="25"/>
      <c r="P589" s="26"/>
      <c r="Q589" s="27" t="str">
        <f aca="false">IF(A589="","",SUMIF(Expenses!$B$2:$B$3000,A589,Expenses!$E$2:$E$3000))</f>
        <v/>
      </c>
      <c r="R589" s="27" t="str">
        <f aca="false">IF(A589="","",N(P589)+N(Q589))</f>
        <v/>
      </c>
      <c r="S589" s="28"/>
      <c r="T589" s="25"/>
      <c r="U589" s="26"/>
      <c r="V589" s="26"/>
      <c r="W589" s="26"/>
      <c r="X589" s="27" t="str">
        <f aca="false">IF(B589&lt;&gt;"SOLD","",IF(C589="Consignment",N(W589)-R589,N(U589)-R589-N(V589)))</f>
        <v/>
      </c>
      <c r="Y589" s="29" t="str">
        <f aca="false">IF(OR(X589="",N(R589)=0),"",X589/R589)</f>
        <v/>
      </c>
      <c r="Z589" s="30" t="str">
        <f aca="true">IF(O589="","",IF(T589="",TODAY(),T589)-O589)</f>
        <v/>
      </c>
      <c r="AA589" s="31" t="str">
        <f aca="false">IF(T589="","",TEXT(T589,"YYYY-MM"))</f>
        <v/>
      </c>
      <c r="AB589" s="27" t="str">
        <f aca="false">IF(X589="","",X589/2)</f>
        <v/>
      </c>
      <c r="AC589" s="21"/>
    </row>
    <row r="590" customFormat="false" ht="15" hidden="false" customHeight="false" outlineLevel="0" collapsed="false">
      <c r="A590" s="20"/>
      <c r="B590" s="21"/>
      <c r="C590" s="21"/>
      <c r="D590" s="21"/>
      <c r="E590" s="21"/>
      <c r="F590" s="21"/>
      <c r="G590" s="22"/>
      <c r="H590" s="21"/>
      <c r="I590" s="21"/>
      <c r="J590" s="21"/>
      <c r="K590" s="23"/>
      <c r="L590" s="24"/>
      <c r="M590" s="21"/>
      <c r="N590" s="21"/>
      <c r="O590" s="25"/>
      <c r="P590" s="26"/>
      <c r="Q590" s="27" t="str">
        <f aca="false">IF(A590="","",SUMIF(Expenses!$B$2:$B$3000,A590,Expenses!$E$2:$E$3000))</f>
        <v/>
      </c>
      <c r="R590" s="27" t="str">
        <f aca="false">IF(A590="","",N(P590)+N(Q590))</f>
        <v/>
      </c>
      <c r="S590" s="28"/>
      <c r="T590" s="25"/>
      <c r="U590" s="26"/>
      <c r="V590" s="26"/>
      <c r="W590" s="26"/>
      <c r="X590" s="27" t="str">
        <f aca="false">IF(B590&lt;&gt;"SOLD","",IF(C590="Consignment",N(W590)-R590,N(U590)-R590-N(V590)))</f>
        <v/>
      </c>
      <c r="Y590" s="29" t="str">
        <f aca="false">IF(OR(X590="",N(R590)=0),"",X590/R590)</f>
        <v/>
      </c>
      <c r="Z590" s="30" t="str">
        <f aca="true">IF(O590="","",IF(T590="",TODAY(),T590)-O590)</f>
        <v/>
      </c>
      <c r="AA590" s="31" t="str">
        <f aca="false">IF(T590="","",TEXT(T590,"YYYY-MM"))</f>
        <v/>
      </c>
      <c r="AB590" s="27" t="str">
        <f aca="false">IF(X590="","",X590/2)</f>
        <v/>
      </c>
      <c r="AC590" s="21"/>
    </row>
    <row r="591" customFormat="false" ht="15" hidden="false" customHeight="false" outlineLevel="0" collapsed="false">
      <c r="A591" s="20"/>
      <c r="B591" s="21"/>
      <c r="C591" s="21"/>
      <c r="D591" s="21"/>
      <c r="E591" s="21"/>
      <c r="F591" s="21"/>
      <c r="G591" s="22"/>
      <c r="H591" s="21"/>
      <c r="I591" s="21"/>
      <c r="J591" s="21"/>
      <c r="K591" s="23"/>
      <c r="L591" s="24"/>
      <c r="M591" s="21"/>
      <c r="N591" s="21"/>
      <c r="O591" s="25"/>
      <c r="P591" s="26"/>
      <c r="Q591" s="27" t="str">
        <f aca="false">IF(A591="","",SUMIF(Expenses!$B$2:$B$3000,A591,Expenses!$E$2:$E$3000))</f>
        <v/>
      </c>
      <c r="R591" s="27" t="str">
        <f aca="false">IF(A591="","",N(P591)+N(Q591))</f>
        <v/>
      </c>
      <c r="S591" s="28"/>
      <c r="T591" s="25"/>
      <c r="U591" s="26"/>
      <c r="V591" s="26"/>
      <c r="W591" s="26"/>
      <c r="X591" s="27" t="str">
        <f aca="false">IF(B591&lt;&gt;"SOLD","",IF(C591="Consignment",N(W591)-R591,N(U591)-R591-N(V591)))</f>
        <v/>
      </c>
      <c r="Y591" s="29" t="str">
        <f aca="false">IF(OR(X591="",N(R591)=0),"",X591/R591)</f>
        <v/>
      </c>
      <c r="Z591" s="30" t="str">
        <f aca="true">IF(O591="","",IF(T591="",TODAY(),T591)-O591)</f>
        <v/>
      </c>
      <c r="AA591" s="31" t="str">
        <f aca="false">IF(T591="","",TEXT(T591,"YYYY-MM"))</f>
        <v/>
      </c>
      <c r="AB591" s="27" t="str">
        <f aca="false">IF(X591="","",X591/2)</f>
        <v/>
      </c>
      <c r="AC591" s="21"/>
    </row>
    <row r="592" customFormat="false" ht="15" hidden="false" customHeight="false" outlineLevel="0" collapsed="false">
      <c r="A592" s="20"/>
      <c r="B592" s="21"/>
      <c r="C592" s="21"/>
      <c r="D592" s="21"/>
      <c r="E592" s="21"/>
      <c r="F592" s="21"/>
      <c r="G592" s="22"/>
      <c r="H592" s="21"/>
      <c r="I592" s="21"/>
      <c r="J592" s="21"/>
      <c r="K592" s="23"/>
      <c r="L592" s="24"/>
      <c r="M592" s="21"/>
      <c r="N592" s="21"/>
      <c r="O592" s="25"/>
      <c r="P592" s="26"/>
      <c r="Q592" s="27" t="str">
        <f aca="false">IF(A592="","",SUMIF(Expenses!$B$2:$B$3000,A592,Expenses!$E$2:$E$3000))</f>
        <v/>
      </c>
      <c r="R592" s="27" t="str">
        <f aca="false">IF(A592="","",N(P592)+N(Q592))</f>
        <v/>
      </c>
      <c r="S592" s="28"/>
      <c r="T592" s="25"/>
      <c r="U592" s="26"/>
      <c r="V592" s="26"/>
      <c r="W592" s="26"/>
      <c r="X592" s="27" t="str">
        <f aca="false">IF(B592&lt;&gt;"SOLD","",IF(C592="Consignment",N(W592)-R592,N(U592)-R592-N(V592)))</f>
        <v/>
      </c>
      <c r="Y592" s="29" t="str">
        <f aca="false">IF(OR(X592="",N(R592)=0),"",X592/R592)</f>
        <v/>
      </c>
      <c r="Z592" s="30" t="str">
        <f aca="true">IF(O592="","",IF(T592="",TODAY(),T592)-O592)</f>
        <v/>
      </c>
      <c r="AA592" s="31" t="str">
        <f aca="false">IF(T592="","",TEXT(T592,"YYYY-MM"))</f>
        <v/>
      </c>
      <c r="AB592" s="27" t="str">
        <f aca="false">IF(X592="","",X592/2)</f>
        <v/>
      </c>
      <c r="AC592" s="21"/>
    </row>
    <row r="593" customFormat="false" ht="15" hidden="false" customHeight="false" outlineLevel="0" collapsed="false">
      <c r="A593" s="20"/>
      <c r="B593" s="21"/>
      <c r="C593" s="21"/>
      <c r="D593" s="21"/>
      <c r="E593" s="21"/>
      <c r="F593" s="21"/>
      <c r="G593" s="22"/>
      <c r="H593" s="21"/>
      <c r="I593" s="21"/>
      <c r="J593" s="21"/>
      <c r="K593" s="23"/>
      <c r="L593" s="24"/>
      <c r="M593" s="21"/>
      <c r="N593" s="21"/>
      <c r="O593" s="25"/>
      <c r="P593" s="26"/>
      <c r="Q593" s="27" t="str">
        <f aca="false">IF(A593="","",SUMIF(Expenses!$B$2:$B$3000,A593,Expenses!$E$2:$E$3000))</f>
        <v/>
      </c>
      <c r="R593" s="27" t="str">
        <f aca="false">IF(A593="","",N(P593)+N(Q593))</f>
        <v/>
      </c>
      <c r="S593" s="28"/>
      <c r="T593" s="25"/>
      <c r="U593" s="26"/>
      <c r="V593" s="26"/>
      <c r="W593" s="26"/>
      <c r="X593" s="27" t="str">
        <f aca="false">IF(B593&lt;&gt;"SOLD","",IF(C593="Consignment",N(W593)-R593,N(U593)-R593-N(V593)))</f>
        <v/>
      </c>
      <c r="Y593" s="29" t="str">
        <f aca="false">IF(OR(X593="",N(R593)=0),"",X593/R593)</f>
        <v/>
      </c>
      <c r="Z593" s="30" t="str">
        <f aca="true">IF(O593="","",IF(T593="",TODAY(),T593)-O593)</f>
        <v/>
      </c>
      <c r="AA593" s="31" t="str">
        <f aca="false">IF(T593="","",TEXT(T593,"YYYY-MM"))</f>
        <v/>
      </c>
      <c r="AB593" s="27" t="str">
        <f aca="false">IF(X593="","",X593/2)</f>
        <v/>
      </c>
      <c r="AC593" s="21"/>
    </row>
    <row r="594" customFormat="false" ht="15" hidden="false" customHeight="false" outlineLevel="0" collapsed="false">
      <c r="A594" s="20"/>
      <c r="B594" s="21"/>
      <c r="C594" s="21"/>
      <c r="D594" s="21"/>
      <c r="E594" s="21"/>
      <c r="F594" s="21"/>
      <c r="G594" s="22"/>
      <c r="H594" s="21"/>
      <c r="I594" s="21"/>
      <c r="J594" s="21"/>
      <c r="K594" s="23"/>
      <c r="L594" s="24"/>
      <c r="M594" s="21"/>
      <c r="N594" s="21"/>
      <c r="O594" s="25"/>
      <c r="P594" s="26"/>
      <c r="Q594" s="27" t="str">
        <f aca="false">IF(A594="","",SUMIF(Expenses!$B$2:$B$3000,A594,Expenses!$E$2:$E$3000))</f>
        <v/>
      </c>
      <c r="R594" s="27" t="str">
        <f aca="false">IF(A594="","",N(P594)+N(Q594))</f>
        <v/>
      </c>
      <c r="S594" s="28"/>
      <c r="T594" s="25"/>
      <c r="U594" s="26"/>
      <c r="V594" s="26"/>
      <c r="W594" s="26"/>
      <c r="X594" s="27" t="str">
        <f aca="false">IF(B594&lt;&gt;"SOLD","",IF(C594="Consignment",N(W594)-R594,N(U594)-R594-N(V594)))</f>
        <v/>
      </c>
      <c r="Y594" s="29" t="str">
        <f aca="false">IF(OR(X594="",N(R594)=0),"",X594/R594)</f>
        <v/>
      </c>
      <c r="Z594" s="30" t="str">
        <f aca="true">IF(O594="","",IF(T594="",TODAY(),T594)-O594)</f>
        <v/>
      </c>
      <c r="AA594" s="31" t="str">
        <f aca="false">IF(T594="","",TEXT(T594,"YYYY-MM"))</f>
        <v/>
      </c>
      <c r="AB594" s="27" t="str">
        <f aca="false">IF(X594="","",X594/2)</f>
        <v/>
      </c>
      <c r="AC594" s="21"/>
    </row>
    <row r="595" customFormat="false" ht="15" hidden="false" customHeight="false" outlineLevel="0" collapsed="false">
      <c r="A595" s="20"/>
      <c r="B595" s="21"/>
      <c r="C595" s="21"/>
      <c r="D595" s="21"/>
      <c r="E595" s="21"/>
      <c r="F595" s="21"/>
      <c r="G595" s="22"/>
      <c r="H595" s="21"/>
      <c r="I595" s="21"/>
      <c r="J595" s="21"/>
      <c r="K595" s="23"/>
      <c r="L595" s="24"/>
      <c r="M595" s="21"/>
      <c r="N595" s="21"/>
      <c r="O595" s="25"/>
      <c r="P595" s="26"/>
      <c r="Q595" s="27" t="str">
        <f aca="false">IF(A595="","",SUMIF(Expenses!$B$2:$B$3000,A595,Expenses!$E$2:$E$3000))</f>
        <v/>
      </c>
      <c r="R595" s="27" t="str">
        <f aca="false">IF(A595="","",N(P595)+N(Q595))</f>
        <v/>
      </c>
      <c r="S595" s="28"/>
      <c r="T595" s="25"/>
      <c r="U595" s="26"/>
      <c r="V595" s="26"/>
      <c r="W595" s="26"/>
      <c r="X595" s="27" t="str">
        <f aca="false">IF(B595&lt;&gt;"SOLD","",IF(C595="Consignment",N(W595)-R595,N(U595)-R595-N(V595)))</f>
        <v/>
      </c>
      <c r="Y595" s="29" t="str">
        <f aca="false">IF(OR(X595="",N(R595)=0),"",X595/R595)</f>
        <v/>
      </c>
      <c r="Z595" s="30" t="str">
        <f aca="true">IF(O595="","",IF(T595="",TODAY(),T595)-O595)</f>
        <v/>
      </c>
      <c r="AA595" s="31" t="str">
        <f aca="false">IF(T595="","",TEXT(T595,"YYYY-MM"))</f>
        <v/>
      </c>
      <c r="AB595" s="27" t="str">
        <f aca="false">IF(X595="","",X595/2)</f>
        <v/>
      </c>
      <c r="AC595" s="21"/>
    </row>
    <row r="596" customFormat="false" ht="15" hidden="false" customHeight="false" outlineLevel="0" collapsed="false">
      <c r="A596" s="20"/>
      <c r="B596" s="21"/>
      <c r="C596" s="21"/>
      <c r="D596" s="21"/>
      <c r="E596" s="21"/>
      <c r="F596" s="21"/>
      <c r="G596" s="22"/>
      <c r="H596" s="21"/>
      <c r="I596" s="21"/>
      <c r="J596" s="21"/>
      <c r="K596" s="23"/>
      <c r="L596" s="24"/>
      <c r="M596" s="21"/>
      <c r="N596" s="21"/>
      <c r="O596" s="25"/>
      <c r="P596" s="26"/>
      <c r="Q596" s="27" t="str">
        <f aca="false">IF(A596="","",SUMIF(Expenses!$B$2:$B$3000,A596,Expenses!$E$2:$E$3000))</f>
        <v/>
      </c>
      <c r="R596" s="27" t="str">
        <f aca="false">IF(A596="","",N(P596)+N(Q596))</f>
        <v/>
      </c>
      <c r="S596" s="28"/>
      <c r="T596" s="25"/>
      <c r="U596" s="26"/>
      <c r="V596" s="26"/>
      <c r="W596" s="26"/>
      <c r="X596" s="27" t="str">
        <f aca="false">IF(B596&lt;&gt;"SOLD","",IF(C596="Consignment",N(W596)-R596,N(U596)-R596-N(V596)))</f>
        <v/>
      </c>
      <c r="Y596" s="29" t="str">
        <f aca="false">IF(OR(X596="",N(R596)=0),"",X596/R596)</f>
        <v/>
      </c>
      <c r="Z596" s="30" t="str">
        <f aca="true">IF(O596="","",IF(T596="",TODAY(),T596)-O596)</f>
        <v/>
      </c>
      <c r="AA596" s="31" t="str">
        <f aca="false">IF(T596="","",TEXT(T596,"YYYY-MM"))</f>
        <v/>
      </c>
      <c r="AB596" s="27" t="str">
        <f aca="false">IF(X596="","",X596/2)</f>
        <v/>
      </c>
      <c r="AC596" s="21"/>
    </row>
    <row r="597" customFormat="false" ht="15" hidden="false" customHeight="false" outlineLevel="0" collapsed="false">
      <c r="A597" s="20"/>
      <c r="B597" s="21"/>
      <c r="C597" s="21"/>
      <c r="D597" s="21"/>
      <c r="E597" s="21"/>
      <c r="F597" s="21"/>
      <c r="G597" s="22"/>
      <c r="H597" s="21"/>
      <c r="I597" s="21"/>
      <c r="J597" s="21"/>
      <c r="K597" s="23"/>
      <c r="L597" s="24"/>
      <c r="M597" s="21"/>
      <c r="N597" s="21"/>
      <c r="O597" s="25"/>
      <c r="P597" s="26"/>
      <c r="Q597" s="27" t="str">
        <f aca="false">IF(A597="","",SUMIF(Expenses!$B$2:$B$3000,A597,Expenses!$E$2:$E$3000))</f>
        <v/>
      </c>
      <c r="R597" s="27" t="str">
        <f aca="false">IF(A597="","",N(P597)+N(Q597))</f>
        <v/>
      </c>
      <c r="S597" s="28"/>
      <c r="T597" s="25"/>
      <c r="U597" s="26"/>
      <c r="V597" s="26"/>
      <c r="W597" s="26"/>
      <c r="X597" s="27" t="str">
        <f aca="false">IF(B597&lt;&gt;"SOLD","",IF(C597="Consignment",N(W597)-R597,N(U597)-R597-N(V597)))</f>
        <v/>
      </c>
      <c r="Y597" s="29" t="str">
        <f aca="false">IF(OR(X597="",N(R597)=0),"",X597/R597)</f>
        <v/>
      </c>
      <c r="Z597" s="30" t="str">
        <f aca="true">IF(O597="","",IF(T597="",TODAY(),T597)-O597)</f>
        <v/>
      </c>
      <c r="AA597" s="31" t="str">
        <f aca="false">IF(T597="","",TEXT(T597,"YYYY-MM"))</f>
        <v/>
      </c>
      <c r="AB597" s="27" t="str">
        <f aca="false">IF(X597="","",X597/2)</f>
        <v/>
      </c>
      <c r="AC597" s="21"/>
    </row>
    <row r="598" customFormat="false" ht="15" hidden="false" customHeight="false" outlineLevel="0" collapsed="false">
      <c r="A598" s="20"/>
      <c r="B598" s="21"/>
      <c r="C598" s="21"/>
      <c r="D598" s="21"/>
      <c r="E598" s="21"/>
      <c r="F598" s="21"/>
      <c r="G598" s="22"/>
      <c r="H598" s="21"/>
      <c r="I598" s="21"/>
      <c r="J598" s="21"/>
      <c r="K598" s="23"/>
      <c r="L598" s="24"/>
      <c r="M598" s="21"/>
      <c r="N598" s="21"/>
      <c r="O598" s="25"/>
      <c r="P598" s="26"/>
      <c r="Q598" s="27" t="str">
        <f aca="false">IF(A598="","",SUMIF(Expenses!$B$2:$B$3000,A598,Expenses!$E$2:$E$3000))</f>
        <v/>
      </c>
      <c r="R598" s="27" t="str">
        <f aca="false">IF(A598="","",N(P598)+N(Q598))</f>
        <v/>
      </c>
      <c r="S598" s="28"/>
      <c r="T598" s="25"/>
      <c r="U598" s="26"/>
      <c r="V598" s="26"/>
      <c r="W598" s="26"/>
      <c r="X598" s="27" t="str">
        <f aca="false">IF(B598&lt;&gt;"SOLD","",IF(C598="Consignment",N(W598)-R598,N(U598)-R598-N(V598)))</f>
        <v/>
      </c>
      <c r="Y598" s="29" t="str">
        <f aca="false">IF(OR(X598="",N(R598)=0),"",X598/R598)</f>
        <v/>
      </c>
      <c r="Z598" s="30" t="str">
        <f aca="true">IF(O598="","",IF(T598="",TODAY(),T598)-O598)</f>
        <v/>
      </c>
      <c r="AA598" s="31" t="str">
        <f aca="false">IF(T598="","",TEXT(T598,"YYYY-MM"))</f>
        <v/>
      </c>
      <c r="AB598" s="27" t="str">
        <f aca="false">IF(X598="","",X598/2)</f>
        <v/>
      </c>
      <c r="AC598" s="21"/>
    </row>
    <row r="599" customFormat="false" ht="15" hidden="false" customHeight="false" outlineLevel="0" collapsed="false">
      <c r="A599" s="20"/>
      <c r="B599" s="21"/>
      <c r="C599" s="21"/>
      <c r="D599" s="21"/>
      <c r="E599" s="21"/>
      <c r="F599" s="21"/>
      <c r="G599" s="22"/>
      <c r="H599" s="21"/>
      <c r="I599" s="21"/>
      <c r="J599" s="21"/>
      <c r="K599" s="23"/>
      <c r="L599" s="24"/>
      <c r="M599" s="21"/>
      <c r="N599" s="21"/>
      <c r="O599" s="25"/>
      <c r="P599" s="26"/>
      <c r="Q599" s="27" t="str">
        <f aca="false">IF(A599="","",SUMIF(Expenses!$B$2:$B$3000,A599,Expenses!$E$2:$E$3000))</f>
        <v/>
      </c>
      <c r="R599" s="27" t="str">
        <f aca="false">IF(A599="","",N(P599)+N(Q599))</f>
        <v/>
      </c>
      <c r="S599" s="28"/>
      <c r="T599" s="25"/>
      <c r="U599" s="26"/>
      <c r="V599" s="26"/>
      <c r="W599" s="26"/>
      <c r="X599" s="27" t="str">
        <f aca="false">IF(B599&lt;&gt;"SOLD","",IF(C599="Consignment",N(W599)-R599,N(U599)-R599-N(V599)))</f>
        <v/>
      </c>
      <c r="Y599" s="29" t="str">
        <f aca="false">IF(OR(X599="",N(R599)=0),"",X599/R599)</f>
        <v/>
      </c>
      <c r="Z599" s="30" t="str">
        <f aca="true">IF(O599="","",IF(T599="",TODAY(),T599)-O599)</f>
        <v/>
      </c>
      <c r="AA599" s="31" t="str">
        <f aca="false">IF(T599="","",TEXT(T599,"YYYY-MM"))</f>
        <v/>
      </c>
      <c r="AB599" s="27" t="str">
        <f aca="false">IF(X599="","",X599/2)</f>
        <v/>
      </c>
      <c r="AC599" s="21"/>
    </row>
    <row r="600" customFormat="false" ht="15" hidden="false" customHeight="false" outlineLevel="0" collapsed="false">
      <c r="A600" s="20"/>
      <c r="B600" s="21"/>
      <c r="C600" s="21"/>
      <c r="D600" s="21"/>
      <c r="E600" s="21"/>
      <c r="F600" s="21"/>
      <c r="G600" s="22"/>
      <c r="H600" s="21"/>
      <c r="I600" s="21"/>
      <c r="J600" s="21"/>
      <c r="K600" s="23"/>
      <c r="L600" s="24"/>
      <c r="M600" s="21"/>
      <c r="N600" s="21"/>
      <c r="O600" s="25"/>
      <c r="P600" s="26"/>
      <c r="Q600" s="27" t="str">
        <f aca="false">IF(A600="","",SUMIF(Expenses!$B$2:$B$3000,A600,Expenses!$E$2:$E$3000))</f>
        <v/>
      </c>
      <c r="R600" s="27" t="str">
        <f aca="false">IF(A600="","",N(P600)+N(Q600))</f>
        <v/>
      </c>
      <c r="S600" s="28"/>
      <c r="T600" s="25"/>
      <c r="U600" s="26"/>
      <c r="V600" s="26"/>
      <c r="W600" s="26"/>
      <c r="X600" s="27" t="str">
        <f aca="false">IF(B600&lt;&gt;"SOLD","",IF(C600="Consignment",N(W600)-R600,N(U600)-R600-N(V600)))</f>
        <v/>
      </c>
      <c r="Y600" s="29" t="str">
        <f aca="false">IF(OR(X600="",N(R600)=0),"",X600/R600)</f>
        <v/>
      </c>
      <c r="Z600" s="30" t="str">
        <f aca="true">IF(O600="","",IF(T600="",TODAY(),T600)-O600)</f>
        <v/>
      </c>
      <c r="AA600" s="31" t="str">
        <f aca="false">IF(T600="","",TEXT(T600,"YYYY-MM"))</f>
        <v/>
      </c>
      <c r="AB600" s="27" t="str">
        <f aca="false">IF(X600="","",X600/2)</f>
        <v/>
      </c>
      <c r="AC600" s="21"/>
    </row>
    <row r="601" customFormat="false" ht="15" hidden="false" customHeight="false" outlineLevel="0" collapsed="false">
      <c r="A601" s="20"/>
      <c r="B601" s="21"/>
      <c r="C601" s="21"/>
      <c r="D601" s="21"/>
      <c r="E601" s="21"/>
      <c r="F601" s="21"/>
      <c r="G601" s="22"/>
      <c r="H601" s="21"/>
      <c r="I601" s="21"/>
      <c r="J601" s="21"/>
      <c r="K601" s="23"/>
      <c r="L601" s="24"/>
      <c r="M601" s="21"/>
      <c r="N601" s="21"/>
      <c r="O601" s="25"/>
      <c r="P601" s="26"/>
      <c r="Q601" s="27" t="str">
        <f aca="false">IF(A601="","",SUMIF(Expenses!$B$2:$B$3000,A601,Expenses!$E$2:$E$3000))</f>
        <v/>
      </c>
      <c r="R601" s="27" t="str">
        <f aca="false">IF(A601="","",N(P601)+N(Q601))</f>
        <v/>
      </c>
      <c r="S601" s="28"/>
      <c r="T601" s="25"/>
      <c r="U601" s="26"/>
      <c r="V601" s="26"/>
      <c r="W601" s="26"/>
      <c r="X601" s="27" t="str">
        <f aca="false">IF(B601&lt;&gt;"SOLD","",IF(C601="Consignment",N(W601)-R601,N(U601)-R601-N(V601)))</f>
        <v/>
      </c>
      <c r="Y601" s="29" t="str">
        <f aca="false">IF(OR(X601="",N(R601)=0),"",X601/R601)</f>
        <v/>
      </c>
      <c r="Z601" s="30" t="str">
        <f aca="true">IF(O601="","",IF(T601="",TODAY(),T601)-O601)</f>
        <v/>
      </c>
      <c r="AA601" s="31" t="str">
        <f aca="false">IF(T601="","",TEXT(T601,"YYYY-MM"))</f>
        <v/>
      </c>
      <c r="AB601" s="27" t="str">
        <f aca="false">IF(X601="","",X601/2)</f>
        <v/>
      </c>
      <c r="AC601" s="21"/>
    </row>
    <row r="602" customFormat="false" ht="15" hidden="false" customHeight="false" outlineLevel="0" collapsed="false">
      <c r="A602" s="20"/>
      <c r="B602" s="21"/>
      <c r="C602" s="21"/>
      <c r="D602" s="21"/>
      <c r="E602" s="21"/>
      <c r="F602" s="21"/>
      <c r="G602" s="22"/>
      <c r="H602" s="21"/>
      <c r="I602" s="21"/>
      <c r="J602" s="21"/>
      <c r="K602" s="23"/>
      <c r="L602" s="24"/>
      <c r="M602" s="21"/>
      <c r="N602" s="21"/>
      <c r="O602" s="25"/>
      <c r="P602" s="26"/>
      <c r="Q602" s="27" t="str">
        <f aca="false">IF(A602="","",SUMIF(Expenses!$B$2:$B$3000,A602,Expenses!$E$2:$E$3000))</f>
        <v/>
      </c>
      <c r="R602" s="27" t="str">
        <f aca="false">IF(A602="","",N(P602)+N(Q602))</f>
        <v/>
      </c>
      <c r="S602" s="28"/>
      <c r="T602" s="25"/>
      <c r="U602" s="26"/>
      <c r="V602" s="26"/>
      <c r="W602" s="26"/>
      <c r="X602" s="27" t="str">
        <f aca="false">IF(B602&lt;&gt;"SOLD","",IF(C602="Consignment",N(W602)-R602,N(U602)-R602-N(V602)))</f>
        <v/>
      </c>
      <c r="Y602" s="29" t="str">
        <f aca="false">IF(OR(X602="",N(R602)=0),"",X602/R602)</f>
        <v/>
      </c>
      <c r="Z602" s="30" t="str">
        <f aca="true">IF(O602="","",IF(T602="",TODAY(),T602)-O602)</f>
        <v/>
      </c>
      <c r="AA602" s="31" t="str">
        <f aca="false">IF(T602="","",TEXT(T602,"YYYY-MM"))</f>
        <v/>
      </c>
      <c r="AB602" s="27" t="str">
        <f aca="false">IF(X602="","",X602/2)</f>
        <v/>
      </c>
      <c r="AC602" s="21"/>
    </row>
    <row r="603" customFormat="false" ht="15" hidden="false" customHeight="false" outlineLevel="0" collapsed="false">
      <c r="A603" s="20"/>
      <c r="B603" s="21"/>
      <c r="C603" s="21"/>
      <c r="D603" s="21"/>
      <c r="E603" s="21"/>
      <c r="F603" s="21"/>
      <c r="G603" s="22"/>
      <c r="H603" s="21"/>
      <c r="I603" s="21"/>
      <c r="J603" s="21"/>
      <c r="K603" s="23"/>
      <c r="L603" s="24"/>
      <c r="M603" s="21"/>
      <c r="N603" s="21"/>
      <c r="O603" s="25"/>
      <c r="P603" s="26"/>
      <c r="Q603" s="27" t="str">
        <f aca="false">IF(A603="","",SUMIF(Expenses!$B$2:$B$3000,A603,Expenses!$E$2:$E$3000))</f>
        <v/>
      </c>
      <c r="R603" s="27" t="str">
        <f aca="false">IF(A603="","",N(P603)+N(Q603))</f>
        <v/>
      </c>
      <c r="S603" s="28"/>
      <c r="T603" s="25"/>
      <c r="U603" s="26"/>
      <c r="V603" s="26"/>
      <c r="W603" s="26"/>
      <c r="X603" s="27" t="str">
        <f aca="false">IF(B603&lt;&gt;"SOLD","",IF(C603="Consignment",N(W603)-R603,N(U603)-R603-N(V603)))</f>
        <v/>
      </c>
      <c r="Y603" s="29" t="str">
        <f aca="false">IF(OR(X603="",N(R603)=0),"",X603/R603)</f>
        <v/>
      </c>
      <c r="Z603" s="30" t="str">
        <f aca="true">IF(O603="","",IF(T603="",TODAY(),T603)-O603)</f>
        <v/>
      </c>
      <c r="AA603" s="31" t="str">
        <f aca="false">IF(T603="","",TEXT(T603,"YYYY-MM"))</f>
        <v/>
      </c>
      <c r="AB603" s="27" t="str">
        <f aca="false">IF(X603="","",X603/2)</f>
        <v/>
      </c>
      <c r="AC603" s="21"/>
    </row>
    <row r="604" customFormat="false" ht="15" hidden="false" customHeight="false" outlineLevel="0" collapsed="false">
      <c r="A604" s="20"/>
      <c r="B604" s="21"/>
      <c r="C604" s="21"/>
      <c r="D604" s="21"/>
      <c r="E604" s="21"/>
      <c r="F604" s="21"/>
      <c r="G604" s="22"/>
      <c r="H604" s="21"/>
      <c r="I604" s="21"/>
      <c r="J604" s="21"/>
      <c r="K604" s="23"/>
      <c r="L604" s="24"/>
      <c r="M604" s="21"/>
      <c r="N604" s="21"/>
      <c r="O604" s="25"/>
      <c r="P604" s="26"/>
      <c r="Q604" s="27" t="str">
        <f aca="false">IF(A604="","",SUMIF(Expenses!$B$2:$B$3000,A604,Expenses!$E$2:$E$3000))</f>
        <v/>
      </c>
      <c r="R604" s="27" t="str">
        <f aca="false">IF(A604="","",N(P604)+N(Q604))</f>
        <v/>
      </c>
      <c r="S604" s="28"/>
      <c r="T604" s="25"/>
      <c r="U604" s="26"/>
      <c r="V604" s="26"/>
      <c r="W604" s="26"/>
      <c r="X604" s="27" t="str">
        <f aca="false">IF(B604&lt;&gt;"SOLD","",IF(C604="Consignment",N(W604)-R604,N(U604)-R604-N(V604)))</f>
        <v/>
      </c>
      <c r="Y604" s="29" t="str">
        <f aca="false">IF(OR(X604="",N(R604)=0),"",X604/R604)</f>
        <v/>
      </c>
      <c r="Z604" s="30" t="str">
        <f aca="true">IF(O604="","",IF(T604="",TODAY(),T604)-O604)</f>
        <v/>
      </c>
      <c r="AA604" s="31" t="str">
        <f aca="false">IF(T604="","",TEXT(T604,"YYYY-MM"))</f>
        <v/>
      </c>
      <c r="AB604" s="27" t="str">
        <f aca="false">IF(X604="","",X604/2)</f>
        <v/>
      </c>
      <c r="AC604" s="21"/>
    </row>
    <row r="605" customFormat="false" ht="15" hidden="false" customHeight="false" outlineLevel="0" collapsed="false">
      <c r="A605" s="20"/>
      <c r="B605" s="21"/>
      <c r="C605" s="21"/>
      <c r="D605" s="21"/>
      <c r="E605" s="21"/>
      <c r="F605" s="21"/>
      <c r="G605" s="22"/>
      <c r="H605" s="21"/>
      <c r="I605" s="21"/>
      <c r="J605" s="21"/>
      <c r="K605" s="23"/>
      <c r="L605" s="24"/>
      <c r="M605" s="21"/>
      <c r="N605" s="21"/>
      <c r="O605" s="25"/>
      <c r="P605" s="26"/>
      <c r="Q605" s="27" t="str">
        <f aca="false">IF(A605="","",SUMIF(Expenses!$B$2:$B$3000,A605,Expenses!$E$2:$E$3000))</f>
        <v/>
      </c>
      <c r="R605" s="27" t="str">
        <f aca="false">IF(A605="","",N(P605)+N(Q605))</f>
        <v/>
      </c>
      <c r="S605" s="28"/>
      <c r="T605" s="25"/>
      <c r="U605" s="26"/>
      <c r="V605" s="26"/>
      <c r="W605" s="26"/>
      <c r="X605" s="27" t="str">
        <f aca="false">IF(B605&lt;&gt;"SOLD","",IF(C605="Consignment",N(W605)-R605,N(U605)-R605-N(V605)))</f>
        <v/>
      </c>
      <c r="Y605" s="29" t="str">
        <f aca="false">IF(OR(X605="",N(R605)=0),"",X605/R605)</f>
        <v/>
      </c>
      <c r="Z605" s="30" t="str">
        <f aca="true">IF(O605="","",IF(T605="",TODAY(),T605)-O605)</f>
        <v/>
      </c>
      <c r="AA605" s="31" t="str">
        <f aca="false">IF(T605="","",TEXT(T605,"YYYY-MM"))</f>
        <v/>
      </c>
      <c r="AB605" s="27" t="str">
        <f aca="false">IF(X605="","",X605/2)</f>
        <v/>
      </c>
      <c r="AC605" s="21"/>
    </row>
    <row r="606" customFormat="false" ht="15" hidden="false" customHeight="false" outlineLevel="0" collapsed="false">
      <c r="A606" s="20"/>
      <c r="B606" s="21"/>
      <c r="C606" s="21"/>
      <c r="D606" s="21"/>
      <c r="E606" s="21"/>
      <c r="F606" s="21"/>
      <c r="G606" s="22"/>
      <c r="H606" s="21"/>
      <c r="I606" s="21"/>
      <c r="J606" s="21"/>
      <c r="K606" s="23"/>
      <c r="L606" s="24"/>
      <c r="M606" s="21"/>
      <c r="N606" s="21"/>
      <c r="O606" s="25"/>
      <c r="P606" s="26"/>
      <c r="Q606" s="27" t="str">
        <f aca="false">IF(A606="","",SUMIF(Expenses!$B$2:$B$3000,A606,Expenses!$E$2:$E$3000))</f>
        <v/>
      </c>
      <c r="R606" s="27" t="str">
        <f aca="false">IF(A606="","",N(P606)+N(Q606))</f>
        <v/>
      </c>
      <c r="S606" s="28"/>
      <c r="T606" s="25"/>
      <c r="U606" s="26"/>
      <c r="V606" s="26"/>
      <c r="W606" s="26"/>
      <c r="X606" s="27" t="str">
        <f aca="false">IF(B606&lt;&gt;"SOLD","",IF(C606="Consignment",N(W606)-R606,N(U606)-R606-N(V606)))</f>
        <v/>
      </c>
      <c r="Y606" s="29" t="str">
        <f aca="false">IF(OR(X606="",N(R606)=0),"",X606/R606)</f>
        <v/>
      </c>
      <c r="Z606" s="30" t="str">
        <f aca="true">IF(O606="","",IF(T606="",TODAY(),T606)-O606)</f>
        <v/>
      </c>
      <c r="AA606" s="31" t="str">
        <f aca="false">IF(T606="","",TEXT(T606,"YYYY-MM"))</f>
        <v/>
      </c>
      <c r="AB606" s="27" t="str">
        <f aca="false">IF(X606="","",X606/2)</f>
        <v/>
      </c>
      <c r="AC606" s="21"/>
    </row>
    <row r="607" customFormat="false" ht="15" hidden="false" customHeight="false" outlineLevel="0" collapsed="false">
      <c r="A607" s="20"/>
      <c r="B607" s="21"/>
      <c r="C607" s="21"/>
      <c r="D607" s="21"/>
      <c r="E607" s="21"/>
      <c r="F607" s="21"/>
      <c r="G607" s="22"/>
      <c r="H607" s="21"/>
      <c r="I607" s="21"/>
      <c r="J607" s="21"/>
      <c r="K607" s="23"/>
      <c r="L607" s="24"/>
      <c r="M607" s="21"/>
      <c r="N607" s="21"/>
      <c r="O607" s="25"/>
      <c r="P607" s="26"/>
      <c r="Q607" s="27" t="str">
        <f aca="false">IF(A607="","",SUMIF(Expenses!$B$2:$B$3000,A607,Expenses!$E$2:$E$3000))</f>
        <v/>
      </c>
      <c r="R607" s="27" t="str">
        <f aca="false">IF(A607="","",N(P607)+N(Q607))</f>
        <v/>
      </c>
      <c r="S607" s="28"/>
      <c r="T607" s="25"/>
      <c r="U607" s="26"/>
      <c r="V607" s="26"/>
      <c r="W607" s="26"/>
      <c r="X607" s="27" t="str">
        <f aca="false">IF(B607&lt;&gt;"SOLD","",IF(C607="Consignment",N(W607)-R607,N(U607)-R607-N(V607)))</f>
        <v/>
      </c>
      <c r="Y607" s="29" t="str">
        <f aca="false">IF(OR(X607="",N(R607)=0),"",X607/R607)</f>
        <v/>
      </c>
      <c r="Z607" s="30" t="str">
        <f aca="true">IF(O607="","",IF(T607="",TODAY(),T607)-O607)</f>
        <v/>
      </c>
      <c r="AA607" s="31" t="str">
        <f aca="false">IF(T607="","",TEXT(T607,"YYYY-MM"))</f>
        <v/>
      </c>
      <c r="AB607" s="27" t="str">
        <f aca="false">IF(X607="","",X607/2)</f>
        <v/>
      </c>
      <c r="AC607" s="21"/>
    </row>
    <row r="608" customFormat="false" ht="15" hidden="false" customHeight="false" outlineLevel="0" collapsed="false">
      <c r="A608" s="20"/>
      <c r="B608" s="21"/>
      <c r="C608" s="21"/>
      <c r="D608" s="21"/>
      <c r="E608" s="21"/>
      <c r="F608" s="21"/>
      <c r="G608" s="22"/>
      <c r="H608" s="21"/>
      <c r="I608" s="21"/>
      <c r="J608" s="21"/>
      <c r="K608" s="23"/>
      <c r="L608" s="24"/>
      <c r="M608" s="21"/>
      <c r="N608" s="21"/>
      <c r="O608" s="25"/>
      <c r="P608" s="26"/>
      <c r="Q608" s="27" t="str">
        <f aca="false">IF(A608="","",SUMIF(Expenses!$B$2:$B$3000,A608,Expenses!$E$2:$E$3000))</f>
        <v/>
      </c>
      <c r="R608" s="27" t="str">
        <f aca="false">IF(A608="","",N(P608)+N(Q608))</f>
        <v/>
      </c>
      <c r="S608" s="28"/>
      <c r="T608" s="25"/>
      <c r="U608" s="26"/>
      <c r="V608" s="26"/>
      <c r="W608" s="26"/>
      <c r="X608" s="27" t="str">
        <f aca="false">IF(B608&lt;&gt;"SOLD","",IF(C608="Consignment",N(W608)-R608,N(U608)-R608-N(V608)))</f>
        <v/>
      </c>
      <c r="Y608" s="29" t="str">
        <f aca="false">IF(OR(X608="",N(R608)=0),"",X608/R608)</f>
        <v/>
      </c>
      <c r="Z608" s="30" t="str">
        <f aca="true">IF(O608="","",IF(T608="",TODAY(),T608)-O608)</f>
        <v/>
      </c>
      <c r="AA608" s="31" t="str">
        <f aca="false">IF(T608="","",TEXT(T608,"YYYY-MM"))</f>
        <v/>
      </c>
      <c r="AB608" s="27" t="str">
        <f aca="false">IF(X608="","",X608/2)</f>
        <v/>
      </c>
      <c r="AC608" s="21"/>
    </row>
    <row r="609" customFormat="false" ht="15" hidden="false" customHeight="false" outlineLevel="0" collapsed="false">
      <c r="A609" s="20"/>
      <c r="B609" s="21"/>
      <c r="C609" s="21"/>
      <c r="D609" s="21"/>
      <c r="E609" s="21"/>
      <c r="F609" s="21"/>
      <c r="G609" s="22"/>
      <c r="H609" s="21"/>
      <c r="I609" s="21"/>
      <c r="J609" s="21"/>
      <c r="K609" s="23"/>
      <c r="L609" s="24"/>
      <c r="M609" s="21"/>
      <c r="N609" s="21"/>
      <c r="O609" s="25"/>
      <c r="P609" s="26"/>
      <c r="Q609" s="27" t="str">
        <f aca="false">IF(A609="","",SUMIF(Expenses!$B$2:$B$3000,A609,Expenses!$E$2:$E$3000))</f>
        <v/>
      </c>
      <c r="R609" s="27" t="str">
        <f aca="false">IF(A609="","",N(P609)+N(Q609))</f>
        <v/>
      </c>
      <c r="S609" s="28"/>
      <c r="T609" s="25"/>
      <c r="U609" s="26"/>
      <c r="V609" s="26"/>
      <c r="W609" s="26"/>
      <c r="X609" s="27" t="str">
        <f aca="false">IF(B609&lt;&gt;"SOLD","",IF(C609="Consignment",N(W609)-R609,N(U609)-R609-N(V609)))</f>
        <v/>
      </c>
      <c r="Y609" s="29" t="str">
        <f aca="false">IF(OR(X609="",N(R609)=0),"",X609/R609)</f>
        <v/>
      </c>
      <c r="Z609" s="30" t="str">
        <f aca="true">IF(O609="","",IF(T609="",TODAY(),T609)-O609)</f>
        <v/>
      </c>
      <c r="AA609" s="31" t="str">
        <f aca="false">IF(T609="","",TEXT(T609,"YYYY-MM"))</f>
        <v/>
      </c>
      <c r="AB609" s="27" t="str">
        <f aca="false">IF(X609="","",X609/2)</f>
        <v/>
      </c>
      <c r="AC609" s="21"/>
    </row>
    <row r="610" customFormat="false" ht="15" hidden="false" customHeight="false" outlineLevel="0" collapsed="false">
      <c r="A610" s="20"/>
      <c r="B610" s="21"/>
      <c r="C610" s="21"/>
      <c r="D610" s="21"/>
      <c r="E610" s="21"/>
      <c r="F610" s="21"/>
      <c r="G610" s="22"/>
      <c r="H610" s="21"/>
      <c r="I610" s="21"/>
      <c r="J610" s="21"/>
      <c r="K610" s="23"/>
      <c r="L610" s="24"/>
      <c r="M610" s="21"/>
      <c r="N610" s="21"/>
      <c r="O610" s="25"/>
      <c r="P610" s="26"/>
      <c r="Q610" s="27" t="str">
        <f aca="false">IF(A610="","",SUMIF(Expenses!$B$2:$B$3000,A610,Expenses!$E$2:$E$3000))</f>
        <v/>
      </c>
      <c r="R610" s="27" t="str">
        <f aca="false">IF(A610="","",N(P610)+N(Q610))</f>
        <v/>
      </c>
      <c r="S610" s="28"/>
      <c r="T610" s="25"/>
      <c r="U610" s="26"/>
      <c r="V610" s="26"/>
      <c r="W610" s="26"/>
      <c r="X610" s="27" t="str">
        <f aca="false">IF(B610&lt;&gt;"SOLD","",IF(C610="Consignment",N(W610)-R610,N(U610)-R610-N(V610)))</f>
        <v/>
      </c>
      <c r="Y610" s="29" t="str">
        <f aca="false">IF(OR(X610="",N(R610)=0),"",X610/R610)</f>
        <v/>
      </c>
      <c r="Z610" s="30" t="str">
        <f aca="true">IF(O610="","",IF(T610="",TODAY(),T610)-O610)</f>
        <v/>
      </c>
      <c r="AA610" s="31" t="str">
        <f aca="false">IF(T610="","",TEXT(T610,"YYYY-MM"))</f>
        <v/>
      </c>
      <c r="AB610" s="27" t="str">
        <f aca="false">IF(X610="","",X610/2)</f>
        <v/>
      </c>
      <c r="AC610" s="21"/>
    </row>
    <row r="611" customFormat="false" ht="15" hidden="false" customHeight="false" outlineLevel="0" collapsed="false">
      <c r="A611" s="20"/>
      <c r="B611" s="21"/>
      <c r="C611" s="21"/>
      <c r="D611" s="21"/>
      <c r="E611" s="21"/>
      <c r="F611" s="21"/>
      <c r="G611" s="22"/>
      <c r="H611" s="21"/>
      <c r="I611" s="21"/>
      <c r="J611" s="21"/>
      <c r="K611" s="23"/>
      <c r="L611" s="24"/>
      <c r="M611" s="21"/>
      <c r="N611" s="21"/>
      <c r="O611" s="25"/>
      <c r="P611" s="26"/>
      <c r="Q611" s="27" t="str">
        <f aca="false">IF(A611="","",SUMIF(Expenses!$B$2:$B$3000,A611,Expenses!$E$2:$E$3000))</f>
        <v/>
      </c>
      <c r="R611" s="27" t="str">
        <f aca="false">IF(A611="","",N(P611)+N(Q611))</f>
        <v/>
      </c>
      <c r="S611" s="28"/>
      <c r="T611" s="25"/>
      <c r="U611" s="26"/>
      <c r="V611" s="26"/>
      <c r="W611" s="26"/>
      <c r="X611" s="27" t="str">
        <f aca="false">IF(B611&lt;&gt;"SOLD","",IF(C611="Consignment",N(W611)-R611,N(U611)-R611-N(V611)))</f>
        <v/>
      </c>
      <c r="Y611" s="29" t="str">
        <f aca="false">IF(OR(X611="",N(R611)=0),"",X611/R611)</f>
        <v/>
      </c>
      <c r="Z611" s="30" t="str">
        <f aca="true">IF(O611="","",IF(T611="",TODAY(),T611)-O611)</f>
        <v/>
      </c>
      <c r="AA611" s="31" t="str">
        <f aca="false">IF(T611="","",TEXT(T611,"YYYY-MM"))</f>
        <v/>
      </c>
      <c r="AB611" s="27" t="str">
        <f aca="false">IF(X611="","",X611/2)</f>
        <v/>
      </c>
      <c r="AC611" s="21"/>
    </row>
    <row r="612" customFormat="false" ht="15" hidden="false" customHeight="false" outlineLevel="0" collapsed="false">
      <c r="A612" s="20"/>
      <c r="B612" s="21"/>
      <c r="C612" s="21"/>
      <c r="D612" s="21"/>
      <c r="E612" s="21"/>
      <c r="F612" s="21"/>
      <c r="G612" s="22"/>
      <c r="H612" s="21"/>
      <c r="I612" s="21"/>
      <c r="J612" s="21"/>
      <c r="K612" s="23"/>
      <c r="L612" s="24"/>
      <c r="M612" s="21"/>
      <c r="N612" s="21"/>
      <c r="O612" s="25"/>
      <c r="P612" s="26"/>
      <c r="Q612" s="27" t="str">
        <f aca="false">IF(A612="","",SUMIF(Expenses!$B$2:$B$3000,A612,Expenses!$E$2:$E$3000))</f>
        <v/>
      </c>
      <c r="R612" s="27" t="str">
        <f aca="false">IF(A612="","",N(P612)+N(Q612))</f>
        <v/>
      </c>
      <c r="S612" s="28"/>
      <c r="T612" s="25"/>
      <c r="U612" s="26"/>
      <c r="V612" s="26"/>
      <c r="W612" s="26"/>
      <c r="X612" s="27" t="str">
        <f aca="false">IF(B612&lt;&gt;"SOLD","",IF(C612="Consignment",N(W612)-R612,N(U612)-R612-N(V612)))</f>
        <v/>
      </c>
      <c r="Y612" s="29" t="str">
        <f aca="false">IF(OR(X612="",N(R612)=0),"",X612/R612)</f>
        <v/>
      </c>
      <c r="Z612" s="30" t="str">
        <f aca="true">IF(O612="","",IF(T612="",TODAY(),T612)-O612)</f>
        <v/>
      </c>
      <c r="AA612" s="31" t="str">
        <f aca="false">IF(T612="","",TEXT(T612,"YYYY-MM"))</f>
        <v/>
      </c>
      <c r="AB612" s="27" t="str">
        <f aca="false">IF(X612="","",X612/2)</f>
        <v/>
      </c>
      <c r="AC612" s="21"/>
    </row>
    <row r="613" customFormat="false" ht="15" hidden="false" customHeight="false" outlineLevel="0" collapsed="false">
      <c r="A613" s="20"/>
      <c r="B613" s="21"/>
      <c r="C613" s="21"/>
      <c r="D613" s="21"/>
      <c r="E613" s="21"/>
      <c r="F613" s="21"/>
      <c r="G613" s="22"/>
      <c r="H613" s="21"/>
      <c r="I613" s="21"/>
      <c r="J613" s="21"/>
      <c r="K613" s="23"/>
      <c r="L613" s="24"/>
      <c r="M613" s="21"/>
      <c r="N613" s="21"/>
      <c r="O613" s="25"/>
      <c r="P613" s="26"/>
      <c r="Q613" s="27" t="str">
        <f aca="false">IF(A613="","",SUMIF(Expenses!$B$2:$B$3000,A613,Expenses!$E$2:$E$3000))</f>
        <v/>
      </c>
      <c r="R613" s="27" t="str">
        <f aca="false">IF(A613="","",N(P613)+N(Q613))</f>
        <v/>
      </c>
      <c r="S613" s="28"/>
      <c r="T613" s="25"/>
      <c r="U613" s="26"/>
      <c r="V613" s="26"/>
      <c r="W613" s="26"/>
      <c r="X613" s="27" t="str">
        <f aca="false">IF(B613&lt;&gt;"SOLD","",IF(C613="Consignment",N(W613)-R613,N(U613)-R613-N(V613)))</f>
        <v/>
      </c>
      <c r="Y613" s="29" t="str">
        <f aca="false">IF(OR(X613="",N(R613)=0),"",X613/R613)</f>
        <v/>
      </c>
      <c r="Z613" s="30" t="str">
        <f aca="true">IF(O613="","",IF(T613="",TODAY(),T613)-O613)</f>
        <v/>
      </c>
      <c r="AA613" s="31" t="str">
        <f aca="false">IF(T613="","",TEXT(T613,"YYYY-MM"))</f>
        <v/>
      </c>
      <c r="AB613" s="27" t="str">
        <f aca="false">IF(X613="","",X613/2)</f>
        <v/>
      </c>
      <c r="AC613" s="21"/>
    </row>
    <row r="614" customFormat="false" ht="15" hidden="false" customHeight="false" outlineLevel="0" collapsed="false">
      <c r="A614" s="20"/>
      <c r="B614" s="21"/>
      <c r="C614" s="21"/>
      <c r="D614" s="21"/>
      <c r="E614" s="21"/>
      <c r="F614" s="21"/>
      <c r="G614" s="22"/>
      <c r="H614" s="21"/>
      <c r="I614" s="21"/>
      <c r="J614" s="21"/>
      <c r="K614" s="23"/>
      <c r="L614" s="24"/>
      <c r="M614" s="21"/>
      <c r="N614" s="21"/>
      <c r="O614" s="25"/>
      <c r="P614" s="26"/>
      <c r="Q614" s="27" t="str">
        <f aca="false">IF(A614="","",SUMIF(Expenses!$B$2:$B$3000,A614,Expenses!$E$2:$E$3000))</f>
        <v/>
      </c>
      <c r="R614" s="27" t="str">
        <f aca="false">IF(A614="","",N(P614)+N(Q614))</f>
        <v/>
      </c>
      <c r="S614" s="28"/>
      <c r="T614" s="25"/>
      <c r="U614" s="26"/>
      <c r="V614" s="26"/>
      <c r="W614" s="26"/>
      <c r="X614" s="27" t="str">
        <f aca="false">IF(B614&lt;&gt;"SOLD","",IF(C614="Consignment",N(W614)-R614,N(U614)-R614-N(V614)))</f>
        <v/>
      </c>
      <c r="Y614" s="29" t="str">
        <f aca="false">IF(OR(X614="",N(R614)=0),"",X614/R614)</f>
        <v/>
      </c>
      <c r="Z614" s="30" t="str">
        <f aca="true">IF(O614="","",IF(T614="",TODAY(),T614)-O614)</f>
        <v/>
      </c>
      <c r="AA614" s="31" t="str">
        <f aca="false">IF(T614="","",TEXT(T614,"YYYY-MM"))</f>
        <v/>
      </c>
      <c r="AB614" s="27" t="str">
        <f aca="false">IF(X614="","",X614/2)</f>
        <v/>
      </c>
      <c r="AC614" s="21"/>
    </row>
    <row r="615" customFormat="false" ht="15" hidden="false" customHeight="false" outlineLevel="0" collapsed="false">
      <c r="A615" s="20"/>
      <c r="B615" s="21"/>
      <c r="C615" s="21"/>
      <c r="D615" s="21"/>
      <c r="E615" s="21"/>
      <c r="F615" s="21"/>
      <c r="G615" s="22"/>
      <c r="H615" s="21"/>
      <c r="I615" s="21"/>
      <c r="J615" s="21"/>
      <c r="K615" s="23"/>
      <c r="L615" s="24"/>
      <c r="M615" s="21"/>
      <c r="N615" s="21"/>
      <c r="O615" s="25"/>
      <c r="P615" s="26"/>
      <c r="Q615" s="27" t="str">
        <f aca="false">IF(A615="","",SUMIF(Expenses!$B$2:$B$3000,A615,Expenses!$E$2:$E$3000))</f>
        <v/>
      </c>
      <c r="R615" s="27" t="str">
        <f aca="false">IF(A615="","",N(P615)+N(Q615))</f>
        <v/>
      </c>
      <c r="S615" s="28"/>
      <c r="T615" s="25"/>
      <c r="U615" s="26"/>
      <c r="V615" s="26"/>
      <c r="W615" s="26"/>
      <c r="X615" s="27" t="str">
        <f aca="false">IF(B615&lt;&gt;"SOLD","",IF(C615="Consignment",N(W615)-R615,N(U615)-R615-N(V615)))</f>
        <v/>
      </c>
      <c r="Y615" s="29" t="str">
        <f aca="false">IF(OR(X615="",N(R615)=0),"",X615/R615)</f>
        <v/>
      </c>
      <c r="Z615" s="30" t="str">
        <f aca="true">IF(O615="","",IF(T615="",TODAY(),T615)-O615)</f>
        <v/>
      </c>
      <c r="AA615" s="31" t="str">
        <f aca="false">IF(T615="","",TEXT(T615,"YYYY-MM"))</f>
        <v/>
      </c>
      <c r="AB615" s="27" t="str">
        <f aca="false">IF(X615="","",X615/2)</f>
        <v/>
      </c>
      <c r="AC615" s="21"/>
    </row>
    <row r="616" customFormat="false" ht="15" hidden="false" customHeight="false" outlineLevel="0" collapsed="false">
      <c r="A616" s="20"/>
      <c r="B616" s="21"/>
      <c r="C616" s="21"/>
      <c r="D616" s="21"/>
      <c r="E616" s="21"/>
      <c r="F616" s="21"/>
      <c r="G616" s="22"/>
      <c r="H616" s="21"/>
      <c r="I616" s="21"/>
      <c r="J616" s="21"/>
      <c r="K616" s="23"/>
      <c r="L616" s="24"/>
      <c r="M616" s="21"/>
      <c r="N616" s="21"/>
      <c r="O616" s="25"/>
      <c r="P616" s="26"/>
      <c r="Q616" s="27" t="str">
        <f aca="false">IF(A616="","",SUMIF(Expenses!$B$2:$B$3000,A616,Expenses!$E$2:$E$3000))</f>
        <v/>
      </c>
      <c r="R616" s="27" t="str">
        <f aca="false">IF(A616="","",N(P616)+N(Q616))</f>
        <v/>
      </c>
      <c r="S616" s="28"/>
      <c r="T616" s="25"/>
      <c r="U616" s="26"/>
      <c r="V616" s="26"/>
      <c r="W616" s="26"/>
      <c r="X616" s="27" t="str">
        <f aca="false">IF(B616&lt;&gt;"SOLD","",IF(C616="Consignment",N(W616)-R616,N(U616)-R616-N(V616)))</f>
        <v/>
      </c>
      <c r="Y616" s="29" t="str">
        <f aca="false">IF(OR(X616="",N(R616)=0),"",X616/R616)</f>
        <v/>
      </c>
      <c r="Z616" s="30" t="str">
        <f aca="true">IF(O616="","",IF(T616="",TODAY(),T616)-O616)</f>
        <v/>
      </c>
      <c r="AA616" s="31" t="str">
        <f aca="false">IF(T616="","",TEXT(T616,"YYYY-MM"))</f>
        <v/>
      </c>
      <c r="AB616" s="27" t="str">
        <f aca="false">IF(X616="","",X616/2)</f>
        <v/>
      </c>
      <c r="AC616" s="21"/>
    </row>
    <row r="617" customFormat="false" ht="15" hidden="false" customHeight="false" outlineLevel="0" collapsed="false">
      <c r="A617" s="20"/>
      <c r="B617" s="21"/>
      <c r="C617" s="21"/>
      <c r="D617" s="21"/>
      <c r="E617" s="21"/>
      <c r="F617" s="21"/>
      <c r="G617" s="22"/>
      <c r="H617" s="21"/>
      <c r="I617" s="21"/>
      <c r="J617" s="21"/>
      <c r="K617" s="23"/>
      <c r="L617" s="24"/>
      <c r="M617" s="21"/>
      <c r="N617" s="21"/>
      <c r="O617" s="25"/>
      <c r="P617" s="26"/>
      <c r="Q617" s="27" t="str">
        <f aca="false">IF(A617="","",SUMIF(Expenses!$B$2:$B$3000,A617,Expenses!$E$2:$E$3000))</f>
        <v/>
      </c>
      <c r="R617" s="27" t="str">
        <f aca="false">IF(A617="","",N(P617)+N(Q617))</f>
        <v/>
      </c>
      <c r="S617" s="28"/>
      <c r="T617" s="25"/>
      <c r="U617" s="26"/>
      <c r="V617" s="26"/>
      <c r="W617" s="26"/>
      <c r="X617" s="27" t="str">
        <f aca="false">IF(B617&lt;&gt;"SOLD","",IF(C617="Consignment",N(W617)-R617,N(U617)-R617-N(V617)))</f>
        <v/>
      </c>
      <c r="Y617" s="29" t="str">
        <f aca="false">IF(OR(X617="",N(R617)=0),"",X617/R617)</f>
        <v/>
      </c>
      <c r="Z617" s="30" t="str">
        <f aca="true">IF(O617="","",IF(T617="",TODAY(),T617)-O617)</f>
        <v/>
      </c>
      <c r="AA617" s="31" t="str">
        <f aca="false">IF(T617="","",TEXT(T617,"YYYY-MM"))</f>
        <v/>
      </c>
      <c r="AB617" s="27" t="str">
        <f aca="false">IF(X617="","",X617/2)</f>
        <v/>
      </c>
      <c r="AC617" s="21"/>
    </row>
    <row r="618" customFormat="false" ht="15" hidden="false" customHeight="false" outlineLevel="0" collapsed="false">
      <c r="A618" s="20"/>
      <c r="B618" s="21"/>
      <c r="C618" s="21"/>
      <c r="D618" s="21"/>
      <c r="E618" s="21"/>
      <c r="F618" s="21"/>
      <c r="G618" s="22"/>
      <c r="H618" s="21"/>
      <c r="I618" s="21"/>
      <c r="J618" s="21"/>
      <c r="K618" s="23"/>
      <c r="L618" s="24"/>
      <c r="M618" s="21"/>
      <c r="N618" s="21"/>
      <c r="O618" s="25"/>
      <c r="P618" s="26"/>
      <c r="Q618" s="27" t="str">
        <f aca="false">IF(A618="","",SUMIF(Expenses!$B$2:$B$3000,A618,Expenses!$E$2:$E$3000))</f>
        <v/>
      </c>
      <c r="R618" s="27" t="str">
        <f aca="false">IF(A618="","",N(P618)+N(Q618))</f>
        <v/>
      </c>
      <c r="S618" s="28"/>
      <c r="T618" s="25"/>
      <c r="U618" s="26"/>
      <c r="V618" s="26"/>
      <c r="W618" s="26"/>
      <c r="X618" s="27" t="str">
        <f aca="false">IF(B618&lt;&gt;"SOLD","",IF(C618="Consignment",N(W618)-R618,N(U618)-R618-N(V618)))</f>
        <v/>
      </c>
      <c r="Y618" s="29" t="str">
        <f aca="false">IF(OR(X618="",N(R618)=0),"",X618/R618)</f>
        <v/>
      </c>
      <c r="Z618" s="30" t="str">
        <f aca="true">IF(O618="","",IF(T618="",TODAY(),T618)-O618)</f>
        <v/>
      </c>
      <c r="AA618" s="31" t="str">
        <f aca="false">IF(T618="","",TEXT(T618,"YYYY-MM"))</f>
        <v/>
      </c>
      <c r="AB618" s="27" t="str">
        <f aca="false">IF(X618="","",X618/2)</f>
        <v/>
      </c>
      <c r="AC618" s="21"/>
    </row>
    <row r="619" customFormat="false" ht="15" hidden="false" customHeight="false" outlineLevel="0" collapsed="false">
      <c r="A619" s="20"/>
      <c r="B619" s="21"/>
      <c r="C619" s="21"/>
      <c r="D619" s="21"/>
      <c r="E619" s="21"/>
      <c r="F619" s="21"/>
      <c r="G619" s="22"/>
      <c r="H619" s="21"/>
      <c r="I619" s="21"/>
      <c r="J619" s="21"/>
      <c r="K619" s="23"/>
      <c r="L619" s="24"/>
      <c r="M619" s="21"/>
      <c r="N619" s="21"/>
      <c r="O619" s="25"/>
      <c r="P619" s="26"/>
      <c r="Q619" s="27" t="str">
        <f aca="false">IF(A619="","",SUMIF(Expenses!$B$2:$B$3000,A619,Expenses!$E$2:$E$3000))</f>
        <v/>
      </c>
      <c r="R619" s="27" t="str">
        <f aca="false">IF(A619="","",N(P619)+N(Q619))</f>
        <v/>
      </c>
      <c r="S619" s="28"/>
      <c r="T619" s="25"/>
      <c r="U619" s="26"/>
      <c r="V619" s="26"/>
      <c r="W619" s="26"/>
      <c r="X619" s="27" t="str">
        <f aca="false">IF(B619&lt;&gt;"SOLD","",IF(C619="Consignment",N(W619)-R619,N(U619)-R619-N(V619)))</f>
        <v/>
      </c>
      <c r="Y619" s="29" t="str">
        <f aca="false">IF(OR(X619="",N(R619)=0),"",X619/R619)</f>
        <v/>
      </c>
      <c r="Z619" s="30" t="str">
        <f aca="true">IF(O619="","",IF(T619="",TODAY(),T619)-O619)</f>
        <v/>
      </c>
      <c r="AA619" s="31" t="str">
        <f aca="false">IF(T619="","",TEXT(T619,"YYYY-MM"))</f>
        <v/>
      </c>
      <c r="AB619" s="27" t="str">
        <f aca="false">IF(X619="","",X619/2)</f>
        <v/>
      </c>
      <c r="AC619" s="21"/>
    </row>
    <row r="620" customFormat="false" ht="15" hidden="false" customHeight="false" outlineLevel="0" collapsed="false">
      <c r="A620" s="20"/>
      <c r="B620" s="21"/>
      <c r="C620" s="21"/>
      <c r="D620" s="21"/>
      <c r="E620" s="21"/>
      <c r="F620" s="21"/>
      <c r="G620" s="22"/>
      <c r="H620" s="21"/>
      <c r="I620" s="21"/>
      <c r="J620" s="21"/>
      <c r="K620" s="23"/>
      <c r="L620" s="24"/>
      <c r="M620" s="21"/>
      <c r="N620" s="21"/>
      <c r="O620" s="25"/>
      <c r="P620" s="26"/>
      <c r="Q620" s="27" t="str">
        <f aca="false">IF(A620="","",SUMIF(Expenses!$B$2:$B$3000,A620,Expenses!$E$2:$E$3000))</f>
        <v/>
      </c>
      <c r="R620" s="27" t="str">
        <f aca="false">IF(A620="","",N(P620)+N(Q620))</f>
        <v/>
      </c>
      <c r="S620" s="28"/>
      <c r="T620" s="25"/>
      <c r="U620" s="26"/>
      <c r="V620" s="26"/>
      <c r="W620" s="26"/>
      <c r="X620" s="27" t="str">
        <f aca="false">IF(B620&lt;&gt;"SOLD","",IF(C620="Consignment",N(W620)-R620,N(U620)-R620-N(V620)))</f>
        <v/>
      </c>
      <c r="Y620" s="29" t="str">
        <f aca="false">IF(OR(X620="",N(R620)=0),"",X620/R620)</f>
        <v/>
      </c>
      <c r="Z620" s="30" t="str">
        <f aca="true">IF(O620="","",IF(T620="",TODAY(),T620)-O620)</f>
        <v/>
      </c>
      <c r="AA620" s="31" t="str">
        <f aca="false">IF(T620="","",TEXT(T620,"YYYY-MM"))</f>
        <v/>
      </c>
      <c r="AB620" s="27" t="str">
        <f aca="false">IF(X620="","",X620/2)</f>
        <v/>
      </c>
      <c r="AC620" s="21"/>
    </row>
    <row r="621" customFormat="false" ht="15" hidden="false" customHeight="false" outlineLevel="0" collapsed="false">
      <c r="A621" s="20"/>
      <c r="B621" s="21"/>
      <c r="C621" s="21"/>
      <c r="D621" s="21"/>
      <c r="E621" s="21"/>
      <c r="F621" s="21"/>
      <c r="G621" s="22"/>
      <c r="H621" s="21"/>
      <c r="I621" s="21"/>
      <c r="J621" s="21"/>
      <c r="K621" s="23"/>
      <c r="L621" s="24"/>
      <c r="M621" s="21"/>
      <c r="N621" s="21"/>
      <c r="O621" s="25"/>
      <c r="P621" s="26"/>
      <c r="Q621" s="27" t="str">
        <f aca="false">IF(A621="","",SUMIF(Expenses!$B$2:$B$3000,A621,Expenses!$E$2:$E$3000))</f>
        <v/>
      </c>
      <c r="R621" s="27" t="str">
        <f aca="false">IF(A621="","",N(P621)+N(Q621))</f>
        <v/>
      </c>
      <c r="S621" s="28"/>
      <c r="T621" s="25"/>
      <c r="U621" s="26"/>
      <c r="V621" s="26"/>
      <c r="W621" s="26"/>
      <c r="X621" s="27" t="str">
        <f aca="false">IF(B621&lt;&gt;"SOLD","",IF(C621="Consignment",N(W621)-R621,N(U621)-R621-N(V621)))</f>
        <v/>
      </c>
      <c r="Y621" s="29" t="str">
        <f aca="false">IF(OR(X621="",N(R621)=0),"",X621/R621)</f>
        <v/>
      </c>
      <c r="Z621" s="30" t="str">
        <f aca="true">IF(O621="","",IF(T621="",TODAY(),T621)-O621)</f>
        <v/>
      </c>
      <c r="AA621" s="31" t="str">
        <f aca="false">IF(T621="","",TEXT(T621,"YYYY-MM"))</f>
        <v/>
      </c>
      <c r="AB621" s="27" t="str">
        <f aca="false">IF(X621="","",X621/2)</f>
        <v/>
      </c>
      <c r="AC621" s="21"/>
    </row>
    <row r="622" customFormat="false" ht="15" hidden="false" customHeight="false" outlineLevel="0" collapsed="false">
      <c r="A622" s="20"/>
      <c r="B622" s="21"/>
      <c r="C622" s="21"/>
      <c r="D622" s="21"/>
      <c r="E622" s="21"/>
      <c r="F622" s="21"/>
      <c r="G622" s="22"/>
      <c r="H622" s="21"/>
      <c r="I622" s="21"/>
      <c r="J622" s="21"/>
      <c r="K622" s="23"/>
      <c r="L622" s="24"/>
      <c r="M622" s="21"/>
      <c r="N622" s="21"/>
      <c r="O622" s="25"/>
      <c r="P622" s="26"/>
      <c r="Q622" s="27" t="str">
        <f aca="false">IF(A622="","",SUMIF(Expenses!$B$2:$B$3000,A622,Expenses!$E$2:$E$3000))</f>
        <v/>
      </c>
      <c r="R622" s="27" t="str">
        <f aca="false">IF(A622="","",N(P622)+N(Q622))</f>
        <v/>
      </c>
      <c r="S622" s="28"/>
      <c r="T622" s="25"/>
      <c r="U622" s="26"/>
      <c r="V622" s="26"/>
      <c r="W622" s="26"/>
      <c r="X622" s="27" t="str">
        <f aca="false">IF(B622&lt;&gt;"SOLD","",IF(C622="Consignment",N(W622)-R622,N(U622)-R622-N(V622)))</f>
        <v/>
      </c>
      <c r="Y622" s="29" t="str">
        <f aca="false">IF(OR(X622="",N(R622)=0),"",X622/R622)</f>
        <v/>
      </c>
      <c r="Z622" s="30" t="str">
        <f aca="true">IF(O622="","",IF(T622="",TODAY(),T622)-O622)</f>
        <v/>
      </c>
      <c r="AA622" s="31" t="str">
        <f aca="false">IF(T622="","",TEXT(T622,"YYYY-MM"))</f>
        <v/>
      </c>
      <c r="AB622" s="27" t="str">
        <f aca="false">IF(X622="","",X622/2)</f>
        <v/>
      </c>
      <c r="AC622" s="21"/>
    </row>
    <row r="623" customFormat="false" ht="15" hidden="false" customHeight="false" outlineLevel="0" collapsed="false">
      <c r="A623" s="20"/>
      <c r="B623" s="21"/>
      <c r="C623" s="21"/>
      <c r="D623" s="21"/>
      <c r="E623" s="21"/>
      <c r="F623" s="21"/>
      <c r="G623" s="22"/>
      <c r="H623" s="21"/>
      <c r="I623" s="21"/>
      <c r="J623" s="21"/>
      <c r="K623" s="23"/>
      <c r="L623" s="24"/>
      <c r="M623" s="21"/>
      <c r="N623" s="21"/>
      <c r="O623" s="25"/>
      <c r="P623" s="26"/>
      <c r="Q623" s="27" t="str">
        <f aca="false">IF(A623="","",SUMIF(Expenses!$B$2:$B$3000,A623,Expenses!$E$2:$E$3000))</f>
        <v/>
      </c>
      <c r="R623" s="27" t="str">
        <f aca="false">IF(A623="","",N(P623)+N(Q623))</f>
        <v/>
      </c>
      <c r="S623" s="28"/>
      <c r="T623" s="25"/>
      <c r="U623" s="26"/>
      <c r="V623" s="26"/>
      <c r="W623" s="26"/>
      <c r="X623" s="27" t="str">
        <f aca="false">IF(B623&lt;&gt;"SOLD","",IF(C623="Consignment",N(W623)-R623,N(U623)-R623-N(V623)))</f>
        <v/>
      </c>
      <c r="Y623" s="29" t="str">
        <f aca="false">IF(OR(X623="",N(R623)=0),"",X623/R623)</f>
        <v/>
      </c>
      <c r="Z623" s="30" t="str">
        <f aca="true">IF(O623="","",IF(T623="",TODAY(),T623)-O623)</f>
        <v/>
      </c>
      <c r="AA623" s="31" t="str">
        <f aca="false">IF(T623="","",TEXT(T623,"YYYY-MM"))</f>
        <v/>
      </c>
      <c r="AB623" s="27" t="str">
        <f aca="false">IF(X623="","",X623/2)</f>
        <v/>
      </c>
      <c r="AC623" s="21"/>
    </row>
    <row r="624" customFormat="false" ht="15" hidden="false" customHeight="false" outlineLevel="0" collapsed="false">
      <c r="A624" s="20"/>
      <c r="B624" s="21"/>
      <c r="C624" s="21"/>
      <c r="D624" s="21"/>
      <c r="E624" s="21"/>
      <c r="F624" s="21"/>
      <c r="G624" s="22"/>
      <c r="H624" s="21"/>
      <c r="I624" s="21"/>
      <c r="J624" s="21"/>
      <c r="K624" s="23"/>
      <c r="L624" s="24"/>
      <c r="M624" s="21"/>
      <c r="N624" s="21"/>
      <c r="O624" s="25"/>
      <c r="P624" s="26"/>
      <c r="Q624" s="27" t="str">
        <f aca="false">IF(A624="","",SUMIF(Expenses!$B$2:$B$3000,A624,Expenses!$E$2:$E$3000))</f>
        <v/>
      </c>
      <c r="R624" s="27" t="str">
        <f aca="false">IF(A624="","",N(P624)+N(Q624))</f>
        <v/>
      </c>
      <c r="S624" s="28"/>
      <c r="T624" s="25"/>
      <c r="U624" s="26"/>
      <c r="V624" s="26"/>
      <c r="W624" s="26"/>
      <c r="X624" s="27" t="str">
        <f aca="false">IF(B624&lt;&gt;"SOLD","",IF(C624="Consignment",N(W624)-R624,N(U624)-R624-N(V624)))</f>
        <v/>
      </c>
      <c r="Y624" s="29" t="str">
        <f aca="false">IF(OR(X624="",N(R624)=0),"",X624/R624)</f>
        <v/>
      </c>
      <c r="Z624" s="30" t="str">
        <f aca="true">IF(O624="","",IF(T624="",TODAY(),T624)-O624)</f>
        <v/>
      </c>
      <c r="AA624" s="31" t="str">
        <f aca="false">IF(T624="","",TEXT(T624,"YYYY-MM"))</f>
        <v/>
      </c>
      <c r="AB624" s="27" t="str">
        <f aca="false">IF(X624="","",X624/2)</f>
        <v/>
      </c>
      <c r="AC624" s="21"/>
    </row>
    <row r="625" customFormat="false" ht="15" hidden="false" customHeight="false" outlineLevel="0" collapsed="false">
      <c r="A625" s="20"/>
      <c r="B625" s="21"/>
      <c r="C625" s="21"/>
      <c r="D625" s="21"/>
      <c r="E625" s="21"/>
      <c r="F625" s="21"/>
      <c r="G625" s="22"/>
      <c r="H625" s="21"/>
      <c r="I625" s="21"/>
      <c r="J625" s="21"/>
      <c r="K625" s="23"/>
      <c r="L625" s="24"/>
      <c r="M625" s="21"/>
      <c r="N625" s="21"/>
      <c r="O625" s="25"/>
      <c r="P625" s="26"/>
      <c r="Q625" s="27" t="str">
        <f aca="false">IF(A625="","",SUMIF(Expenses!$B$2:$B$3000,A625,Expenses!$E$2:$E$3000))</f>
        <v/>
      </c>
      <c r="R625" s="27" t="str">
        <f aca="false">IF(A625="","",N(P625)+N(Q625))</f>
        <v/>
      </c>
      <c r="S625" s="28"/>
      <c r="T625" s="25"/>
      <c r="U625" s="26"/>
      <c r="V625" s="26"/>
      <c r="W625" s="26"/>
      <c r="X625" s="27" t="str">
        <f aca="false">IF(B625&lt;&gt;"SOLD","",IF(C625="Consignment",N(W625)-R625,N(U625)-R625-N(V625)))</f>
        <v/>
      </c>
      <c r="Y625" s="29" t="str">
        <f aca="false">IF(OR(X625="",N(R625)=0),"",X625/R625)</f>
        <v/>
      </c>
      <c r="Z625" s="30" t="str">
        <f aca="true">IF(O625="","",IF(T625="",TODAY(),T625)-O625)</f>
        <v/>
      </c>
      <c r="AA625" s="31" t="str">
        <f aca="false">IF(T625="","",TEXT(T625,"YYYY-MM"))</f>
        <v/>
      </c>
      <c r="AB625" s="27" t="str">
        <f aca="false">IF(X625="","",X625/2)</f>
        <v/>
      </c>
      <c r="AC625" s="21"/>
    </row>
    <row r="626" customFormat="false" ht="15" hidden="false" customHeight="false" outlineLevel="0" collapsed="false">
      <c r="A626" s="20"/>
      <c r="B626" s="21"/>
      <c r="C626" s="21"/>
      <c r="D626" s="21"/>
      <c r="E626" s="21"/>
      <c r="F626" s="21"/>
      <c r="G626" s="22"/>
      <c r="H626" s="21"/>
      <c r="I626" s="21"/>
      <c r="J626" s="21"/>
      <c r="K626" s="23"/>
      <c r="L626" s="24"/>
      <c r="M626" s="21"/>
      <c r="N626" s="21"/>
      <c r="O626" s="25"/>
      <c r="P626" s="26"/>
      <c r="Q626" s="27" t="str">
        <f aca="false">IF(A626="","",SUMIF(Expenses!$B$2:$B$3000,A626,Expenses!$E$2:$E$3000))</f>
        <v/>
      </c>
      <c r="R626" s="27" t="str">
        <f aca="false">IF(A626="","",N(P626)+N(Q626))</f>
        <v/>
      </c>
      <c r="S626" s="28"/>
      <c r="T626" s="25"/>
      <c r="U626" s="26"/>
      <c r="V626" s="26"/>
      <c r="W626" s="26"/>
      <c r="X626" s="27" t="str">
        <f aca="false">IF(B626&lt;&gt;"SOLD","",IF(C626="Consignment",N(W626)-R626,N(U626)-R626-N(V626)))</f>
        <v/>
      </c>
      <c r="Y626" s="29" t="str">
        <f aca="false">IF(OR(X626="",N(R626)=0),"",X626/R626)</f>
        <v/>
      </c>
      <c r="Z626" s="30" t="str">
        <f aca="true">IF(O626="","",IF(T626="",TODAY(),T626)-O626)</f>
        <v/>
      </c>
      <c r="AA626" s="31" t="str">
        <f aca="false">IF(T626="","",TEXT(T626,"YYYY-MM"))</f>
        <v/>
      </c>
      <c r="AB626" s="27" t="str">
        <f aca="false">IF(X626="","",X626/2)</f>
        <v/>
      </c>
      <c r="AC626" s="21"/>
    </row>
    <row r="627" customFormat="false" ht="15" hidden="false" customHeight="false" outlineLevel="0" collapsed="false">
      <c r="A627" s="20"/>
      <c r="B627" s="21"/>
      <c r="C627" s="21"/>
      <c r="D627" s="21"/>
      <c r="E627" s="21"/>
      <c r="F627" s="21"/>
      <c r="G627" s="22"/>
      <c r="H627" s="21"/>
      <c r="I627" s="21"/>
      <c r="J627" s="21"/>
      <c r="K627" s="23"/>
      <c r="L627" s="24"/>
      <c r="M627" s="21"/>
      <c r="N627" s="21"/>
      <c r="O627" s="25"/>
      <c r="P627" s="26"/>
      <c r="Q627" s="27" t="str">
        <f aca="false">IF(A627="","",SUMIF(Expenses!$B$2:$B$3000,A627,Expenses!$E$2:$E$3000))</f>
        <v/>
      </c>
      <c r="R627" s="27" t="str">
        <f aca="false">IF(A627="","",N(P627)+N(Q627))</f>
        <v/>
      </c>
      <c r="S627" s="28"/>
      <c r="T627" s="25"/>
      <c r="U627" s="26"/>
      <c r="V627" s="26"/>
      <c r="W627" s="26"/>
      <c r="X627" s="27" t="str">
        <f aca="false">IF(B627&lt;&gt;"SOLD","",IF(C627="Consignment",N(W627)-R627,N(U627)-R627-N(V627)))</f>
        <v/>
      </c>
      <c r="Y627" s="29" t="str">
        <f aca="false">IF(OR(X627="",N(R627)=0),"",X627/R627)</f>
        <v/>
      </c>
      <c r="Z627" s="30" t="str">
        <f aca="true">IF(O627="","",IF(T627="",TODAY(),T627)-O627)</f>
        <v/>
      </c>
      <c r="AA627" s="31" t="str">
        <f aca="false">IF(T627="","",TEXT(T627,"YYYY-MM"))</f>
        <v/>
      </c>
      <c r="AB627" s="27" t="str">
        <f aca="false">IF(X627="","",X627/2)</f>
        <v/>
      </c>
      <c r="AC627" s="21"/>
    </row>
    <row r="628" customFormat="false" ht="15" hidden="false" customHeight="false" outlineLevel="0" collapsed="false">
      <c r="A628" s="20"/>
      <c r="B628" s="21"/>
      <c r="C628" s="21"/>
      <c r="D628" s="21"/>
      <c r="E628" s="21"/>
      <c r="F628" s="21"/>
      <c r="G628" s="22"/>
      <c r="H628" s="21"/>
      <c r="I628" s="21"/>
      <c r="J628" s="21"/>
      <c r="K628" s="23"/>
      <c r="L628" s="24"/>
      <c r="M628" s="21"/>
      <c r="N628" s="21"/>
      <c r="O628" s="25"/>
      <c r="P628" s="26"/>
      <c r="Q628" s="27" t="str">
        <f aca="false">IF(A628="","",SUMIF(Expenses!$B$2:$B$3000,A628,Expenses!$E$2:$E$3000))</f>
        <v/>
      </c>
      <c r="R628" s="27" t="str">
        <f aca="false">IF(A628="","",N(P628)+N(Q628))</f>
        <v/>
      </c>
      <c r="S628" s="28"/>
      <c r="T628" s="25"/>
      <c r="U628" s="26"/>
      <c r="V628" s="26"/>
      <c r="W628" s="26"/>
      <c r="X628" s="27" t="str">
        <f aca="false">IF(B628&lt;&gt;"SOLD","",IF(C628="Consignment",N(W628)-R628,N(U628)-R628-N(V628)))</f>
        <v/>
      </c>
      <c r="Y628" s="29" t="str">
        <f aca="false">IF(OR(X628="",N(R628)=0),"",X628/R628)</f>
        <v/>
      </c>
      <c r="Z628" s="30" t="str">
        <f aca="true">IF(O628="","",IF(T628="",TODAY(),T628)-O628)</f>
        <v/>
      </c>
      <c r="AA628" s="31" t="str">
        <f aca="false">IF(T628="","",TEXT(T628,"YYYY-MM"))</f>
        <v/>
      </c>
      <c r="AB628" s="27" t="str">
        <f aca="false">IF(X628="","",X628/2)</f>
        <v/>
      </c>
      <c r="AC628" s="21"/>
    </row>
    <row r="629" customFormat="false" ht="15" hidden="false" customHeight="false" outlineLevel="0" collapsed="false">
      <c r="A629" s="20"/>
      <c r="B629" s="21"/>
      <c r="C629" s="21"/>
      <c r="D629" s="21"/>
      <c r="E629" s="21"/>
      <c r="F629" s="21"/>
      <c r="G629" s="22"/>
      <c r="H629" s="21"/>
      <c r="I629" s="21"/>
      <c r="J629" s="21"/>
      <c r="K629" s="23"/>
      <c r="L629" s="24"/>
      <c r="M629" s="21"/>
      <c r="N629" s="21"/>
      <c r="O629" s="25"/>
      <c r="P629" s="26"/>
      <c r="Q629" s="27" t="str">
        <f aca="false">IF(A629="","",SUMIF(Expenses!$B$2:$B$3000,A629,Expenses!$E$2:$E$3000))</f>
        <v/>
      </c>
      <c r="R629" s="27" t="str">
        <f aca="false">IF(A629="","",N(P629)+N(Q629))</f>
        <v/>
      </c>
      <c r="S629" s="28"/>
      <c r="T629" s="25"/>
      <c r="U629" s="26"/>
      <c r="V629" s="26"/>
      <c r="W629" s="26"/>
      <c r="X629" s="27" t="str">
        <f aca="false">IF(B629&lt;&gt;"SOLD","",IF(C629="Consignment",N(W629)-R629,N(U629)-R629-N(V629)))</f>
        <v/>
      </c>
      <c r="Y629" s="29" t="str">
        <f aca="false">IF(OR(X629="",N(R629)=0),"",X629/R629)</f>
        <v/>
      </c>
      <c r="Z629" s="30" t="str">
        <f aca="true">IF(O629="","",IF(T629="",TODAY(),T629)-O629)</f>
        <v/>
      </c>
      <c r="AA629" s="31" t="str">
        <f aca="false">IF(T629="","",TEXT(T629,"YYYY-MM"))</f>
        <v/>
      </c>
      <c r="AB629" s="27" t="str">
        <f aca="false">IF(X629="","",X629/2)</f>
        <v/>
      </c>
      <c r="AC629" s="21"/>
    </row>
    <row r="630" customFormat="false" ht="15" hidden="false" customHeight="false" outlineLevel="0" collapsed="false">
      <c r="A630" s="20"/>
      <c r="B630" s="21"/>
      <c r="C630" s="21"/>
      <c r="D630" s="21"/>
      <c r="E630" s="21"/>
      <c r="F630" s="21"/>
      <c r="G630" s="22"/>
      <c r="H630" s="21"/>
      <c r="I630" s="21"/>
      <c r="J630" s="21"/>
      <c r="K630" s="23"/>
      <c r="L630" s="24"/>
      <c r="M630" s="21"/>
      <c r="N630" s="21"/>
      <c r="O630" s="25"/>
      <c r="P630" s="26"/>
      <c r="Q630" s="27" t="str">
        <f aca="false">IF(A630="","",SUMIF(Expenses!$B$2:$B$3000,A630,Expenses!$E$2:$E$3000))</f>
        <v/>
      </c>
      <c r="R630" s="27" t="str">
        <f aca="false">IF(A630="","",N(P630)+N(Q630))</f>
        <v/>
      </c>
      <c r="S630" s="28"/>
      <c r="T630" s="25"/>
      <c r="U630" s="26"/>
      <c r="V630" s="26"/>
      <c r="W630" s="26"/>
      <c r="X630" s="27" t="str">
        <f aca="false">IF(B630&lt;&gt;"SOLD","",IF(C630="Consignment",N(W630)-R630,N(U630)-R630-N(V630)))</f>
        <v/>
      </c>
      <c r="Y630" s="29" t="str">
        <f aca="false">IF(OR(X630="",N(R630)=0),"",X630/R630)</f>
        <v/>
      </c>
      <c r="Z630" s="30" t="str">
        <f aca="true">IF(O630="","",IF(T630="",TODAY(),T630)-O630)</f>
        <v/>
      </c>
      <c r="AA630" s="31" t="str">
        <f aca="false">IF(T630="","",TEXT(T630,"YYYY-MM"))</f>
        <v/>
      </c>
      <c r="AB630" s="27" t="str">
        <f aca="false">IF(X630="","",X630/2)</f>
        <v/>
      </c>
      <c r="AC630" s="21"/>
    </row>
    <row r="631" customFormat="false" ht="15" hidden="false" customHeight="false" outlineLevel="0" collapsed="false">
      <c r="A631" s="20"/>
      <c r="B631" s="21"/>
      <c r="C631" s="21"/>
      <c r="D631" s="21"/>
      <c r="E631" s="21"/>
      <c r="F631" s="21"/>
      <c r="G631" s="22"/>
      <c r="H631" s="21"/>
      <c r="I631" s="21"/>
      <c r="J631" s="21"/>
      <c r="K631" s="23"/>
      <c r="L631" s="24"/>
      <c r="M631" s="21"/>
      <c r="N631" s="21"/>
      <c r="O631" s="25"/>
      <c r="P631" s="26"/>
      <c r="Q631" s="27" t="str">
        <f aca="false">IF(A631="","",SUMIF(Expenses!$B$2:$B$3000,A631,Expenses!$E$2:$E$3000))</f>
        <v/>
      </c>
      <c r="R631" s="27" t="str">
        <f aca="false">IF(A631="","",N(P631)+N(Q631))</f>
        <v/>
      </c>
      <c r="S631" s="28"/>
      <c r="T631" s="25"/>
      <c r="U631" s="26"/>
      <c r="V631" s="26"/>
      <c r="W631" s="26"/>
      <c r="X631" s="27" t="str">
        <f aca="false">IF(B631&lt;&gt;"SOLD","",IF(C631="Consignment",N(W631)-R631,N(U631)-R631-N(V631)))</f>
        <v/>
      </c>
      <c r="Y631" s="29" t="str">
        <f aca="false">IF(OR(X631="",N(R631)=0),"",X631/R631)</f>
        <v/>
      </c>
      <c r="Z631" s="30" t="str">
        <f aca="true">IF(O631="","",IF(T631="",TODAY(),T631)-O631)</f>
        <v/>
      </c>
      <c r="AA631" s="31" t="str">
        <f aca="false">IF(T631="","",TEXT(T631,"YYYY-MM"))</f>
        <v/>
      </c>
      <c r="AB631" s="27" t="str">
        <f aca="false">IF(X631="","",X631/2)</f>
        <v/>
      </c>
      <c r="AC631" s="21"/>
    </row>
    <row r="632" customFormat="false" ht="15" hidden="false" customHeight="false" outlineLevel="0" collapsed="false">
      <c r="A632" s="20"/>
      <c r="B632" s="21"/>
      <c r="C632" s="21"/>
      <c r="D632" s="21"/>
      <c r="E632" s="21"/>
      <c r="F632" s="21"/>
      <c r="G632" s="22"/>
      <c r="H632" s="21"/>
      <c r="I632" s="21"/>
      <c r="J632" s="21"/>
      <c r="K632" s="23"/>
      <c r="L632" s="24"/>
      <c r="M632" s="21"/>
      <c r="N632" s="21"/>
      <c r="O632" s="25"/>
      <c r="P632" s="26"/>
      <c r="Q632" s="27" t="str">
        <f aca="false">IF(A632="","",SUMIF(Expenses!$B$2:$B$3000,A632,Expenses!$E$2:$E$3000))</f>
        <v/>
      </c>
      <c r="R632" s="27" t="str">
        <f aca="false">IF(A632="","",N(P632)+N(Q632))</f>
        <v/>
      </c>
      <c r="S632" s="28"/>
      <c r="T632" s="25"/>
      <c r="U632" s="26"/>
      <c r="V632" s="26"/>
      <c r="W632" s="26"/>
      <c r="X632" s="27" t="str">
        <f aca="false">IF(B632&lt;&gt;"SOLD","",IF(C632="Consignment",N(W632)-R632,N(U632)-R632-N(V632)))</f>
        <v/>
      </c>
      <c r="Y632" s="29" t="str">
        <f aca="false">IF(OR(X632="",N(R632)=0),"",X632/R632)</f>
        <v/>
      </c>
      <c r="Z632" s="30" t="str">
        <f aca="true">IF(O632="","",IF(T632="",TODAY(),T632)-O632)</f>
        <v/>
      </c>
      <c r="AA632" s="31" t="str">
        <f aca="false">IF(T632="","",TEXT(T632,"YYYY-MM"))</f>
        <v/>
      </c>
      <c r="AB632" s="27" t="str">
        <f aca="false">IF(X632="","",X632/2)</f>
        <v/>
      </c>
      <c r="AC632" s="21"/>
    </row>
    <row r="633" customFormat="false" ht="15" hidden="false" customHeight="false" outlineLevel="0" collapsed="false">
      <c r="A633" s="20"/>
      <c r="B633" s="21"/>
      <c r="C633" s="21"/>
      <c r="D633" s="21"/>
      <c r="E633" s="21"/>
      <c r="F633" s="21"/>
      <c r="G633" s="22"/>
      <c r="H633" s="21"/>
      <c r="I633" s="21"/>
      <c r="J633" s="21"/>
      <c r="K633" s="23"/>
      <c r="L633" s="24"/>
      <c r="M633" s="21"/>
      <c r="N633" s="21"/>
      <c r="O633" s="25"/>
      <c r="P633" s="26"/>
      <c r="Q633" s="27" t="str">
        <f aca="false">IF(A633="","",SUMIF(Expenses!$B$2:$B$3000,A633,Expenses!$E$2:$E$3000))</f>
        <v/>
      </c>
      <c r="R633" s="27" t="str">
        <f aca="false">IF(A633="","",N(P633)+N(Q633))</f>
        <v/>
      </c>
      <c r="S633" s="28"/>
      <c r="T633" s="25"/>
      <c r="U633" s="26"/>
      <c r="V633" s="26"/>
      <c r="W633" s="26"/>
      <c r="X633" s="27" t="str">
        <f aca="false">IF(B633&lt;&gt;"SOLD","",IF(C633="Consignment",N(W633)-R633,N(U633)-R633-N(V633)))</f>
        <v/>
      </c>
      <c r="Y633" s="29" t="str">
        <f aca="false">IF(OR(X633="",N(R633)=0),"",X633/R633)</f>
        <v/>
      </c>
      <c r="Z633" s="30" t="str">
        <f aca="true">IF(O633="","",IF(T633="",TODAY(),T633)-O633)</f>
        <v/>
      </c>
      <c r="AA633" s="31" t="str">
        <f aca="false">IF(T633="","",TEXT(T633,"YYYY-MM"))</f>
        <v/>
      </c>
      <c r="AB633" s="27" t="str">
        <f aca="false">IF(X633="","",X633/2)</f>
        <v/>
      </c>
      <c r="AC633" s="21"/>
    </row>
    <row r="634" customFormat="false" ht="15" hidden="false" customHeight="false" outlineLevel="0" collapsed="false">
      <c r="A634" s="20"/>
      <c r="B634" s="21"/>
      <c r="C634" s="21"/>
      <c r="D634" s="21"/>
      <c r="E634" s="21"/>
      <c r="F634" s="21"/>
      <c r="G634" s="22"/>
      <c r="H634" s="21"/>
      <c r="I634" s="21"/>
      <c r="J634" s="21"/>
      <c r="K634" s="23"/>
      <c r="L634" s="24"/>
      <c r="M634" s="21"/>
      <c r="N634" s="21"/>
      <c r="O634" s="25"/>
      <c r="P634" s="26"/>
      <c r="Q634" s="27" t="str">
        <f aca="false">IF(A634="","",SUMIF(Expenses!$B$2:$B$3000,A634,Expenses!$E$2:$E$3000))</f>
        <v/>
      </c>
      <c r="R634" s="27" t="str">
        <f aca="false">IF(A634="","",N(P634)+N(Q634))</f>
        <v/>
      </c>
      <c r="S634" s="28"/>
      <c r="T634" s="25"/>
      <c r="U634" s="26"/>
      <c r="V634" s="26"/>
      <c r="W634" s="26"/>
      <c r="X634" s="27" t="str">
        <f aca="false">IF(B634&lt;&gt;"SOLD","",IF(C634="Consignment",N(W634)-R634,N(U634)-R634-N(V634)))</f>
        <v/>
      </c>
      <c r="Y634" s="29" t="str">
        <f aca="false">IF(OR(X634="",N(R634)=0),"",X634/R634)</f>
        <v/>
      </c>
      <c r="Z634" s="30" t="str">
        <f aca="true">IF(O634="","",IF(T634="",TODAY(),T634)-O634)</f>
        <v/>
      </c>
      <c r="AA634" s="31" t="str">
        <f aca="false">IF(T634="","",TEXT(T634,"YYYY-MM"))</f>
        <v/>
      </c>
      <c r="AB634" s="27" t="str">
        <f aca="false">IF(X634="","",X634/2)</f>
        <v/>
      </c>
      <c r="AC634" s="21"/>
    </row>
    <row r="635" customFormat="false" ht="15" hidden="false" customHeight="false" outlineLevel="0" collapsed="false">
      <c r="A635" s="20"/>
      <c r="B635" s="21"/>
      <c r="C635" s="21"/>
      <c r="D635" s="21"/>
      <c r="E635" s="21"/>
      <c r="F635" s="21"/>
      <c r="G635" s="22"/>
      <c r="H635" s="21"/>
      <c r="I635" s="21"/>
      <c r="J635" s="21"/>
      <c r="K635" s="23"/>
      <c r="L635" s="24"/>
      <c r="M635" s="21"/>
      <c r="N635" s="21"/>
      <c r="O635" s="25"/>
      <c r="P635" s="26"/>
      <c r="Q635" s="27" t="str">
        <f aca="false">IF(A635="","",SUMIF(Expenses!$B$2:$B$3000,A635,Expenses!$E$2:$E$3000))</f>
        <v/>
      </c>
      <c r="R635" s="27" t="str">
        <f aca="false">IF(A635="","",N(P635)+N(Q635))</f>
        <v/>
      </c>
      <c r="S635" s="28"/>
      <c r="T635" s="25"/>
      <c r="U635" s="26"/>
      <c r="V635" s="26"/>
      <c r="W635" s="26"/>
      <c r="X635" s="27" t="str">
        <f aca="false">IF(B635&lt;&gt;"SOLD","",IF(C635="Consignment",N(W635)-R635,N(U635)-R635-N(V635)))</f>
        <v/>
      </c>
      <c r="Y635" s="29" t="str">
        <f aca="false">IF(OR(X635="",N(R635)=0),"",X635/R635)</f>
        <v/>
      </c>
      <c r="Z635" s="30" t="str">
        <f aca="true">IF(O635="","",IF(T635="",TODAY(),T635)-O635)</f>
        <v/>
      </c>
      <c r="AA635" s="31" t="str">
        <f aca="false">IF(T635="","",TEXT(T635,"YYYY-MM"))</f>
        <v/>
      </c>
      <c r="AB635" s="27" t="str">
        <f aca="false">IF(X635="","",X635/2)</f>
        <v/>
      </c>
      <c r="AC635" s="21"/>
    </row>
    <row r="636" customFormat="false" ht="15" hidden="false" customHeight="false" outlineLevel="0" collapsed="false">
      <c r="A636" s="20"/>
      <c r="B636" s="21"/>
      <c r="C636" s="21"/>
      <c r="D636" s="21"/>
      <c r="E636" s="21"/>
      <c r="F636" s="21"/>
      <c r="G636" s="22"/>
      <c r="H636" s="21"/>
      <c r="I636" s="21"/>
      <c r="J636" s="21"/>
      <c r="K636" s="23"/>
      <c r="L636" s="24"/>
      <c r="M636" s="21"/>
      <c r="N636" s="21"/>
      <c r="O636" s="25"/>
      <c r="P636" s="26"/>
      <c r="Q636" s="27" t="str">
        <f aca="false">IF(A636="","",SUMIF(Expenses!$B$2:$B$3000,A636,Expenses!$E$2:$E$3000))</f>
        <v/>
      </c>
      <c r="R636" s="27" t="str">
        <f aca="false">IF(A636="","",N(P636)+N(Q636))</f>
        <v/>
      </c>
      <c r="S636" s="28"/>
      <c r="T636" s="25"/>
      <c r="U636" s="26"/>
      <c r="V636" s="26"/>
      <c r="W636" s="26"/>
      <c r="X636" s="27" t="str">
        <f aca="false">IF(B636&lt;&gt;"SOLD","",IF(C636="Consignment",N(W636)-R636,N(U636)-R636-N(V636)))</f>
        <v/>
      </c>
      <c r="Y636" s="29" t="str">
        <f aca="false">IF(OR(X636="",N(R636)=0),"",X636/R636)</f>
        <v/>
      </c>
      <c r="Z636" s="30" t="str">
        <f aca="true">IF(O636="","",IF(T636="",TODAY(),T636)-O636)</f>
        <v/>
      </c>
      <c r="AA636" s="31" t="str">
        <f aca="false">IF(T636="","",TEXT(T636,"YYYY-MM"))</f>
        <v/>
      </c>
      <c r="AB636" s="27" t="str">
        <f aca="false">IF(X636="","",X636/2)</f>
        <v/>
      </c>
      <c r="AC636" s="21"/>
    </row>
    <row r="637" customFormat="false" ht="15" hidden="false" customHeight="false" outlineLevel="0" collapsed="false">
      <c r="A637" s="20"/>
      <c r="B637" s="21"/>
      <c r="C637" s="21"/>
      <c r="D637" s="21"/>
      <c r="E637" s="21"/>
      <c r="F637" s="21"/>
      <c r="G637" s="22"/>
      <c r="H637" s="21"/>
      <c r="I637" s="21"/>
      <c r="J637" s="21"/>
      <c r="K637" s="23"/>
      <c r="L637" s="24"/>
      <c r="M637" s="21"/>
      <c r="N637" s="21"/>
      <c r="O637" s="25"/>
      <c r="P637" s="26"/>
      <c r="Q637" s="27" t="str">
        <f aca="false">IF(A637="","",SUMIF(Expenses!$B$2:$B$3000,A637,Expenses!$E$2:$E$3000))</f>
        <v/>
      </c>
      <c r="R637" s="27" t="str">
        <f aca="false">IF(A637="","",N(P637)+N(Q637))</f>
        <v/>
      </c>
      <c r="S637" s="28"/>
      <c r="T637" s="25"/>
      <c r="U637" s="26"/>
      <c r="V637" s="26"/>
      <c r="W637" s="26"/>
      <c r="X637" s="27" t="str">
        <f aca="false">IF(B637&lt;&gt;"SOLD","",IF(C637="Consignment",N(W637)-R637,N(U637)-R637-N(V637)))</f>
        <v/>
      </c>
      <c r="Y637" s="29" t="str">
        <f aca="false">IF(OR(X637="",N(R637)=0),"",X637/R637)</f>
        <v/>
      </c>
      <c r="Z637" s="30" t="str">
        <f aca="true">IF(O637="","",IF(T637="",TODAY(),T637)-O637)</f>
        <v/>
      </c>
      <c r="AA637" s="31" t="str">
        <f aca="false">IF(T637="","",TEXT(T637,"YYYY-MM"))</f>
        <v/>
      </c>
      <c r="AB637" s="27" t="str">
        <f aca="false">IF(X637="","",X637/2)</f>
        <v/>
      </c>
      <c r="AC637" s="21"/>
    </row>
    <row r="638" customFormat="false" ht="15" hidden="false" customHeight="false" outlineLevel="0" collapsed="false">
      <c r="A638" s="20"/>
      <c r="B638" s="21"/>
      <c r="C638" s="21"/>
      <c r="D638" s="21"/>
      <c r="E638" s="21"/>
      <c r="F638" s="21"/>
      <c r="G638" s="22"/>
      <c r="H638" s="21"/>
      <c r="I638" s="21"/>
      <c r="J638" s="21"/>
      <c r="K638" s="23"/>
      <c r="L638" s="24"/>
      <c r="M638" s="21"/>
      <c r="N638" s="21"/>
      <c r="O638" s="25"/>
      <c r="P638" s="26"/>
      <c r="Q638" s="27" t="str">
        <f aca="false">IF(A638="","",SUMIF(Expenses!$B$2:$B$3000,A638,Expenses!$E$2:$E$3000))</f>
        <v/>
      </c>
      <c r="R638" s="27" t="str">
        <f aca="false">IF(A638="","",N(P638)+N(Q638))</f>
        <v/>
      </c>
      <c r="S638" s="28"/>
      <c r="T638" s="25"/>
      <c r="U638" s="26"/>
      <c r="V638" s="26"/>
      <c r="W638" s="26"/>
      <c r="X638" s="27" t="str">
        <f aca="false">IF(B638&lt;&gt;"SOLD","",IF(C638="Consignment",N(W638)-R638,N(U638)-R638-N(V638)))</f>
        <v/>
      </c>
      <c r="Y638" s="29" t="str">
        <f aca="false">IF(OR(X638="",N(R638)=0),"",X638/R638)</f>
        <v/>
      </c>
      <c r="Z638" s="30" t="str">
        <f aca="true">IF(O638="","",IF(T638="",TODAY(),T638)-O638)</f>
        <v/>
      </c>
      <c r="AA638" s="31" t="str">
        <f aca="false">IF(T638="","",TEXT(T638,"YYYY-MM"))</f>
        <v/>
      </c>
      <c r="AB638" s="27" t="str">
        <f aca="false">IF(X638="","",X638/2)</f>
        <v/>
      </c>
      <c r="AC638" s="21"/>
    </row>
    <row r="639" customFormat="false" ht="15" hidden="false" customHeight="false" outlineLevel="0" collapsed="false">
      <c r="A639" s="20"/>
      <c r="B639" s="21"/>
      <c r="C639" s="21"/>
      <c r="D639" s="21"/>
      <c r="E639" s="21"/>
      <c r="F639" s="21"/>
      <c r="G639" s="22"/>
      <c r="H639" s="21"/>
      <c r="I639" s="21"/>
      <c r="J639" s="21"/>
      <c r="K639" s="23"/>
      <c r="L639" s="24"/>
      <c r="M639" s="21"/>
      <c r="N639" s="21"/>
      <c r="O639" s="25"/>
      <c r="P639" s="26"/>
      <c r="Q639" s="27" t="str">
        <f aca="false">IF(A639="","",SUMIF(Expenses!$B$2:$B$3000,A639,Expenses!$E$2:$E$3000))</f>
        <v/>
      </c>
      <c r="R639" s="27" t="str">
        <f aca="false">IF(A639="","",N(P639)+N(Q639))</f>
        <v/>
      </c>
      <c r="S639" s="28"/>
      <c r="T639" s="25"/>
      <c r="U639" s="26"/>
      <c r="V639" s="26"/>
      <c r="W639" s="26"/>
      <c r="X639" s="27" t="str">
        <f aca="false">IF(B639&lt;&gt;"SOLD","",IF(C639="Consignment",N(W639)-R639,N(U639)-R639-N(V639)))</f>
        <v/>
      </c>
      <c r="Y639" s="29" t="str">
        <f aca="false">IF(OR(X639="",N(R639)=0),"",X639/R639)</f>
        <v/>
      </c>
      <c r="Z639" s="30" t="str">
        <f aca="true">IF(O639="","",IF(T639="",TODAY(),T639)-O639)</f>
        <v/>
      </c>
      <c r="AA639" s="31" t="str">
        <f aca="false">IF(T639="","",TEXT(T639,"YYYY-MM"))</f>
        <v/>
      </c>
      <c r="AB639" s="27" t="str">
        <f aca="false">IF(X639="","",X639/2)</f>
        <v/>
      </c>
      <c r="AC639" s="21"/>
    </row>
    <row r="640" customFormat="false" ht="15" hidden="false" customHeight="false" outlineLevel="0" collapsed="false">
      <c r="A640" s="20"/>
      <c r="B640" s="21"/>
      <c r="C640" s="21"/>
      <c r="D640" s="21"/>
      <c r="E640" s="21"/>
      <c r="F640" s="21"/>
      <c r="G640" s="22"/>
      <c r="H640" s="21"/>
      <c r="I640" s="21"/>
      <c r="J640" s="21"/>
      <c r="K640" s="23"/>
      <c r="L640" s="24"/>
      <c r="M640" s="21"/>
      <c r="N640" s="21"/>
      <c r="O640" s="25"/>
      <c r="P640" s="26"/>
      <c r="Q640" s="27" t="str">
        <f aca="false">IF(A640="","",SUMIF(Expenses!$B$2:$B$3000,A640,Expenses!$E$2:$E$3000))</f>
        <v/>
      </c>
      <c r="R640" s="27" t="str">
        <f aca="false">IF(A640="","",N(P640)+N(Q640))</f>
        <v/>
      </c>
      <c r="S640" s="28"/>
      <c r="T640" s="25"/>
      <c r="U640" s="26"/>
      <c r="V640" s="26"/>
      <c r="W640" s="26"/>
      <c r="X640" s="27" t="str">
        <f aca="false">IF(B640&lt;&gt;"SOLD","",IF(C640="Consignment",N(W640)-R640,N(U640)-R640-N(V640)))</f>
        <v/>
      </c>
      <c r="Y640" s="29" t="str">
        <f aca="false">IF(OR(X640="",N(R640)=0),"",X640/R640)</f>
        <v/>
      </c>
      <c r="Z640" s="30" t="str">
        <f aca="true">IF(O640="","",IF(T640="",TODAY(),T640)-O640)</f>
        <v/>
      </c>
      <c r="AA640" s="31" t="str">
        <f aca="false">IF(T640="","",TEXT(T640,"YYYY-MM"))</f>
        <v/>
      </c>
      <c r="AB640" s="27" t="str">
        <f aca="false">IF(X640="","",X640/2)</f>
        <v/>
      </c>
      <c r="AC640" s="21"/>
    </row>
    <row r="641" customFormat="false" ht="15" hidden="false" customHeight="false" outlineLevel="0" collapsed="false">
      <c r="A641" s="20"/>
      <c r="B641" s="21"/>
      <c r="C641" s="21"/>
      <c r="D641" s="21"/>
      <c r="E641" s="21"/>
      <c r="F641" s="21"/>
      <c r="G641" s="22"/>
      <c r="H641" s="21"/>
      <c r="I641" s="21"/>
      <c r="J641" s="21"/>
      <c r="K641" s="23"/>
      <c r="L641" s="24"/>
      <c r="M641" s="21"/>
      <c r="N641" s="21"/>
      <c r="O641" s="25"/>
      <c r="P641" s="26"/>
      <c r="Q641" s="27" t="str">
        <f aca="false">IF(A641="","",SUMIF(Expenses!$B$2:$B$3000,A641,Expenses!$E$2:$E$3000))</f>
        <v/>
      </c>
      <c r="R641" s="27" t="str">
        <f aca="false">IF(A641="","",N(P641)+N(Q641))</f>
        <v/>
      </c>
      <c r="S641" s="28"/>
      <c r="T641" s="25"/>
      <c r="U641" s="26"/>
      <c r="V641" s="26"/>
      <c r="W641" s="26"/>
      <c r="X641" s="27" t="str">
        <f aca="false">IF(B641&lt;&gt;"SOLD","",IF(C641="Consignment",N(W641)-R641,N(U641)-R641-N(V641)))</f>
        <v/>
      </c>
      <c r="Y641" s="29" t="str">
        <f aca="false">IF(OR(X641="",N(R641)=0),"",X641/R641)</f>
        <v/>
      </c>
      <c r="Z641" s="30" t="str">
        <f aca="true">IF(O641="","",IF(T641="",TODAY(),T641)-O641)</f>
        <v/>
      </c>
      <c r="AA641" s="31" t="str">
        <f aca="false">IF(T641="","",TEXT(T641,"YYYY-MM"))</f>
        <v/>
      </c>
      <c r="AB641" s="27" t="str">
        <f aca="false">IF(X641="","",X641/2)</f>
        <v/>
      </c>
      <c r="AC641" s="21"/>
    </row>
    <row r="642" customFormat="false" ht="15" hidden="false" customHeight="false" outlineLevel="0" collapsed="false">
      <c r="A642" s="20"/>
      <c r="B642" s="21"/>
      <c r="C642" s="21"/>
      <c r="D642" s="21"/>
      <c r="E642" s="21"/>
      <c r="F642" s="21"/>
      <c r="G642" s="22"/>
      <c r="H642" s="21"/>
      <c r="I642" s="21"/>
      <c r="J642" s="21"/>
      <c r="K642" s="23"/>
      <c r="L642" s="24"/>
      <c r="M642" s="21"/>
      <c r="N642" s="21"/>
      <c r="O642" s="25"/>
      <c r="P642" s="26"/>
      <c r="Q642" s="27" t="str">
        <f aca="false">IF(A642="","",SUMIF(Expenses!$B$2:$B$3000,A642,Expenses!$E$2:$E$3000))</f>
        <v/>
      </c>
      <c r="R642" s="27" t="str">
        <f aca="false">IF(A642="","",N(P642)+N(Q642))</f>
        <v/>
      </c>
      <c r="S642" s="28"/>
      <c r="T642" s="25"/>
      <c r="U642" s="26"/>
      <c r="V642" s="26"/>
      <c r="W642" s="26"/>
      <c r="X642" s="27" t="str">
        <f aca="false">IF(B642&lt;&gt;"SOLD","",IF(C642="Consignment",N(W642)-R642,N(U642)-R642-N(V642)))</f>
        <v/>
      </c>
      <c r="Y642" s="29" t="str">
        <f aca="false">IF(OR(X642="",N(R642)=0),"",X642/R642)</f>
        <v/>
      </c>
      <c r="Z642" s="30" t="str">
        <f aca="true">IF(O642="","",IF(T642="",TODAY(),T642)-O642)</f>
        <v/>
      </c>
      <c r="AA642" s="31" t="str">
        <f aca="false">IF(T642="","",TEXT(T642,"YYYY-MM"))</f>
        <v/>
      </c>
      <c r="AB642" s="27" t="str">
        <f aca="false">IF(X642="","",X642/2)</f>
        <v/>
      </c>
      <c r="AC642" s="21"/>
    </row>
    <row r="643" customFormat="false" ht="15" hidden="false" customHeight="false" outlineLevel="0" collapsed="false">
      <c r="A643" s="20"/>
      <c r="B643" s="21"/>
      <c r="C643" s="21"/>
      <c r="D643" s="21"/>
      <c r="E643" s="21"/>
      <c r="F643" s="21"/>
      <c r="G643" s="22"/>
      <c r="H643" s="21"/>
      <c r="I643" s="21"/>
      <c r="J643" s="21"/>
      <c r="K643" s="23"/>
      <c r="L643" s="24"/>
      <c r="M643" s="21"/>
      <c r="N643" s="21"/>
      <c r="O643" s="25"/>
      <c r="P643" s="26"/>
      <c r="Q643" s="27" t="str">
        <f aca="false">IF(A643="","",SUMIF(Expenses!$B$2:$B$3000,A643,Expenses!$E$2:$E$3000))</f>
        <v/>
      </c>
      <c r="R643" s="27" t="str">
        <f aca="false">IF(A643="","",N(P643)+N(Q643))</f>
        <v/>
      </c>
      <c r="S643" s="28"/>
      <c r="T643" s="25"/>
      <c r="U643" s="26"/>
      <c r="V643" s="26"/>
      <c r="W643" s="26"/>
      <c r="X643" s="27" t="str">
        <f aca="false">IF(B643&lt;&gt;"SOLD","",IF(C643="Consignment",N(W643)-R643,N(U643)-R643-N(V643)))</f>
        <v/>
      </c>
      <c r="Y643" s="29" t="str">
        <f aca="false">IF(OR(X643="",N(R643)=0),"",X643/R643)</f>
        <v/>
      </c>
      <c r="Z643" s="30" t="str">
        <f aca="true">IF(O643="","",IF(T643="",TODAY(),T643)-O643)</f>
        <v/>
      </c>
      <c r="AA643" s="31" t="str">
        <f aca="false">IF(T643="","",TEXT(T643,"YYYY-MM"))</f>
        <v/>
      </c>
      <c r="AB643" s="27" t="str">
        <f aca="false">IF(X643="","",X643/2)</f>
        <v/>
      </c>
      <c r="AC643" s="21"/>
    </row>
    <row r="644" customFormat="false" ht="15" hidden="false" customHeight="false" outlineLevel="0" collapsed="false">
      <c r="A644" s="20"/>
      <c r="B644" s="21"/>
      <c r="C644" s="21"/>
      <c r="D644" s="21"/>
      <c r="E644" s="21"/>
      <c r="F644" s="21"/>
      <c r="G644" s="22"/>
      <c r="H644" s="21"/>
      <c r="I644" s="21"/>
      <c r="J644" s="21"/>
      <c r="K644" s="23"/>
      <c r="L644" s="24"/>
      <c r="M644" s="21"/>
      <c r="N644" s="21"/>
      <c r="O644" s="25"/>
      <c r="P644" s="26"/>
      <c r="Q644" s="27" t="str">
        <f aca="false">IF(A644="","",SUMIF(Expenses!$B$2:$B$3000,A644,Expenses!$E$2:$E$3000))</f>
        <v/>
      </c>
      <c r="R644" s="27" t="str">
        <f aca="false">IF(A644="","",N(P644)+N(Q644))</f>
        <v/>
      </c>
      <c r="S644" s="28"/>
      <c r="T644" s="25"/>
      <c r="U644" s="26"/>
      <c r="V644" s="26"/>
      <c r="W644" s="26"/>
      <c r="X644" s="27" t="str">
        <f aca="false">IF(B644&lt;&gt;"SOLD","",IF(C644="Consignment",N(W644)-R644,N(U644)-R644-N(V644)))</f>
        <v/>
      </c>
      <c r="Y644" s="29" t="str">
        <f aca="false">IF(OR(X644="",N(R644)=0),"",X644/R644)</f>
        <v/>
      </c>
      <c r="Z644" s="30" t="str">
        <f aca="true">IF(O644="","",IF(T644="",TODAY(),T644)-O644)</f>
        <v/>
      </c>
      <c r="AA644" s="31" t="str">
        <f aca="false">IF(T644="","",TEXT(T644,"YYYY-MM"))</f>
        <v/>
      </c>
      <c r="AB644" s="27" t="str">
        <f aca="false">IF(X644="","",X644/2)</f>
        <v/>
      </c>
      <c r="AC644" s="21"/>
    </row>
    <row r="645" customFormat="false" ht="15" hidden="false" customHeight="false" outlineLevel="0" collapsed="false">
      <c r="A645" s="20"/>
      <c r="B645" s="21"/>
      <c r="C645" s="21"/>
      <c r="D645" s="21"/>
      <c r="E645" s="21"/>
      <c r="F645" s="21"/>
      <c r="G645" s="22"/>
      <c r="H645" s="21"/>
      <c r="I645" s="21"/>
      <c r="J645" s="21"/>
      <c r="K645" s="23"/>
      <c r="L645" s="24"/>
      <c r="M645" s="21"/>
      <c r="N645" s="21"/>
      <c r="O645" s="25"/>
      <c r="P645" s="26"/>
      <c r="Q645" s="27" t="str">
        <f aca="false">IF(A645="","",SUMIF(Expenses!$B$2:$B$3000,A645,Expenses!$E$2:$E$3000))</f>
        <v/>
      </c>
      <c r="R645" s="27" t="str">
        <f aca="false">IF(A645="","",N(P645)+N(Q645))</f>
        <v/>
      </c>
      <c r="S645" s="28"/>
      <c r="T645" s="25"/>
      <c r="U645" s="26"/>
      <c r="V645" s="26"/>
      <c r="W645" s="26"/>
      <c r="X645" s="27" t="str">
        <f aca="false">IF(B645&lt;&gt;"SOLD","",IF(C645="Consignment",N(W645)-R645,N(U645)-R645-N(V645)))</f>
        <v/>
      </c>
      <c r="Y645" s="29" t="str">
        <f aca="false">IF(OR(X645="",N(R645)=0),"",X645/R645)</f>
        <v/>
      </c>
      <c r="Z645" s="30" t="str">
        <f aca="true">IF(O645="","",IF(T645="",TODAY(),T645)-O645)</f>
        <v/>
      </c>
      <c r="AA645" s="31" t="str">
        <f aca="false">IF(T645="","",TEXT(T645,"YYYY-MM"))</f>
        <v/>
      </c>
      <c r="AB645" s="27" t="str">
        <f aca="false">IF(X645="","",X645/2)</f>
        <v/>
      </c>
      <c r="AC645" s="21"/>
    </row>
    <row r="646" customFormat="false" ht="15" hidden="false" customHeight="false" outlineLevel="0" collapsed="false">
      <c r="A646" s="20"/>
      <c r="B646" s="21"/>
      <c r="C646" s="21"/>
      <c r="D646" s="21"/>
      <c r="E646" s="21"/>
      <c r="F646" s="21"/>
      <c r="G646" s="22"/>
      <c r="H646" s="21"/>
      <c r="I646" s="21"/>
      <c r="J646" s="21"/>
      <c r="K646" s="23"/>
      <c r="L646" s="24"/>
      <c r="M646" s="21"/>
      <c r="N646" s="21"/>
      <c r="O646" s="25"/>
      <c r="P646" s="26"/>
      <c r="Q646" s="27" t="str">
        <f aca="false">IF(A646="","",SUMIF(Expenses!$B$2:$B$3000,A646,Expenses!$E$2:$E$3000))</f>
        <v/>
      </c>
      <c r="R646" s="27" t="str">
        <f aca="false">IF(A646="","",N(P646)+N(Q646))</f>
        <v/>
      </c>
      <c r="S646" s="28"/>
      <c r="T646" s="25"/>
      <c r="U646" s="26"/>
      <c r="V646" s="26"/>
      <c r="W646" s="26"/>
      <c r="X646" s="27" t="str">
        <f aca="false">IF(B646&lt;&gt;"SOLD","",IF(C646="Consignment",N(W646)-R646,N(U646)-R646-N(V646)))</f>
        <v/>
      </c>
      <c r="Y646" s="29" t="str">
        <f aca="false">IF(OR(X646="",N(R646)=0),"",X646/R646)</f>
        <v/>
      </c>
      <c r="Z646" s="30" t="str">
        <f aca="true">IF(O646="","",IF(T646="",TODAY(),T646)-O646)</f>
        <v/>
      </c>
      <c r="AA646" s="31" t="str">
        <f aca="false">IF(T646="","",TEXT(T646,"YYYY-MM"))</f>
        <v/>
      </c>
      <c r="AB646" s="27" t="str">
        <f aca="false">IF(X646="","",X646/2)</f>
        <v/>
      </c>
      <c r="AC646" s="21"/>
    </row>
    <row r="647" customFormat="false" ht="15" hidden="false" customHeight="false" outlineLevel="0" collapsed="false">
      <c r="A647" s="20"/>
      <c r="B647" s="21"/>
      <c r="C647" s="21"/>
      <c r="D647" s="21"/>
      <c r="E647" s="21"/>
      <c r="F647" s="21"/>
      <c r="G647" s="22"/>
      <c r="H647" s="21"/>
      <c r="I647" s="21"/>
      <c r="J647" s="21"/>
      <c r="K647" s="23"/>
      <c r="L647" s="24"/>
      <c r="M647" s="21"/>
      <c r="N647" s="21"/>
      <c r="O647" s="25"/>
      <c r="P647" s="26"/>
      <c r="Q647" s="27" t="str">
        <f aca="false">IF(A647="","",SUMIF(Expenses!$B$2:$B$3000,A647,Expenses!$E$2:$E$3000))</f>
        <v/>
      </c>
      <c r="R647" s="27" t="str">
        <f aca="false">IF(A647="","",N(P647)+N(Q647))</f>
        <v/>
      </c>
      <c r="S647" s="28"/>
      <c r="T647" s="25"/>
      <c r="U647" s="26"/>
      <c r="V647" s="26"/>
      <c r="W647" s="26"/>
      <c r="X647" s="27" t="str">
        <f aca="false">IF(B647&lt;&gt;"SOLD","",IF(C647="Consignment",N(W647)-R647,N(U647)-R647-N(V647)))</f>
        <v/>
      </c>
      <c r="Y647" s="29" t="str">
        <f aca="false">IF(OR(X647="",N(R647)=0),"",X647/R647)</f>
        <v/>
      </c>
      <c r="Z647" s="30" t="str">
        <f aca="true">IF(O647="","",IF(T647="",TODAY(),T647)-O647)</f>
        <v/>
      </c>
      <c r="AA647" s="31" t="str">
        <f aca="false">IF(T647="","",TEXT(T647,"YYYY-MM"))</f>
        <v/>
      </c>
      <c r="AB647" s="27" t="str">
        <f aca="false">IF(X647="","",X647/2)</f>
        <v/>
      </c>
      <c r="AC647" s="21"/>
    </row>
    <row r="648" customFormat="false" ht="15" hidden="false" customHeight="false" outlineLevel="0" collapsed="false">
      <c r="A648" s="20"/>
      <c r="B648" s="21"/>
      <c r="C648" s="21"/>
      <c r="D648" s="21"/>
      <c r="E648" s="21"/>
      <c r="F648" s="21"/>
      <c r="G648" s="22"/>
      <c r="H648" s="21"/>
      <c r="I648" s="21"/>
      <c r="J648" s="21"/>
      <c r="K648" s="23"/>
      <c r="L648" s="24"/>
      <c r="M648" s="21"/>
      <c r="N648" s="21"/>
      <c r="O648" s="25"/>
      <c r="P648" s="26"/>
      <c r="Q648" s="27" t="str">
        <f aca="false">IF(A648="","",SUMIF(Expenses!$B$2:$B$3000,A648,Expenses!$E$2:$E$3000))</f>
        <v/>
      </c>
      <c r="R648" s="27" t="str">
        <f aca="false">IF(A648="","",N(P648)+N(Q648))</f>
        <v/>
      </c>
      <c r="S648" s="28"/>
      <c r="T648" s="25"/>
      <c r="U648" s="26"/>
      <c r="V648" s="26"/>
      <c r="W648" s="26"/>
      <c r="X648" s="27" t="str">
        <f aca="false">IF(B648&lt;&gt;"SOLD","",IF(C648="Consignment",N(W648)-R648,N(U648)-R648-N(V648)))</f>
        <v/>
      </c>
      <c r="Y648" s="29" t="str">
        <f aca="false">IF(OR(X648="",N(R648)=0),"",X648/R648)</f>
        <v/>
      </c>
      <c r="Z648" s="30" t="str">
        <f aca="true">IF(O648="","",IF(T648="",TODAY(),T648)-O648)</f>
        <v/>
      </c>
      <c r="AA648" s="31" t="str">
        <f aca="false">IF(T648="","",TEXT(T648,"YYYY-MM"))</f>
        <v/>
      </c>
      <c r="AB648" s="27" t="str">
        <f aca="false">IF(X648="","",X648/2)</f>
        <v/>
      </c>
      <c r="AC648" s="21"/>
    </row>
    <row r="649" customFormat="false" ht="15" hidden="false" customHeight="false" outlineLevel="0" collapsed="false">
      <c r="A649" s="20"/>
      <c r="B649" s="21"/>
      <c r="C649" s="21"/>
      <c r="D649" s="21"/>
      <c r="E649" s="21"/>
      <c r="F649" s="21"/>
      <c r="G649" s="22"/>
      <c r="H649" s="21"/>
      <c r="I649" s="21"/>
      <c r="J649" s="21"/>
      <c r="K649" s="23"/>
      <c r="L649" s="24"/>
      <c r="M649" s="21"/>
      <c r="N649" s="21"/>
      <c r="O649" s="25"/>
      <c r="P649" s="26"/>
      <c r="Q649" s="27" t="str">
        <f aca="false">IF(A649="","",SUMIF(Expenses!$B$2:$B$3000,A649,Expenses!$E$2:$E$3000))</f>
        <v/>
      </c>
      <c r="R649" s="27" t="str">
        <f aca="false">IF(A649="","",N(P649)+N(Q649))</f>
        <v/>
      </c>
      <c r="S649" s="28"/>
      <c r="T649" s="25"/>
      <c r="U649" s="26"/>
      <c r="V649" s="26"/>
      <c r="W649" s="26"/>
      <c r="X649" s="27" t="str">
        <f aca="false">IF(B649&lt;&gt;"SOLD","",IF(C649="Consignment",N(W649)-R649,N(U649)-R649-N(V649)))</f>
        <v/>
      </c>
      <c r="Y649" s="29" t="str">
        <f aca="false">IF(OR(X649="",N(R649)=0),"",X649/R649)</f>
        <v/>
      </c>
      <c r="Z649" s="30" t="str">
        <f aca="true">IF(O649="","",IF(T649="",TODAY(),T649)-O649)</f>
        <v/>
      </c>
      <c r="AA649" s="31" t="str">
        <f aca="false">IF(T649="","",TEXT(T649,"YYYY-MM"))</f>
        <v/>
      </c>
      <c r="AB649" s="27" t="str">
        <f aca="false">IF(X649="","",X649/2)</f>
        <v/>
      </c>
      <c r="AC649" s="21"/>
    </row>
    <row r="650" customFormat="false" ht="15" hidden="false" customHeight="false" outlineLevel="0" collapsed="false">
      <c r="A650" s="20"/>
      <c r="B650" s="21"/>
      <c r="C650" s="21"/>
      <c r="D650" s="21"/>
      <c r="E650" s="21"/>
      <c r="F650" s="21"/>
      <c r="G650" s="22"/>
      <c r="H650" s="21"/>
      <c r="I650" s="21"/>
      <c r="J650" s="21"/>
      <c r="K650" s="23"/>
      <c r="L650" s="24"/>
      <c r="M650" s="21"/>
      <c r="N650" s="21"/>
      <c r="O650" s="25"/>
      <c r="P650" s="26"/>
      <c r="Q650" s="27" t="str">
        <f aca="false">IF(A650="","",SUMIF(Expenses!$B$2:$B$3000,A650,Expenses!$E$2:$E$3000))</f>
        <v/>
      </c>
      <c r="R650" s="27" t="str">
        <f aca="false">IF(A650="","",N(P650)+N(Q650))</f>
        <v/>
      </c>
      <c r="S650" s="28"/>
      <c r="T650" s="25"/>
      <c r="U650" s="26"/>
      <c r="V650" s="26"/>
      <c r="W650" s="26"/>
      <c r="X650" s="27" t="str">
        <f aca="false">IF(B650&lt;&gt;"SOLD","",IF(C650="Consignment",N(W650)-R650,N(U650)-R650-N(V650)))</f>
        <v/>
      </c>
      <c r="Y650" s="29" t="str">
        <f aca="false">IF(OR(X650="",N(R650)=0),"",X650/R650)</f>
        <v/>
      </c>
      <c r="Z650" s="30" t="str">
        <f aca="true">IF(O650="","",IF(T650="",TODAY(),T650)-O650)</f>
        <v/>
      </c>
      <c r="AA650" s="31" t="str">
        <f aca="false">IF(T650="","",TEXT(T650,"YYYY-MM"))</f>
        <v/>
      </c>
      <c r="AB650" s="27" t="str">
        <f aca="false">IF(X650="","",X650/2)</f>
        <v/>
      </c>
      <c r="AC650" s="21"/>
    </row>
    <row r="651" customFormat="false" ht="15" hidden="false" customHeight="false" outlineLevel="0" collapsed="false">
      <c r="A651" s="20"/>
      <c r="B651" s="21"/>
      <c r="C651" s="21"/>
      <c r="D651" s="21"/>
      <c r="E651" s="21"/>
      <c r="F651" s="21"/>
      <c r="G651" s="22"/>
      <c r="H651" s="21"/>
      <c r="I651" s="21"/>
      <c r="J651" s="21"/>
      <c r="K651" s="23"/>
      <c r="L651" s="24"/>
      <c r="M651" s="21"/>
      <c r="N651" s="21"/>
      <c r="O651" s="25"/>
      <c r="P651" s="26"/>
      <c r="Q651" s="27" t="str">
        <f aca="false">IF(A651="","",SUMIF(Expenses!$B$2:$B$3000,A651,Expenses!$E$2:$E$3000))</f>
        <v/>
      </c>
      <c r="R651" s="27" t="str">
        <f aca="false">IF(A651="","",N(P651)+N(Q651))</f>
        <v/>
      </c>
      <c r="S651" s="28"/>
      <c r="T651" s="25"/>
      <c r="U651" s="26"/>
      <c r="V651" s="26"/>
      <c r="W651" s="26"/>
      <c r="X651" s="27" t="str">
        <f aca="false">IF(B651&lt;&gt;"SOLD","",IF(C651="Consignment",N(W651)-R651,N(U651)-R651-N(V651)))</f>
        <v/>
      </c>
      <c r="Y651" s="29" t="str">
        <f aca="false">IF(OR(X651="",N(R651)=0),"",X651/R651)</f>
        <v/>
      </c>
      <c r="Z651" s="30" t="str">
        <f aca="true">IF(O651="","",IF(T651="",TODAY(),T651)-O651)</f>
        <v/>
      </c>
      <c r="AA651" s="31" t="str">
        <f aca="false">IF(T651="","",TEXT(T651,"YYYY-MM"))</f>
        <v/>
      </c>
      <c r="AB651" s="27" t="str">
        <f aca="false">IF(X651="","",X651/2)</f>
        <v/>
      </c>
      <c r="AC651" s="21"/>
    </row>
    <row r="652" customFormat="false" ht="15" hidden="false" customHeight="false" outlineLevel="0" collapsed="false">
      <c r="A652" s="20"/>
      <c r="B652" s="21"/>
      <c r="C652" s="21"/>
      <c r="D652" s="21"/>
      <c r="E652" s="21"/>
      <c r="F652" s="21"/>
      <c r="G652" s="22"/>
      <c r="H652" s="21"/>
      <c r="I652" s="21"/>
      <c r="J652" s="21"/>
      <c r="K652" s="23"/>
      <c r="L652" s="24"/>
      <c r="M652" s="21"/>
      <c r="N652" s="21"/>
      <c r="O652" s="25"/>
      <c r="P652" s="26"/>
      <c r="Q652" s="27" t="str">
        <f aca="false">IF(A652="","",SUMIF(Expenses!$B$2:$B$3000,A652,Expenses!$E$2:$E$3000))</f>
        <v/>
      </c>
      <c r="R652" s="27" t="str">
        <f aca="false">IF(A652="","",N(P652)+N(Q652))</f>
        <v/>
      </c>
      <c r="S652" s="28"/>
      <c r="T652" s="25"/>
      <c r="U652" s="26"/>
      <c r="V652" s="26"/>
      <c r="W652" s="26"/>
      <c r="X652" s="27" t="str">
        <f aca="false">IF(B652&lt;&gt;"SOLD","",IF(C652="Consignment",N(W652)-R652,N(U652)-R652-N(V652)))</f>
        <v/>
      </c>
      <c r="Y652" s="29" t="str">
        <f aca="false">IF(OR(X652="",N(R652)=0),"",X652/R652)</f>
        <v/>
      </c>
      <c r="Z652" s="30" t="str">
        <f aca="true">IF(O652="","",IF(T652="",TODAY(),T652)-O652)</f>
        <v/>
      </c>
      <c r="AA652" s="31" t="str">
        <f aca="false">IF(T652="","",TEXT(T652,"YYYY-MM"))</f>
        <v/>
      </c>
      <c r="AB652" s="27" t="str">
        <f aca="false">IF(X652="","",X652/2)</f>
        <v/>
      </c>
      <c r="AC652" s="21"/>
    </row>
    <row r="653" customFormat="false" ht="15" hidden="false" customHeight="false" outlineLevel="0" collapsed="false">
      <c r="A653" s="20"/>
      <c r="B653" s="21"/>
      <c r="C653" s="21"/>
      <c r="D653" s="21"/>
      <c r="E653" s="21"/>
      <c r="F653" s="21"/>
      <c r="G653" s="22"/>
      <c r="H653" s="21"/>
      <c r="I653" s="21"/>
      <c r="J653" s="21"/>
      <c r="K653" s="23"/>
      <c r="L653" s="24"/>
      <c r="M653" s="21"/>
      <c r="N653" s="21"/>
      <c r="O653" s="25"/>
      <c r="P653" s="26"/>
      <c r="Q653" s="27" t="str">
        <f aca="false">IF(A653="","",SUMIF(Expenses!$B$2:$B$3000,A653,Expenses!$E$2:$E$3000))</f>
        <v/>
      </c>
      <c r="R653" s="27" t="str">
        <f aca="false">IF(A653="","",N(P653)+N(Q653))</f>
        <v/>
      </c>
      <c r="S653" s="28"/>
      <c r="T653" s="25"/>
      <c r="U653" s="26"/>
      <c r="V653" s="26"/>
      <c r="W653" s="26"/>
      <c r="X653" s="27" t="str">
        <f aca="false">IF(B653&lt;&gt;"SOLD","",IF(C653="Consignment",N(W653)-R653,N(U653)-R653-N(V653)))</f>
        <v/>
      </c>
      <c r="Y653" s="29" t="str">
        <f aca="false">IF(OR(X653="",N(R653)=0),"",X653/R653)</f>
        <v/>
      </c>
      <c r="Z653" s="30" t="str">
        <f aca="true">IF(O653="","",IF(T653="",TODAY(),T653)-O653)</f>
        <v/>
      </c>
      <c r="AA653" s="31" t="str">
        <f aca="false">IF(T653="","",TEXT(T653,"YYYY-MM"))</f>
        <v/>
      </c>
      <c r="AB653" s="27" t="str">
        <f aca="false">IF(X653="","",X653/2)</f>
        <v/>
      </c>
      <c r="AC653" s="21"/>
    </row>
    <row r="654" customFormat="false" ht="15" hidden="false" customHeight="false" outlineLevel="0" collapsed="false">
      <c r="A654" s="20"/>
      <c r="B654" s="21"/>
      <c r="C654" s="21"/>
      <c r="D654" s="21"/>
      <c r="E654" s="21"/>
      <c r="F654" s="21"/>
      <c r="G654" s="22"/>
      <c r="H654" s="21"/>
      <c r="I654" s="21"/>
      <c r="J654" s="21"/>
      <c r="K654" s="23"/>
      <c r="L654" s="24"/>
      <c r="M654" s="21"/>
      <c r="N654" s="21"/>
      <c r="O654" s="25"/>
      <c r="P654" s="26"/>
      <c r="Q654" s="27" t="str">
        <f aca="false">IF(A654="","",SUMIF(Expenses!$B$2:$B$3000,A654,Expenses!$E$2:$E$3000))</f>
        <v/>
      </c>
      <c r="R654" s="27" t="str">
        <f aca="false">IF(A654="","",N(P654)+N(Q654))</f>
        <v/>
      </c>
      <c r="S654" s="28"/>
      <c r="T654" s="25"/>
      <c r="U654" s="26"/>
      <c r="V654" s="26"/>
      <c r="W654" s="26"/>
      <c r="X654" s="27" t="str">
        <f aca="false">IF(B654&lt;&gt;"SOLD","",IF(C654="Consignment",N(W654)-R654,N(U654)-R654-N(V654)))</f>
        <v/>
      </c>
      <c r="Y654" s="29" t="str">
        <f aca="false">IF(OR(X654="",N(R654)=0),"",X654/R654)</f>
        <v/>
      </c>
      <c r="Z654" s="30" t="str">
        <f aca="true">IF(O654="","",IF(T654="",TODAY(),T654)-O654)</f>
        <v/>
      </c>
      <c r="AA654" s="31" t="str">
        <f aca="false">IF(T654="","",TEXT(T654,"YYYY-MM"))</f>
        <v/>
      </c>
      <c r="AB654" s="27" t="str">
        <f aca="false">IF(X654="","",X654/2)</f>
        <v/>
      </c>
      <c r="AC654" s="21"/>
    </row>
    <row r="655" customFormat="false" ht="15" hidden="false" customHeight="false" outlineLevel="0" collapsed="false">
      <c r="A655" s="20"/>
      <c r="B655" s="21"/>
      <c r="C655" s="21"/>
      <c r="D655" s="21"/>
      <c r="E655" s="21"/>
      <c r="F655" s="21"/>
      <c r="G655" s="22"/>
      <c r="H655" s="21"/>
      <c r="I655" s="21"/>
      <c r="J655" s="21"/>
      <c r="K655" s="23"/>
      <c r="L655" s="24"/>
      <c r="M655" s="21"/>
      <c r="N655" s="21"/>
      <c r="O655" s="25"/>
      <c r="P655" s="26"/>
      <c r="Q655" s="27" t="str">
        <f aca="false">IF(A655="","",SUMIF(Expenses!$B$2:$B$3000,A655,Expenses!$E$2:$E$3000))</f>
        <v/>
      </c>
      <c r="R655" s="27" t="str">
        <f aca="false">IF(A655="","",N(P655)+N(Q655))</f>
        <v/>
      </c>
      <c r="S655" s="28"/>
      <c r="T655" s="25"/>
      <c r="U655" s="26"/>
      <c r="V655" s="26"/>
      <c r="W655" s="26"/>
      <c r="X655" s="27" t="str">
        <f aca="false">IF(B655&lt;&gt;"SOLD","",IF(C655="Consignment",N(W655)-R655,N(U655)-R655-N(V655)))</f>
        <v/>
      </c>
      <c r="Y655" s="29" t="str">
        <f aca="false">IF(OR(X655="",N(R655)=0),"",X655/R655)</f>
        <v/>
      </c>
      <c r="Z655" s="30" t="str">
        <f aca="true">IF(O655="","",IF(T655="",TODAY(),T655)-O655)</f>
        <v/>
      </c>
      <c r="AA655" s="31" t="str">
        <f aca="false">IF(T655="","",TEXT(T655,"YYYY-MM"))</f>
        <v/>
      </c>
      <c r="AB655" s="27" t="str">
        <f aca="false">IF(X655="","",X655/2)</f>
        <v/>
      </c>
      <c r="AC655" s="21"/>
    </row>
    <row r="656" customFormat="false" ht="15" hidden="false" customHeight="false" outlineLevel="0" collapsed="false">
      <c r="A656" s="20"/>
      <c r="B656" s="21"/>
      <c r="C656" s="21"/>
      <c r="D656" s="21"/>
      <c r="E656" s="21"/>
      <c r="F656" s="21"/>
      <c r="G656" s="22"/>
      <c r="H656" s="21"/>
      <c r="I656" s="21"/>
      <c r="J656" s="21"/>
      <c r="K656" s="23"/>
      <c r="L656" s="24"/>
      <c r="M656" s="21"/>
      <c r="N656" s="21"/>
      <c r="O656" s="25"/>
      <c r="P656" s="26"/>
      <c r="Q656" s="27" t="str">
        <f aca="false">IF(A656="","",SUMIF(Expenses!$B$2:$B$3000,A656,Expenses!$E$2:$E$3000))</f>
        <v/>
      </c>
      <c r="R656" s="27" t="str">
        <f aca="false">IF(A656="","",N(P656)+N(Q656))</f>
        <v/>
      </c>
      <c r="S656" s="28"/>
      <c r="T656" s="25"/>
      <c r="U656" s="26"/>
      <c r="V656" s="26"/>
      <c r="W656" s="26"/>
      <c r="X656" s="27" t="str">
        <f aca="false">IF(B656&lt;&gt;"SOLD","",IF(C656="Consignment",N(W656)-R656,N(U656)-R656-N(V656)))</f>
        <v/>
      </c>
      <c r="Y656" s="29" t="str">
        <f aca="false">IF(OR(X656="",N(R656)=0),"",X656/R656)</f>
        <v/>
      </c>
      <c r="Z656" s="30" t="str">
        <f aca="true">IF(O656="","",IF(T656="",TODAY(),T656)-O656)</f>
        <v/>
      </c>
      <c r="AA656" s="31" t="str">
        <f aca="false">IF(T656="","",TEXT(T656,"YYYY-MM"))</f>
        <v/>
      </c>
      <c r="AB656" s="27" t="str">
        <f aca="false">IF(X656="","",X656/2)</f>
        <v/>
      </c>
      <c r="AC656" s="21"/>
    </row>
    <row r="657" customFormat="false" ht="15" hidden="false" customHeight="false" outlineLevel="0" collapsed="false">
      <c r="A657" s="20"/>
      <c r="B657" s="21"/>
      <c r="C657" s="21"/>
      <c r="D657" s="21"/>
      <c r="E657" s="21"/>
      <c r="F657" s="21"/>
      <c r="G657" s="22"/>
      <c r="H657" s="21"/>
      <c r="I657" s="21"/>
      <c r="J657" s="21"/>
      <c r="K657" s="23"/>
      <c r="L657" s="24"/>
      <c r="M657" s="21"/>
      <c r="N657" s="21"/>
      <c r="O657" s="25"/>
      <c r="P657" s="26"/>
      <c r="Q657" s="27" t="str">
        <f aca="false">IF(A657="","",SUMIF(Expenses!$B$2:$B$3000,A657,Expenses!$E$2:$E$3000))</f>
        <v/>
      </c>
      <c r="R657" s="27" t="str">
        <f aca="false">IF(A657="","",N(P657)+N(Q657))</f>
        <v/>
      </c>
      <c r="S657" s="28"/>
      <c r="T657" s="25"/>
      <c r="U657" s="26"/>
      <c r="V657" s="26"/>
      <c r="W657" s="26"/>
      <c r="X657" s="27" t="str">
        <f aca="false">IF(B657&lt;&gt;"SOLD","",IF(C657="Consignment",N(W657)-R657,N(U657)-R657-N(V657)))</f>
        <v/>
      </c>
      <c r="Y657" s="29" t="str">
        <f aca="false">IF(OR(X657="",N(R657)=0),"",X657/R657)</f>
        <v/>
      </c>
      <c r="Z657" s="30" t="str">
        <f aca="true">IF(O657="","",IF(T657="",TODAY(),T657)-O657)</f>
        <v/>
      </c>
      <c r="AA657" s="31" t="str">
        <f aca="false">IF(T657="","",TEXT(T657,"YYYY-MM"))</f>
        <v/>
      </c>
      <c r="AB657" s="27" t="str">
        <f aca="false">IF(X657="","",X657/2)</f>
        <v/>
      </c>
      <c r="AC657" s="21"/>
    </row>
    <row r="658" customFormat="false" ht="15" hidden="false" customHeight="false" outlineLevel="0" collapsed="false">
      <c r="A658" s="20"/>
      <c r="B658" s="21"/>
      <c r="C658" s="21"/>
      <c r="D658" s="21"/>
      <c r="E658" s="21"/>
      <c r="F658" s="21"/>
      <c r="G658" s="22"/>
      <c r="H658" s="21"/>
      <c r="I658" s="21"/>
      <c r="J658" s="21"/>
      <c r="K658" s="23"/>
      <c r="L658" s="24"/>
      <c r="M658" s="21"/>
      <c r="N658" s="21"/>
      <c r="O658" s="25"/>
      <c r="P658" s="26"/>
      <c r="Q658" s="27" t="str">
        <f aca="false">IF(A658="","",SUMIF(Expenses!$B$2:$B$3000,A658,Expenses!$E$2:$E$3000))</f>
        <v/>
      </c>
      <c r="R658" s="27" t="str">
        <f aca="false">IF(A658="","",N(P658)+N(Q658))</f>
        <v/>
      </c>
      <c r="S658" s="28"/>
      <c r="T658" s="25"/>
      <c r="U658" s="26"/>
      <c r="V658" s="26"/>
      <c r="W658" s="26"/>
      <c r="X658" s="27" t="str">
        <f aca="false">IF(B658&lt;&gt;"SOLD","",IF(C658="Consignment",N(W658)-R658,N(U658)-R658-N(V658)))</f>
        <v/>
      </c>
      <c r="Y658" s="29" t="str">
        <f aca="false">IF(OR(X658="",N(R658)=0),"",X658/R658)</f>
        <v/>
      </c>
      <c r="Z658" s="30" t="str">
        <f aca="true">IF(O658="","",IF(T658="",TODAY(),T658)-O658)</f>
        <v/>
      </c>
      <c r="AA658" s="31" t="str">
        <f aca="false">IF(T658="","",TEXT(T658,"YYYY-MM"))</f>
        <v/>
      </c>
      <c r="AB658" s="27" t="str">
        <f aca="false">IF(X658="","",X658/2)</f>
        <v/>
      </c>
      <c r="AC658" s="21"/>
    </row>
    <row r="659" customFormat="false" ht="15" hidden="false" customHeight="false" outlineLevel="0" collapsed="false">
      <c r="A659" s="20"/>
      <c r="B659" s="21"/>
      <c r="C659" s="21"/>
      <c r="D659" s="21"/>
      <c r="E659" s="21"/>
      <c r="F659" s="21"/>
      <c r="G659" s="22"/>
      <c r="H659" s="21"/>
      <c r="I659" s="21"/>
      <c r="J659" s="21"/>
      <c r="K659" s="23"/>
      <c r="L659" s="24"/>
      <c r="M659" s="21"/>
      <c r="N659" s="21"/>
      <c r="O659" s="25"/>
      <c r="P659" s="26"/>
      <c r="Q659" s="27" t="str">
        <f aca="false">IF(A659="","",SUMIF(Expenses!$B$2:$B$3000,A659,Expenses!$E$2:$E$3000))</f>
        <v/>
      </c>
      <c r="R659" s="27" t="str">
        <f aca="false">IF(A659="","",N(P659)+N(Q659))</f>
        <v/>
      </c>
      <c r="S659" s="28"/>
      <c r="T659" s="25"/>
      <c r="U659" s="26"/>
      <c r="V659" s="26"/>
      <c r="W659" s="26"/>
      <c r="X659" s="27" t="str">
        <f aca="false">IF(B659&lt;&gt;"SOLD","",IF(C659="Consignment",N(W659)-R659,N(U659)-R659-N(V659)))</f>
        <v/>
      </c>
      <c r="Y659" s="29" t="str">
        <f aca="false">IF(OR(X659="",N(R659)=0),"",X659/R659)</f>
        <v/>
      </c>
      <c r="Z659" s="30" t="str">
        <f aca="true">IF(O659="","",IF(T659="",TODAY(),T659)-O659)</f>
        <v/>
      </c>
      <c r="AA659" s="31" t="str">
        <f aca="false">IF(T659="","",TEXT(T659,"YYYY-MM"))</f>
        <v/>
      </c>
      <c r="AB659" s="27" t="str">
        <f aca="false">IF(X659="","",X659/2)</f>
        <v/>
      </c>
      <c r="AC659" s="21"/>
    </row>
    <row r="660" customFormat="false" ht="15" hidden="false" customHeight="false" outlineLevel="0" collapsed="false">
      <c r="A660" s="20"/>
      <c r="B660" s="21"/>
      <c r="C660" s="21"/>
      <c r="D660" s="21"/>
      <c r="E660" s="21"/>
      <c r="F660" s="21"/>
      <c r="G660" s="22"/>
      <c r="H660" s="21"/>
      <c r="I660" s="21"/>
      <c r="J660" s="21"/>
      <c r="K660" s="23"/>
      <c r="L660" s="24"/>
      <c r="M660" s="21"/>
      <c r="N660" s="21"/>
      <c r="O660" s="25"/>
      <c r="P660" s="26"/>
      <c r="Q660" s="27" t="str">
        <f aca="false">IF(A660="","",SUMIF(Expenses!$B$2:$B$3000,A660,Expenses!$E$2:$E$3000))</f>
        <v/>
      </c>
      <c r="R660" s="27" t="str">
        <f aca="false">IF(A660="","",N(P660)+N(Q660))</f>
        <v/>
      </c>
      <c r="S660" s="28"/>
      <c r="T660" s="25"/>
      <c r="U660" s="26"/>
      <c r="V660" s="26"/>
      <c r="W660" s="26"/>
      <c r="X660" s="27" t="str">
        <f aca="false">IF(B660&lt;&gt;"SOLD","",IF(C660="Consignment",N(W660)-R660,N(U660)-R660-N(V660)))</f>
        <v/>
      </c>
      <c r="Y660" s="29" t="str">
        <f aca="false">IF(OR(X660="",N(R660)=0),"",X660/R660)</f>
        <v/>
      </c>
      <c r="Z660" s="30" t="str">
        <f aca="true">IF(O660="","",IF(T660="",TODAY(),T660)-O660)</f>
        <v/>
      </c>
      <c r="AA660" s="31" t="str">
        <f aca="false">IF(T660="","",TEXT(T660,"YYYY-MM"))</f>
        <v/>
      </c>
      <c r="AB660" s="27" t="str">
        <f aca="false">IF(X660="","",X660/2)</f>
        <v/>
      </c>
      <c r="AC660" s="21"/>
    </row>
    <row r="661" customFormat="false" ht="15" hidden="false" customHeight="false" outlineLevel="0" collapsed="false">
      <c r="A661" s="20"/>
      <c r="B661" s="21"/>
      <c r="C661" s="21"/>
      <c r="D661" s="21"/>
      <c r="E661" s="21"/>
      <c r="F661" s="21"/>
      <c r="G661" s="22"/>
      <c r="H661" s="21"/>
      <c r="I661" s="21"/>
      <c r="J661" s="21"/>
      <c r="K661" s="23"/>
      <c r="L661" s="24"/>
      <c r="M661" s="21"/>
      <c r="N661" s="21"/>
      <c r="O661" s="25"/>
      <c r="P661" s="26"/>
      <c r="Q661" s="27" t="str">
        <f aca="false">IF(A661="","",SUMIF(Expenses!$B$2:$B$3000,A661,Expenses!$E$2:$E$3000))</f>
        <v/>
      </c>
      <c r="R661" s="27" t="str">
        <f aca="false">IF(A661="","",N(P661)+N(Q661))</f>
        <v/>
      </c>
      <c r="S661" s="28"/>
      <c r="T661" s="25"/>
      <c r="U661" s="26"/>
      <c r="V661" s="26"/>
      <c r="W661" s="26"/>
      <c r="X661" s="27" t="str">
        <f aca="false">IF(B661&lt;&gt;"SOLD","",IF(C661="Consignment",N(W661)-R661,N(U661)-R661-N(V661)))</f>
        <v/>
      </c>
      <c r="Y661" s="29" t="str">
        <f aca="false">IF(OR(X661="",N(R661)=0),"",X661/R661)</f>
        <v/>
      </c>
      <c r="Z661" s="30" t="str">
        <f aca="true">IF(O661="","",IF(T661="",TODAY(),T661)-O661)</f>
        <v/>
      </c>
      <c r="AA661" s="31" t="str">
        <f aca="false">IF(T661="","",TEXT(T661,"YYYY-MM"))</f>
        <v/>
      </c>
      <c r="AB661" s="27" t="str">
        <f aca="false">IF(X661="","",X661/2)</f>
        <v/>
      </c>
      <c r="AC661" s="21"/>
    </row>
    <row r="662" customFormat="false" ht="15" hidden="false" customHeight="false" outlineLevel="0" collapsed="false">
      <c r="A662" s="20"/>
      <c r="B662" s="21"/>
      <c r="C662" s="21"/>
      <c r="D662" s="21"/>
      <c r="E662" s="21"/>
      <c r="F662" s="21"/>
      <c r="G662" s="22"/>
      <c r="H662" s="21"/>
      <c r="I662" s="21"/>
      <c r="J662" s="21"/>
      <c r="K662" s="23"/>
      <c r="L662" s="24"/>
      <c r="M662" s="21"/>
      <c r="N662" s="21"/>
      <c r="O662" s="25"/>
      <c r="P662" s="26"/>
      <c r="Q662" s="27" t="str">
        <f aca="false">IF(A662="","",SUMIF(Expenses!$B$2:$B$3000,A662,Expenses!$E$2:$E$3000))</f>
        <v/>
      </c>
      <c r="R662" s="27" t="str">
        <f aca="false">IF(A662="","",N(P662)+N(Q662))</f>
        <v/>
      </c>
      <c r="S662" s="28"/>
      <c r="T662" s="25"/>
      <c r="U662" s="26"/>
      <c r="V662" s="26"/>
      <c r="W662" s="26"/>
      <c r="X662" s="27" t="str">
        <f aca="false">IF(B662&lt;&gt;"SOLD","",IF(C662="Consignment",N(W662)-R662,N(U662)-R662-N(V662)))</f>
        <v/>
      </c>
      <c r="Y662" s="29" t="str">
        <f aca="false">IF(OR(X662="",N(R662)=0),"",X662/R662)</f>
        <v/>
      </c>
      <c r="Z662" s="30" t="str">
        <f aca="true">IF(O662="","",IF(T662="",TODAY(),T662)-O662)</f>
        <v/>
      </c>
      <c r="AA662" s="31" t="str">
        <f aca="false">IF(T662="","",TEXT(T662,"YYYY-MM"))</f>
        <v/>
      </c>
      <c r="AB662" s="27" t="str">
        <f aca="false">IF(X662="","",X662/2)</f>
        <v/>
      </c>
      <c r="AC662" s="21"/>
    </row>
    <row r="663" customFormat="false" ht="15" hidden="false" customHeight="false" outlineLevel="0" collapsed="false">
      <c r="A663" s="20"/>
      <c r="B663" s="21"/>
      <c r="C663" s="21"/>
      <c r="D663" s="21"/>
      <c r="E663" s="21"/>
      <c r="F663" s="21"/>
      <c r="G663" s="22"/>
      <c r="H663" s="21"/>
      <c r="I663" s="21"/>
      <c r="J663" s="21"/>
      <c r="K663" s="23"/>
      <c r="L663" s="24"/>
      <c r="M663" s="21"/>
      <c r="N663" s="21"/>
      <c r="O663" s="25"/>
      <c r="P663" s="26"/>
      <c r="Q663" s="27" t="str">
        <f aca="false">IF(A663="","",SUMIF(Expenses!$B$2:$B$3000,A663,Expenses!$E$2:$E$3000))</f>
        <v/>
      </c>
      <c r="R663" s="27" t="str">
        <f aca="false">IF(A663="","",N(P663)+N(Q663))</f>
        <v/>
      </c>
      <c r="S663" s="28"/>
      <c r="T663" s="25"/>
      <c r="U663" s="26"/>
      <c r="V663" s="26"/>
      <c r="W663" s="26"/>
      <c r="X663" s="27" t="str">
        <f aca="false">IF(B663&lt;&gt;"SOLD","",IF(C663="Consignment",N(W663)-R663,N(U663)-R663-N(V663)))</f>
        <v/>
      </c>
      <c r="Y663" s="29" t="str">
        <f aca="false">IF(OR(X663="",N(R663)=0),"",X663/R663)</f>
        <v/>
      </c>
      <c r="Z663" s="30" t="str">
        <f aca="true">IF(O663="","",IF(T663="",TODAY(),T663)-O663)</f>
        <v/>
      </c>
      <c r="AA663" s="31" t="str">
        <f aca="false">IF(T663="","",TEXT(T663,"YYYY-MM"))</f>
        <v/>
      </c>
      <c r="AB663" s="27" t="str">
        <f aca="false">IF(X663="","",X663/2)</f>
        <v/>
      </c>
      <c r="AC663" s="21"/>
    </row>
    <row r="664" customFormat="false" ht="15" hidden="false" customHeight="false" outlineLevel="0" collapsed="false">
      <c r="A664" s="20"/>
      <c r="B664" s="21"/>
      <c r="C664" s="21"/>
      <c r="D664" s="21"/>
      <c r="E664" s="21"/>
      <c r="F664" s="21"/>
      <c r="G664" s="22"/>
      <c r="H664" s="21"/>
      <c r="I664" s="21"/>
      <c r="J664" s="21"/>
      <c r="K664" s="23"/>
      <c r="L664" s="24"/>
      <c r="M664" s="21"/>
      <c r="N664" s="21"/>
      <c r="O664" s="25"/>
      <c r="P664" s="26"/>
      <c r="Q664" s="27" t="str">
        <f aca="false">IF(A664="","",SUMIF(Expenses!$B$2:$B$3000,A664,Expenses!$E$2:$E$3000))</f>
        <v/>
      </c>
      <c r="R664" s="27" t="str">
        <f aca="false">IF(A664="","",N(P664)+N(Q664))</f>
        <v/>
      </c>
      <c r="S664" s="28"/>
      <c r="T664" s="25"/>
      <c r="U664" s="26"/>
      <c r="V664" s="26"/>
      <c r="W664" s="26"/>
      <c r="X664" s="27" t="str">
        <f aca="false">IF(B664&lt;&gt;"SOLD","",IF(C664="Consignment",N(W664)-R664,N(U664)-R664-N(V664)))</f>
        <v/>
      </c>
      <c r="Y664" s="29" t="str">
        <f aca="false">IF(OR(X664="",N(R664)=0),"",X664/R664)</f>
        <v/>
      </c>
      <c r="Z664" s="30" t="str">
        <f aca="true">IF(O664="","",IF(T664="",TODAY(),T664)-O664)</f>
        <v/>
      </c>
      <c r="AA664" s="31" t="str">
        <f aca="false">IF(T664="","",TEXT(T664,"YYYY-MM"))</f>
        <v/>
      </c>
      <c r="AB664" s="27" t="str">
        <f aca="false">IF(X664="","",X664/2)</f>
        <v/>
      </c>
      <c r="AC664" s="21"/>
    </row>
    <row r="665" customFormat="false" ht="15" hidden="false" customHeight="false" outlineLevel="0" collapsed="false">
      <c r="A665" s="20"/>
      <c r="B665" s="21"/>
      <c r="C665" s="21"/>
      <c r="D665" s="21"/>
      <c r="E665" s="21"/>
      <c r="F665" s="21"/>
      <c r="G665" s="22"/>
      <c r="H665" s="21"/>
      <c r="I665" s="21"/>
      <c r="J665" s="21"/>
      <c r="K665" s="23"/>
      <c r="L665" s="24"/>
      <c r="M665" s="21"/>
      <c r="N665" s="21"/>
      <c r="O665" s="25"/>
      <c r="P665" s="26"/>
      <c r="Q665" s="27" t="str">
        <f aca="false">IF(A665="","",SUMIF(Expenses!$B$2:$B$3000,A665,Expenses!$E$2:$E$3000))</f>
        <v/>
      </c>
      <c r="R665" s="27" t="str">
        <f aca="false">IF(A665="","",N(P665)+N(Q665))</f>
        <v/>
      </c>
      <c r="S665" s="28"/>
      <c r="T665" s="25"/>
      <c r="U665" s="26"/>
      <c r="V665" s="26"/>
      <c r="W665" s="26"/>
      <c r="X665" s="27" t="str">
        <f aca="false">IF(B665&lt;&gt;"SOLD","",IF(C665="Consignment",N(W665)-R665,N(U665)-R665-N(V665)))</f>
        <v/>
      </c>
      <c r="Y665" s="29" t="str">
        <f aca="false">IF(OR(X665="",N(R665)=0),"",X665/R665)</f>
        <v/>
      </c>
      <c r="Z665" s="30" t="str">
        <f aca="true">IF(O665="","",IF(T665="",TODAY(),T665)-O665)</f>
        <v/>
      </c>
      <c r="AA665" s="31" t="str">
        <f aca="false">IF(T665="","",TEXT(T665,"YYYY-MM"))</f>
        <v/>
      </c>
      <c r="AB665" s="27" t="str">
        <f aca="false">IF(X665="","",X665/2)</f>
        <v/>
      </c>
      <c r="AC665" s="21"/>
    </row>
    <row r="666" customFormat="false" ht="15" hidden="false" customHeight="false" outlineLevel="0" collapsed="false">
      <c r="A666" s="20"/>
      <c r="B666" s="21"/>
      <c r="C666" s="21"/>
      <c r="D666" s="21"/>
      <c r="E666" s="21"/>
      <c r="F666" s="21"/>
      <c r="G666" s="22"/>
      <c r="H666" s="21"/>
      <c r="I666" s="21"/>
      <c r="J666" s="21"/>
      <c r="K666" s="23"/>
      <c r="L666" s="24"/>
      <c r="M666" s="21"/>
      <c r="N666" s="21"/>
      <c r="O666" s="25"/>
      <c r="P666" s="26"/>
      <c r="Q666" s="27" t="str">
        <f aca="false">IF(A666="","",SUMIF(Expenses!$B$2:$B$3000,A666,Expenses!$E$2:$E$3000))</f>
        <v/>
      </c>
      <c r="R666" s="27" t="str">
        <f aca="false">IF(A666="","",N(P666)+N(Q666))</f>
        <v/>
      </c>
      <c r="S666" s="28"/>
      <c r="T666" s="25"/>
      <c r="U666" s="26"/>
      <c r="V666" s="26"/>
      <c r="W666" s="26"/>
      <c r="X666" s="27" t="str">
        <f aca="false">IF(B666&lt;&gt;"SOLD","",IF(C666="Consignment",N(W666)-R666,N(U666)-R666-N(V666)))</f>
        <v/>
      </c>
      <c r="Y666" s="29" t="str">
        <f aca="false">IF(OR(X666="",N(R666)=0),"",X666/R666)</f>
        <v/>
      </c>
      <c r="Z666" s="30" t="str">
        <f aca="true">IF(O666="","",IF(T666="",TODAY(),T666)-O666)</f>
        <v/>
      </c>
      <c r="AA666" s="31" t="str">
        <f aca="false">IF(T666="","",TEXT(T666,"YYYY-MM"))</f>
        <v/>
      </c>
      <c r="AB666" s="27" t="str">
        <f aca="false">IF(X666="","",X666/2)</f>
        <v/>
      </c>
      <c r="AC666" s="21"/>
    </row>
    <row r="667" customFormat="false" ht="15" hidden="false" customHeight="false" outlineLevel="0" collapsed="false">
      <c r="A667" s="20"/>
      <c r="B667" s="21"/>
      <c r="C667" s="21"/>
      <c r="D667" s="21"/>
      <c r="E667" s="21"/>
      <c r="F667" s="21"/>
      <c r="G667" s="22"/>
      <c r="H667" s="21"/>
      <c r="I667" s="21"/>
      <c r="J667" s="21"/>
      <c r="K667" s="23"/>
      <c r="L667" s="24"/>
      <c r="M667" s="21"/>
      <c r="N667" s="21"/>
      <c r="O667" s="25"/>
      <c r="P667" s="26"/>
      <c r="Q667" s="27" t="str">
        <f aca="false">IF(A667="","",SUMIF(Expenses!$B$2:$B$3000,A667,Expenses!$E$2:$E$3000))</f>
        <v/>
      </c>
      <c r="R667" s="27" t="str">
        <f aca="false">IF(A667="","",N(P667)+N(Q667))</f>
        <v/>
      </c>
      <c r="S667" s="28"/>
      <c r="T667" s="25"/>
      <c r="U667" s="26"/>
      <c r="V667" s="26"/>
      <c r="W667" s="26"/>
      <c r="X667" s="27" t="str">
        <f aca="false">IF(B667&lt;&gt;"SOLD","",IF(C667="Consignment",N(W667)-R667,N(U667)-R667-N(V667)))</f>
        <v/>
      </c>
      <c r="Y667" s="29" t="str">
        <f aca="false">IF(OR(X667="",N(R667)=0),"",X667/R667)</f>
        <v/>
      </c>
      <c r="Z667" s="30" t="str">
        <f aca="true">IF(O667="","",IF(T667="",TODAY(),T667)-O667)</f>
        <v/>
      </c>
      <c r="AA667" s="31" t="str">
        <f aca="false">IF(T667="","",TEXT(T667,"YYYY-MM"))</f>
        <v/>
      </c>
      <c r="AB667" s="27" t="str">
        <f aca="false">IF(X667="","",X667/2)</f>
        <v/>
      </c>
      <c r="AC667" s="21"/>
    </row>
    <row r="668" customFormat="false" ht="15" hidden="false" customHeight="false" outlineLevel="0" collapsed="false">
      <c r="A668" s="20"/>
      <c r="B668" s="21"/>
      <c r="C668" s="21"/>
      <c r="D668" s="21"/>
      <c r="E668" s="21"/>
      <c r="F668" s="21"/>
      <c r="G668" s="22"/>
      <c r="H668" s="21"/>
      <c r="I668" s="21"/>
      <c r="J668" s="21"/>
      <c r="K668" s="23"/>
      <c r="L668" s="24"/>
      <c r="M668" s="21"/>
      <c r="N668" s="21"/>
      <c r="O668" s="25"/>
      <c r="P668" s="26"/>
      <c r="Q668" s="27" t="str">
        <f aca="false">IF(A668="","",SUMIF(Expenses!$B$2:$B$3000,A668,Expenses!$E$2:$E$3000))</f>
        <v/>
      </c>
      <c r="R668" s="27" t="str">
        <f aca="false">IF(A668="","",N(P668)+N(Q668))</f>
        <v/>
      </c>
      <c r="S668" s="28"/>
      <c r="T668" s="25"/>
      <c r="U668" s="26"/>
      <c r="V668" s="26"/>
      <c r="W668" s="26"/>
      <c r="X668" s="27" t="str">
        <f aca="false">IF(B668&lt;&gt;"SOLD","",IF(C668="Consignment",N(W668)-R668,N(U668)-R668-N(V668)))</f>
        <v/>
      </c>
      <c r="Y668" s="29" t="str">
        <f aca="false">IF(OR(X668="",N(R668)=0),"",X668/R668)</f>
        <v/>
      </c>
      <c r="Z668" s="30" t="str">
        <f aca="true">IF(O668="","",IF(T668="",TODAY(),T668)-O668)</f>
        <v/>
      </c>
      <c r="AA668" s="31" t="str">
        <f aca="false">IF(T668="","",TEXT(T668,"YYYY-MM"))</f>
        <v/>
      </c>
      <c r="AB668" s="27" t="str">
        <f aca="false">IF(X668="","",X668/2)</f>
        <v/>
      </c>
      <c r="AC668" s="21"/>
    </row>
    <row r="669" customFormat="false" ht="15" hidden="false" customHeight="false" outlineLevel="0" collapsed="false">
      <c r="A669" s="20"/>
      <c r="B669" s="21"/>
      <c r="C669" s="21"/>
      <c r="D669" s="21"/>
      <c r="E669" s="21"/>
      <c r="F669" s="21"/>
      <c r="G669" s="22"/>
      <c r="H669" s="21"/>
      <c r="I669" s="21"/>
      <c r="J669" s="21"/>
      <c r="K669" s="23"/>
      <c r="L669" s="24"/>
      <c r="M669" s="21"/>
      <c r="N669" s="21"/>
      <c r="O669" s="25"/>
      <c r="P669" s="26"/>
      <c r="Q669" s="27" t="str">
        <f aca="false">IF(A669="","",SUMIF(Expenses!$B$2:$B$3000,A669,Expenses!$E$2:$E$3000))</f>
        <v/>
      </c>
      <c r="R669" s="27" t="str">
        <f aca="false">IF(A669="","",N(P669)+N(Q669))</f>
        <v/>
      </c>
      <c r="S669" s="28"/>
      <c r="T669" s="25"/>
      <c r="U669" s="26"/>
      <c r="V669" s="26"/>
      <c r="W669" s="26"/>
      <c r="X669" s="27" t="str">
        <f aca="false">IF(B669&lt;&gt;"SOLD","",IF(C669="Consignment",N(W669)-R669,N(U669)-R669-N(V669)))</f>
        <v/>
      </c>
      <c r="Y669" s="29" t="str">
        <f aca="false">IF(OR(X669="",N(R669)=0),"",X669/R669)</f>
        <v/>
      </c>
      <c r="Z669" s="30" t="str">
        <f aca="true">IF(O669="","",IF(T669="",TODAY(),T669)-O669)</f>
        <v/>
      </c>
      <c r="AA669" s="31" t="str">
        <f aca="false">IF(T669="","",TEXT(T669,"YYYY-MM"))</f>
        <v/>
      </c>
      <c r="AB669" s="27" t="str">
        <f aca="false">IF(X669="","",X669/2)</f>
        <v/>
      </c>
      <c r="AC669" s="21"/>
    </row>
    <row r="670" customFormat="false" ht="15" hidden="false" customHeight="false" outlineLevel="0" collapsed="false">
      <c r="A670" s="20"/>
      <c r="B670" s="21"/>
      <c r="C670" s="21"/>
      <c r="D670" s="21"/>
      <c r="E670" s="21"/>
      <c r="F670" s="21"/>
      <c r="G670" s="22"/>
      <c r="H670" s="21"/>
      <c r="I670" s="21"/>
      <c r="J670" s="21"/>
      <c r="K670" s="23"/>
      <c r="L670" s="24"/>
      <c r="M670" s="21"/>
      <c r="N670" s="21"/>
      <c r="O670" s="25"/>
      <c r="P670" s="26"/>
      <c r="Q670" s="27" t="str">
        <f aca="false">IF(A670="","",SUMIF(Expenses!$B$2:$B$3000,A670,Expenses!$E$2:$E$3000))</f>
        <v/>
      </c>
      <c r="R670" s="27" t="str">
        <f aca="false">IF(A670="","",N(P670)+N(Q670))</f>
        <v/>
      </c>
      <c r="S670" s="28"/>
      <c r="T670" s="25"/>
      <c r="U670" s="26"/>
      <c r="V670" s="26"/>
      <c r="W670" s="26"/>
      <c r="X670" s="27" t="str">
        <f aca="false">IF(B670&lt;&gt;"SOLD","",IF(C670="Consignment",N(W670)-R670,N(U670)-R670-N(V670)))</f>
        <v/>
      </c>
      <c r="Y670" s="29" t="str">
        <f aca="false">IF(OR(X670="",N(R670)=0),"",X670/R670)</f>
        <v/>
      </c>
      <c r="Z670" s="30" t="str">
        <f aca="true">IF(O670="","",IF(T670="",TODAY(),T670)-O670)</f>
        <v/>
      </c>
      <c r="AA670" s="31" t="str">
        <f aca="false">IF(T670="","",TEXT(T670,"YYYY-MM"))</f>
        <v/>
      </c>
      <c r="AB670" s="27" t="str">
        <f aca="false">IF(X670="","",X670/2)</f>
        <v/>
      </c>
      <c r="AC670" s="21"/>
    </row>
    <row r="671" customFormat="false" ht="15" hidden="false" customHeight="false" outlineLevel="0" collapsed="false">
      <c r="A671" s="20"/>
      <c r="B671" s="21"/>
      <c r="C671" s="21"/>
      <c r="D671" s="21"/>
      <c r="E671" s="21"/>
      <c r="F671" s="21"/>
      <c r="G671" s="22"/>
      <c r="H671" s="21"/>
      <c r="I671" s="21"/>
      <c r="J671" s="21"/>
      <c r="K671" s="23"/>
      <c r="L671" s="24"/>
      <c r="M671" s="21"/>
      <c r="N671" s="21"/>
      <c r="O671" s="25"/>
      <c r="P671" s="26"/>
      <c r="Q671" s="27" t="str">
        <f aca="false">IF(A671="","",SUMIF(Expenses!$B$2:$B$3000,A671,Expenses!$E$2:$E$3000))</f>
        <v/>
      </c>
      <c r="R671" s="27" t="str">
        <f aca="false">IF(A671="","",N(P671)+N(Q671))</f>
        <v/>
      </c>
      <c r="S671" s="28"/>
      <c r="T671" s="25"/>
      <c r="U671" s="26"/>
      <c r="V671" s="26"/>
      <c r="W671" s="26"/>
      <c r="X671" s="27" t="str">
        <f aca="false">IF(B671&lt;&gt;"SOLD","",IF(C671="Consignment",N(W671)-R671,N(U671)-R671-N(V671)))</f>
        <v/>
      </c>
      <c r="Y671" s="29" t="str">
        <f aca="false">IF(OR(X671="",N(R671)=0),"",X671/R671)</f>
        <v/>
      </c>
      <c r="Z671" s="30" t="str">
        <f aca="true">IF(O671="","",IF(T671="",TODAY(),T671)-O671)</f>
        <v/>
      </c>
      <c r="AA671" s="31" t="str">
        <f aca="false">IF(T671="","",TEXT(T671,"YYYY-MM"))</f>
        <v/>
      </c>
      <c r="AB671" s="27" t="str">
        <f aca="false">IF(X671="","",X671/2)</f>
        <v/>
      </c>
      <c r="AC671" s="21"/>
    </row>
    <row r="672" customFormat="false" ht="15" hidden="false" customHeight="false" outlineLevel="0" collapsed="false">
      <c r="A672" s="20"/>
      <c r="B672" s="21"/>
      <c r="C672" s="21"/>
      <c r="D672" s="21"/>
      <c r="E672" s="21"/>
      <c r="F672" s="21"/>
      <c r="G672" s="22"/>
      <c r="H672" s="21"/>
      <c r="I672" s="21"/>
      <c r="J672" s="21"/>
      <c r="K672" s="23"/>
      <c r="L672" s="24"/>
      <c r="M672" s="21"/>
      <c r="N672" s="21"/>
      <c r="O672" s="25"/>
      <c r="P672" s="26"/>
      <c r="Q672" s="27" t="str">
        <f aca="false">IF(A672="","",SUMIF(Expenses!$B$2:$B$3000,A672,Expenses!$E$2:$E$3000))</f>
        <v/>
      </c>
      <c r="R672" s="27" t="str">
        <f aca="false">IF(A672="","",N(P672)+N(Q672))</f>
        <v/>
      </c>
      <c r="S672" s="28"/>
      <c r="T672" s="25"/>
      <c r="U672" s="26"/>
      <c r="V672" s="26"/>
      <c r="W672" s="26"/>
      <c r="X672" s="27" t="str">
        <f aca="false">IF(B672&lt;&gt;"SOLD","",IF(C672="Consignment",N(W672)-R672,N(U672)-R672-N(V672)))</f>
        <v/>
      </c>
      <c r="Y672" s="29" t="str">
        <f aca="false">IF(OR(X672="",N(R672)=0),"",X672/R672)</f>
        <v/>
      </c>
      <c r="Z672" s="30" t="str">
        <f aca="true">IF(O672="","",IF(T672="",TODAY(),T672)-O672)</f>
        <v/>
      </c>
      <c r="AA672" s="31" t="str">
        <f aca="false">IF(T672="","",TEXT(T672,"YYYY-MM"))</f>
        <v/>
      </c>
      <c r="AB672" s="27" t="str">
        <f aca="false">IF(X672="","",X672/2)</f>
        <v/>
      </c>
      <c r="AC672" s="21"/>
    </row>
    <row r="673" customFormat="false" ht="15" hidden="false" customHeight="false" outlineLevel="0" collapsed="false">
      <c r="A673" s="20"/>
      <c r="B673" s="21"/>
      <c r="C673" s="21"/>
      <c r="D673" s="21"/>
      <c r="E673" s="21"/>
      <c r="F673" s="21"/>
      <c r="G673" s="22"/>
      <c r="H673" s="21"/>
      <c r="I673" s="21"/>
      <c r="J673" s="21"/>
      <c r="K673" s="23"/>
      <c r="L673" s="24"/>
      <c r="M673" s="21"/>
      <c r="N673" s="21"/>
      <c r="O673" s="25"/>
      <c r="P673" s="26"/>
      <c r="Q673" s="27" t="str">
        <f aca="false">IF(A673="","",SUMIF(Expenses!$B$2:$B$3000,A673,Expenses!$E$2:$E$3000))</f>
        <v/>
      </c>
      <c r="R673" s="27" t="str">
        <f aca="false">IF(A673="","",N(P673)+N(Q673))</f>
        <v/>
      </c>
      <c r="S673" s="28"/>
      <c r="T673" s="25"/>
      <c r="U673" s="26"/>
      <c r="V673" s="26"/>
      <c r="W673" s="26"/>
      <c r="X673" s="27" t="str">
        <f aca="false">IF(B673&lt;&gt;"SOLD","",IF(C673="Consignment",N(W673)-R673,N(U673)-R673-N(V673)))</f>
        <v/>
      </c>
      <c r="Y673" s="29" t="str">
        <f aca="false">IF(OR(X673="",N(R673)=0),"",X673/R673)</f>
        <v/>
      </c>
      <c r="Z673" s="30" t="str">
        <f aca="true">IF(O673="","",IF(T673="",TODAY(),T673)-O673)</f>
        <v/>
      </c>
      <c r="AA673" s="31" t="str">
        <f aca="false">IF(T673="","",TEXT(T673,"YYYY-MM"))</f>
        <v/>
      </c>
      <c r="AB673" s="27" t="str">
        <f aca="false">IF(X673="","",X673/2)</f>
        <v/>
      </c>
      <c r="AC673" s="21"/>
    </row>
    <row r="674" customFormat="false" ht="15" hidden="false" customHeight="false" outlineLevel="0" collapsed="false">
      <c r="A674" s="20"/>
      <c r="B674" s="21"/>
      <c r="C674" s="21"/>
      <c r="D674" s="21"/>
      <c r="E674" s="21"/>
      <c r="F674" s="21"/>
      <c r="G674" s="22"/>
      <c r="H674" s="21"/>
      <c r="I674" s="21"/>
      <c r="J674" s="21"/>
      <c r="K674" s="23"/>
      <c r="L674" s="24"/>
      <c r="M674" s="21"/>
      <c r="N674" s="21"/>
      <c r="O674" s="25"/>
      <c r="P674" s="26"/>
      <c r="Q674" s="27" t="str">
        <f aca="false">IF(A674="","",SUMIF(Expenses!$B$2:$B$3000,A674,Expenses!$E$2:$E$3000))</f>
        <v/>
      </c>
      <c r="R674" s="27" t="str">
        <f aca="false">IF(A674="","",N(P674)+N(Q674))</f>
        <v/>
      </c>
      <c r="S674" s="28"/>
      <c r="T674" s="25"/>
      <c r="U674" s="26"/>
      <c r="V674" s="26"/>
      <c r="W674" s="26"/>
      <c r="X674" s="27" t="str">
        <f aca="false">IF(B674&lt;&gt;"SOLD","",IF(C674="Consignment",N(W674)-R674,N(U674)-R674-N(V674)))</f>
        <v/>
      </c>
      <c r="Y674" s="29" t="str">
        <f aca="false">IF(OR(X674="",N(R674)=0),"",X674/R674)</f>
        <v/>
      </c>
      <c r="Z674" s="30" t="str">
        <f aca="true">IF(O674="","",IF(T674="",TODAY(),T674)-O674)</f>
        <v/>
      </c>
      <c r="AA674" s="31" t="str">
        <f aca="false">IF(T674="","",TEXT(T674,"YYYY-MM"))</f>
        <v/>
      </c>
      <c r="AB674" s="27" t="str">
        <f aca="false">IF(X674="","",X674/2)</f>
        <v/>
      </c>
      <c r="AC674" s="21"/>
    </row>
    <row r="675" customFormat="false" ht="15" hidden="false" customHeight="false" outlineLevel="0" collapsed="false">
      <c r="A675" s="20"/>
      <c r="B675" s="21"/>
      <c r="C675" s="21"/>
      <c r="D675" s="21"/>
      <c r="E675" s="21"/>
      <c r="F675" s="21"/>
      <c r="G675" s="22"/>
      <c r="H675" s="21"/>
      <c r="I675" s="21"/>
      <c r="J675" s="21"/>
      <c r="K675" s="23"/>
      <c r="L675" s="24"/>
      <c r="M675" s="21"/>
      <c r="N675" s="21"/>
      <c r="O675" s="25"/>
      <c r="P675" s="26"/>
      <c r="Q675" s="27" t="str">
        <f aca="false">IF(A675="","",SUMIF(Expenses!$B$2:$B$3000,A675,Expenses!$E$2:$E$3000))</f>
        <v/>
      </c>
      <c r="R675" s="27" t="str">
        <f aca="false">IF(A675="","",N(P675)+N(Q675))</f>
        <v/>
      </c>
      <c r="S675" s="28"/>
      <c r="T675" s="25"/>
      <c r="U675" s="26"/>
      <c r="V675" s="26"/>
      <c r="W675" s="26"/>
      <c r="X675" s="27" t="str">
        <f aca="false">IF(B675&lt;&gt;"SOLD","",IF(C675="Consignment",N(W675)-R675,N(U675)-R675-N(V675)))</f>
        <v/>
      </c>
      <c r="Y675" s="29" t="str">
        <f aca="false">IF(OR(X675="",N(R675)=0),"",X675/R675)</f>
        <v/>
      </c>
      <c r="Z675" s="30" t="str">
        <f aca="true">IF(O675="","",IF(T675="",TODAY(),T675)-O675)</f>
        <v/>
      </c>
      <c r="AA675" s="31" t="str">
        <f aca="false">IF(T675="","",TEXT(T675,"YYYY-MM"))</f>
        <v/>
      </c>
      <c r="AB675" s="27" t="str">
        <f aca="false">IF(X675="","",X675/2)</f>
        <v/>
      </c>
      <c r="AC675" s="21"/>
    </row>
    <row r="676" customFormat="false" ht="15" hidden="false" customHeight="false" outlineLevel="0" collapsed="false">
      <c r="A676" s="20"/>
      <c r="B676" s="21"/>
      <c r="C676" s="21"/>
      <c r="D676" s="21"/>
      <c r="E676" s="21"/>
      <c r="F676" s="21"/>
      <c r="G676" s="22"/>
      <c r="H676" s="21"/>
      <c r="I676" s="21"/>
      <c r="J676" s="21"/>
      <c r="K676" s="23"/>
      <c r="L676" s="24"/>
      <c r="M676" s="21"/>
      <c r="N676" s="21"/>
      <c r="O676" s="25"/>
      <c r="P676" s="26"/>
      <c r="Q676" s="27" t="str">
        <f aca="false">IF(A676="","",SUMIF(Expenses!$B$2:$B$3000,A676,Expenses!$E$2:$E$3000))</f>
        <v/>
      </c>
      <c r="R676" s="27" t="str">
        <f aca="false">IF(A676="","",N(P676)+N(Q676))</f>
        <v/>
      </c>
      <c r="S676" s="28"/>
      <c r="T676" s="25"/>
      <c r="U676" s="26"/>
      <c r="V676" s="26"/>
      <c r="W676" s="26"/>
      <c r="X676" s="27" t="str">
        <f aca="false">IF(B676&lt;&gt;"SOLD","",IF(C676="Consignment",N(W676)-R676,N(U676)-R676-N(V676)))</f>
        <v/>
      </c>
      <c r="Y676" s="29" t="str">
        <f aca="false">IF(OR(X676="",N(R676)=0),"",X676/R676)</f>
        <v/>
      </c>
      <c r="Z676" s="30" t="str">
        <f aca="true">IF(O676="","",IF(T676="",TODAY(),T676)-O676)</f>
        <v/>
      </c>
      <c r="AA676" s="31" t="str">
        <f aca="false">IF(T676="","",TEXT(T676,"YYYY-MM"))</f>
        <v/>
      </c>
      <c r="AB676" s="27" t="str">
        <f aca="false">IF(X676="","",X676/2)</f>
        <v/>
      </c>
      <c r="AC676" s="21"/>
    </row>
    <row r="677" customFormat="false" ht="15" hidden="false" customHeight="false" outlineLevel="0" collapsed="false">
      <c r="A677" s="20"/>
      <c r="B677" s="21"/>
      <c r="C677" s="21"/>
      <c r="D677" s="21"/>
      <c r="E677" s="21"/>
      <c r="F677" s="21"/>
      <c r="G677" s="22"/>
      <c r="H677" s="21"/>
      <c r="I677" s="21"/>
      <c r="J677" s="21"/>
      <c r="K677" s="23"/>
      <c r="L677" s="24"/>
      <c r="M677" s="21"/>
      <c r="N677" s="21"/>
      <c r="O677" s="25"/>
      <c r="P677" s="26"/>
      <c r="Q677" s="27" t="str">
        <f aca="false">IF(A677="","",SUMIF(Expenses!$B$2:$B$3000,A677,Expenses!$E$2:$E$3000))</f>
        <v/>
      </c>
      <c r="R677" s="27" t="str">
        <f aca="false">IF(A677="","",N(P677)+N(Q677))</f>
        <v/>
      </c>
      <c r="S677" s="28"/>
      <c r="T677" s="25"/>
      <c r="U677" s="26"/>
      <c r="V677" s="26"/>
      <c r="W677" s="26"/>
      <c r="X677" s="27" t="str">
        <f aca="false">IF(B677&lt;&gt;"SOLD","",IF(C677="Consignment",N(W677)-R677,N(U677)-R677-N(V677)))</f>
        <v/>
      </c>
      <c r="Y677" s="29" t="str">
        <f aca="false">IF(OR(X677="",N(R677)=0),"",X677/R677)</f>
        <v/>
      </c>
      <c r="Z677" s="30" t="str">
        <f aca="true">IF(O677="","",IF(T677="",TODAY(),T677)-O677)</f>
        <v/>
      </c>
      <c r="AA677" s="31" t="str">
        <f aca="false">IF(T677="","",TEXT(T677,"YYYY-MM"))</f>
        <v/>
      </c>
      <c r="AB677" s="27" t="str">
        <f aca="false">IF(X677="","",X677/2)</f>
        <v/>
      </c>
      <c r="AC677" s="21"/>
    </row>
    <row r="678" customFormat="false" ht="15" hidden="false" customHeight="false" outlineLevel="0" collapsed="false">
      <c r="A678" s="20"/>
      <c r="B678" s="21"/>
      <c r="C678" s="21"/>
      <c r="D678" s="21"/>
      <c r="E678" s="21"/>
      <c r="F678" s="21"/>
      <c r="G678" s="22"/>
      <c r="H678" s="21"/>
      <c r="I678" s="21"/>
      <c r="J678" s="21"/>
      <c r="K678" s="23"/>
      <c r="L678" s="24"/>
      <c r="M678" s="21"/>
      <c r="N678" s="21"/>
      <c r="O678" s="25"/>
      <c r="P678" s="26"/>
      <c r="Q678" s="27" t="str">
        <f aca="false">IF(A678="","",SUMIF(Expenses!$B$2:$B$3000,A678,Expenses!$E$2:$E$3000))</f>
        <v/>
      </c>
      <c r="R678" s="27" t="str">
        <f aca="false">IF(A678="","",N(P678)+N(Q678))</f>
        <v/>
      </c>
      <c r="S678" s="28"/>
      <c r="T678" s="25"/>
      <c r="U678" s="26"/>
      <c r="V678" s="26"/>
      <c r="W678" s="26"/>
      <c r="X678" s="27" t="str">
        <f aca="false">IF(B678&lt;&gt;"SOLD","",IF(C678="Consignment",N(W678)-R678,N(U678)-R678-N(V678)))</f>
        <v/>
      </c>
      <c r="Y678" s="29" t="str">
        <f aca="false">IF(OR(X678="",N(R678)=0),"",X678/R678)</f>
        <v/>
      </c>
      <c r="Z678" s="30" t="str">
        <f aca="true">IF(O678="","",IF(T678="",TODAY(),T678)-O678)</f>
        <v/>
      </c>
      <c r="AA678" s="31" t="str">
        <f aca="false">IF(T678="","",TEXT(T678,"YYYY-MM"))</f>
        <v/>
      </c>
      <c r="AB678" s="27" t="str">
        <f aca="false">IF(X678="","",X678/2)</f>
        <v/>
      </c>
      <c r="AC678" s="21"/>
    </row>
    <row r="679" customFormat="false" ht="15" hidden="false" customHeight="false" outlineLevel="0" collapsed="false">
      <c r="A679" s="20"/>
      <c r="B679" s="21"/>
      <c r="C679" s="21"/>
      <c r="D679" s="21"/>
      <c r="E679" s="21"/>
      <c r="F679" s="21"/>
      <c r="G679" s="22"/>
      <c r="H679" s="21"/>
      <c r="I679" s="21"/>
      <c r="J679" s="21"/>
      <c r="K679" s="23"/>
      <c r="L679" s="24"/>
      <c r="M679" s="21"/>
      <c r="N679" s="21"/>
      <c r="O679" s="25"/>
      <c r="P679" s="26"/>
      <c r="Q679" s="27" t="str">
        <f aca="false">IF(A679="","",SUMIF(Expenses!$B$2:$B$3000,A679,Expenses!$E$2:$E$3000))</f>
        <v/>
      </c>
      <c r="R679" s="27" t="str">
        <f aca="false">IF(A679="","",N(P679)+N(Q679))</f>
        <v/>
      </c>
      <c r="S679" s="28"/>
      <c r="T679" s="25"/>
      <c r="U679" s="26"/>
      <c r="V679" s="26"/>
      <c r="W679" s="26"/>
      <c r="X679" s="27" t="str">
        <f aca="false">IF(B679&lt;&gt;"SOLD","",IF(C679="Consignment",N(W679)-R679,N(U679)-R679-N(V679)))</f>
        <v/>
      </c>
      <c r="Y679" s="29" t="str">
        <f aca="false">IF(OR(X679="",N(R679)=0),"",X679/R679)</f>
        <v/>
      </c>
      <c r="Z679" s="30" t="str">
        <f aca="true">IF(O679="","",IF(T679="",TODAY(),T679)-O679)</f>
        <v/>
      </c>
      <c r="AA679" s="31" t="str">
        <f aca="false">IF(T679="","",TEXT(T679,"YYYY-MM"))</f>
        <v/>
      </c>
      <c r="AB679" s="27" t="str">
        <f aca="false">IF(X679="","",X679/2)</f>
        <v/>
      </c>
      <c r="AC679" s="21"/>
    </row>
    <row r="680" customFormat="false" ht="15" hidden="false" customHeight="false" outlineLevel="0" collapsed="false">
      <c r="A680" s="20"/>
      <c r="B680" s="21"/>
      <c r="C680" s="21"/>
      <c r="D680" s="21"/>
      <c r="E680" s="21"/>
      <c r="F680" s="21"/>
      <c r="G680" s="22"/>
      <c r="H680" s="21"/>
      <c r="I680" s="21"/>
      <c r="J680" s="21"/>
      <c r="K680" s="23"/>
      <c r="L680" s="24"/>
      <c r="M680" s="21"/>
      <c r="N680" s="21"/>
      <c r="O680" s="25"/>
      <c r="P680" s="26"/>
      <c r="Q680" s="27" t="str">
        <f aca="false">IF(A680="","",SUMIF(Expenses!$B$2:$B$3000,A680,Expenses!$E$2:$E$3000))</f>
        <v/>
      </c>
      <c r="R680" s="27" t="str">
        <f aca="false">IF(A680="","",N(P680)+N(Q680))</f>
        <v/>
      </c>
      <c r="S680" s="28"/>
      <c r="T680" s="25"/>
      <c r="U680" s="26"/>
      <c r="V680" s="26"/>
      <c r="W680" s="26"/>
      <c r="X680" s="27" t="str">
        <f aca="false">IF(B680&lt;&gt;"SOLD","",IF(C680="Consignment",N(W680)-R680,N(U680)-R680-N(V680)))</f>
        <v/>
      </c>
      <c r="Y680" s="29" t="str">
        <f aca="false">IF(OR(X680="",N(R680)=0),"",X680/R680)</f>
        <v/>
      </c>
      <c r="Z680" s="30" t="str">
        <f aca="true">IF(O680="","",IF(T680="",TODAY(),T680)-O680)</f>
        <v/>
      </c>
      <c r="AA680" s="31" t="str">
        <f aca="false">IF(T680="","",TEXT(T680,"YYYY-MM"))</f>
        <v/>
      </c>
      <c r="AB680" s="27" t="str">
        <f aca="false">IF(X680="","",X680/2)</f>
        <v/>
      </c>
      <c r="AC680" s="21"/>
    </row>
    <row r="681" customFormat="false" ht="15" hidden="false" customHeight="false" outlineLevel="0" collapsed="false">
      <c r="A681" s="20"/>
      <c r="B681" s="21"/>
      <c r="C681" s="21"/>
      <c r="D681" s="21"/>
      <c r="E681" s="21"/>
      <c r="F681" s="21"/>
      <c r="G681" s="22"/>
      <c r="H681" s="21"/>
      <c r="I681" s="21"/>
      <c r="J681" s="21"/>
      <c r="K681" s="23"/>
      <c r="L681" s="24"/>
      <c r="M681" s="21"/>
      <c r="N681" s="21"/>
      <c r="O681" s="25"/>
      <c r="P681" s="26"/>
      <c r="Q681" s="27" t="str">
        <f aca="false">IF(A681="","",SUMIF(Expenses!$B$2:$B$3000,A681,Expenses!$E$2:$E$3000))</f>
        <v/>
      </c>
      <c r="R681" s="27" t="str">
        <f aca="false">IF(A681="","",N(P681)+N(Q681))</f>
        <v/>
      </c>
      <c r="S681" s="28"/>
      <c r="T681" s="25"/>
      <c r="U681" s="26"/>
      <c r="V681" s="26"/>
      <c r="W681" s="26"/>
      <c r="X681" s="27" t="str">
        <f aca="false">IF(B681&lt;&gt;"SOLD","",IF(C681="Consignment",N(W681)-R681,N(U681)-R681-N(V681)))</f>
        <v/>
      </c>
      <c r="Y681" s="29" t="str">
        <f aca="false">IF(OR(X681="",N(R681)=0),"",X681/R681)</f>
        <v/>
      </c>
      <c r="Z681" s="30" t="str">
        <f aca="true">IF(O681="","",IF(T681="",TODAY(),T681)-O681)</f>
        <v/>
      </c>
      <c r="AA681" s="31" t="str">
        <f aca="false">IF(T681="","",TEXT(T681,"YYYY-MM"))</f>
        <v/>
      </c>
      <c r="AB681" s="27" t="str">
        <f aca="false">IF(X681="","",X681/2)</f>
        <v/>
      </c>
      <c r="AC681" s="21"/>
    </row>
    <row r="682" customFormat="false" ht="15" hidden="false" customHeight="false" outlineLevel="0" collapsed="false">
      <c r="A682" s="20"/>
      <c r="B682" s="21"/>
      <c r="C682" s="21"/>
      <c r="D682" s="21"/>
      <c r="E682" s="21"/>
      <c r="F682" s="21"/>
      <c r="G682" s="22"/>
      <c r="H682" s="21"/>
      <c r="I682" s="21"/>
      <c r="J682" s="21"/>
      <c r="K682" s="23"/>
      <c r="L682" s="24"/>
      <c r="M682" s="21"/>
      <c r="N682" s="21"/>
      <c r="O682" s="25"/>
      <c r="P682" s="26"/>
      <c r="Q682" s="27" t="str">
        <f aca="false">IF(A682="","",SUMIF(Expenses!$B$2:$B$3000,A682,Expenses!$E$2:$E$3000))</f>
        <v/>
      </c>
      <c r="R682" s="27" t="str">
        <f aca="false">IF(A682="","",N(P682)+N(Q682))</f>
        <v/>
      </c>
      <c r="S682" s="28"/>
      <c r="T682" s="25"/>
      <c r="U682" s="26"/>
      <c r="V682" s="26"/>
      <c r="W682" s="26"/>
      <c r="X682" s="27" t="str">
        <f aca="false">IF(B682&lt;&gt;"SOLD","",IF(C682="Consignment",N(W682)-R682,N(U682)-R682-N(V682)))</f>
        <v/>
      </c>
      <c r="Y682" s="29" t="str">
        <f aca="false">IF(OR(X682="",N(R682)=0),"",X682/R682)</f>
        <v/>
      </c>
      <c r="Z682" s="30" t="str">
        <f aca="true">IF(O682="","",IF(T682="",TODAY(),T682)-O682)</f>
        <v/>
      </c>
      <c r="AA682" s="31" t="str">
        <f aca="false">IF(T682="","",TEXT(T682,"YYYY-MM"))</f>
        <v/>
      </c>
      <c r="AB682" s="27" t="str">
        <f aca="false">IF(X682="","",X682/2)</f>
        <v/>
      </c>
      <c r="AC682" s="21"/>
    </row>
    <row r="683" customFormat="false" ht="15" hidden="false" customHeight="false" outlineLevel="0" collapsed="false">
      <c r="A683" s="20"/>
      <c r="B683" s="21"/>
      <c r="C683" s="21"/>
      <c r="D683" s="21"/>
      <c r="E683" s="21"/>
      <c r="F683" s="21"/>
      <c r="G683" s="22"/>
      <c r="H683" s="21"/>
      <c r="I683" s="21"/>
      <c r="J683" s="21"/>
      <c r="K683" s="23"/>
      <c r="L683" s="24"/>
      <c r="M683" s="21"/>
      <c r="N683" s="21"/>
      <c r="O683" s="25"/>
      <c r="P683" s="26"/>
      <c r="Q683" s="27" t="str">
        <f aca="false">IF(A683="","",SUMIF(Expenses!$B$2:$B$3000,A683,Expenses!$E$2:$E$3000))</f>
        <v/>
      </c>
      <c r="R683" s="27" t="str">
        <f aca="false">IF(A683="","",N(P683)+N(Q683))</f>
        <v/>
      </c>
      <c r="S683" s="28"/>
      <c r="T683" s="25"/>
      <c r="U683" s="26"/>
      <c r="V683" s="26"/>
      <c r="W683" s="26"/>
      <c r="X683" s="27" t="str">
        <f aca="false">IF(B683&lt;&gt;"SOLD","",IF(C683="Consignment",N(W683)-R683,N(U683)-R683-N(V683)))</f>
        <v/>
      </c>
      <c r="Y683" s="29" t="str">
        <f aca="false">IF(OR(X683="",N(R683)=0),"",X683/R683)</f>
        <v/>
      </c>
      <c r="Z683" s="30" t="str">
        <f aca="true">IF(O683="","",IF(T683="",TODAY(),T683)-O683)</f>
        <v/>
      </c>
      <c r="AA683" s="31" t="str">
        <f aca="false">IF(T683="","",TEXT(T683,"YYYY-MM"))</f>
        <v/>
      </c>
      <c r="AB683" s="27" t="str">
        <f aca="false">IF(X683="","",X683/2)</f>
        <v/>
      </c>
      <c r="AC683" s="21"/>
    </row>
    <row r="684" customFormat="false" ht="15" hidden="false" customHeight="false" outlineLevel="0" collapsed="false">
      <c r="A684" s="20"/>
      <c r="B684" s="21"/>
      <c r="C684" s="21"/>
      <c r="D684" s="21"/>
      <c r="E684" s="21"/>
      <c r="F684" s="21"/>
      <c r="G684" s="22"/>
      <c r="H684" s="21"/>
      <c r="I684" s="21"/>
      <c r="J684" s="21"/>
      <c r="K684" s="23"/>
      <c r="L684" s="24"/>
      <c r="M684" s="21"/>
      <c r="N684" s="21"/>
      <c r="O684" s="25"/>
      <c r="P684" s="26"/>
      <c r="Q684" s="27" t="str">
        <f aca="false">IF(A684="","",SUMIF(Expenses!$B$2:$B$3000,A684,Expenses!$E$2:$E$3000))</f>
        <v/>
      </c>
      <c r="R684" s="27" t="str">
        <f aca="false">IF(A684="","",N(P684)+N(Q684))</f>
        <v/>
      </c>
      <c r="S684" s="28"/>
      <c r="T684" s="25"/>
      <c r="U684" s="26"/>
      <c r="V684" s="26"/>
      <c r="W684" s="26"/>
      <c r="X684" s="27" t="str">
        <f aca="false">IF(B684&lt;&gt;"SOLD","",IF(C684="Consignment",N(W684)-R684,N(U684)-R684-N(V684)))</f>
        <v/>
      </c>
      <c r="Y684" s="29" t="str">
        <f aca="false">IF(OR(X684="",N(R684)=0),"",X684/R684)</f>
        <v/>
      </c>
      <c r="Z684" s="30" t="str">
        <f aca="true">IF(O684="","",IF(T684="",TODAY(),T684)-O684)</f>
        <v/>
      </c>
      <c r="AA684" s="31" t="str">
        <f aca="false">IF(T684="","",TEXT(T684,"YYYY-MM"))</f>
        <v/>
      </c>
      <c r="AB684" s="27" t="str">
        <f aca="false">IF(X684="","",X684/2)</f>
        <v/>
      </c>
      <c r="AC684" s="21"/>
    </row>
    <row r="685" customFormat="false" ht="15" hidden="false" customHeight="false" outlineLevel="0" collapsed="false">
      <c r="A685" s="20"/>
      <c r="B685" s="21"/>
      <c r="C685" s="21"/>
      <c r="D685" s="21"/>
      <c r="E685" s="21"/>
      <c r="F685" s="21"/>
      <c r="G685" s="22"/>
      <c r="H685" s="21"/>
      <c r="I685" s="21"/>
      <c r="J685" s="21"/>
      <c r="K685" s="23"/>
      <c r="L685" s="24"/>
      <c r="M685" s="21"/>
      <c r="N685" s="21"/>
      <c r="O685" s="25"/>
      <c r="P685" s="26"/>
      <c r="Q685" s="27" t="str">
        <f aca="false">IF(A685="","",SUMIF(Expenses!$B$2:$B$3000,A685,Expenses!$E$2:$E$3000))</f>
        <v/>
      </c>
      <c r="R685" s="27" t="str">
        <f aca="false">IF(A685="","",N(P685)+N(Q685))</f>
        <v/>
      </c>
      <c r="S685" s="28"/>
      <c r="T685" s="25"/>
      <c r="U685" s="26"/>
      <c r="V685" s="26"/>
      <c r="W685" s="26"/>
      <c r="X685" s="27" t="str">
        <f aca="false">IF(B685&lt;&gt;"SOLD","",IF(C685="Consignment",N(W685)-R685,N(U685)-R685-N(V685)))</f>
        <v/>
      </c>
      <c r="Y685" s="29" t="str">
        <f aca="false">IF(OR(X685="",N(R685)=0),"",X685/R685)</f>
        <v/>
      </c>
      <c r="Z685" s="30" t="str">
        <f aca="true">IF(O685="","",IF(T685="",TODAY(),T685)-O685)</f>
        <v/>
      </c>
      <c r="AA685" s="31" t="str">
        <f aca="false">IF(T685="","",TEXT(T685,"YYYY-MM"))</f>
        <v/>
      </c>
      <c r="AB685" s="27" t="str">
        <f aca="false">IF(X685="","",X685/2)</f>
        <v/>
      </c>
      <c r="AC685" s="21"/>
    </row>
    <row r="686" customFormat="false" ht="15" hidden="false" customHeight="false" outlineLevel="0" collapsed="false">
      <c r="A686" s="20"/>
      <c r="B686" s="21"/>
      <c r="C686" s="21"/>
      <c r="D686" s="21"/>
      <c r="E686" s="21"/>
      <c r="F686" s="21"/>
      <c r="G686" s="22"/>
      <c r="H686" s="21"/>
      <c r="I686" s="21"/>
      <c r="J686" s="21"/>
      <c r="K686" s="23"/>
      <c r="L686" s="24"/>
      <c r="M686" s="21"/>
      <c r="N686" s="21"/>
      <c r="O686" s="25"/>
      <c r="P686" s="26"/>
      <c r="Q686" s="27" t="str">
        <f aca="false">IF(A686="","",SUMIF(Expenses!$B$2:$B$3000,A686,Expenses!$E$2:$E$3000))</f>
        <v/>
      </c>
      <c r="R686" s="27" t="str">
        <f aca="false">IF(A686="","",N(P686)+N(Q686))</f>
        <v/>
      </c>
      <c r="S686" s="28"/>
      <c r="T686" s="25"/>
      <c r="U686" s="26"/>
      <c r="V686" s="26"/>
      <c r="W686" s="26"/>
      <c r="X686" s="27" t="str">
        <f aca="false">IF(B686&lt;&gt;"SOLD","",IF(C686="Consignment",N(W686)-R686,N(U686)-R686-N(V686)))</f>
        <v/>
      </c>
      <c r="Y686" s="29" t="str">
        <f aca="false">IF(OR(X686="",N(R686)=0),"",X686/R686)</f>
        <v/>
      </c>
      <c r="Z686" s="30" t="str">
        <f aca="true">IF(O686="","",IF(T686="",TODAY(),T686)-O686)</f>
        <v/>
      </c>
      <c r="AA686" s="31" t="str">
        <f aca="false">IF(T686="","",TEXT(T686,"YYYY-MM"))</f>
        <v/>
      </c>
      <c r="AB686" s="27" t="str">
        <f aca="false">IF(X686="","",X686/2)</f>
        <v/>
      </c>
      <c r="AC686" s="21"/>
    </row>
    <row r="687" customFormat="false" ht="15" hidden="false" customHeight="false" outlineLevel="0" collapsed="false">
      <c r="A687" s="20"/>
      <c r="B687" s="21"/>
      <c r="C687" s="21"/>
      <c r="D687" s="21"/>
      <c r="E687" s="21"/>
      <c r="F687" s="21"/>
      <c r="G687" s="22"/>
      <c r="H687" s="21"/>
      <c r="I687" s="21"/>
      <c r="J687" s="21"/>
      <c r="K687" s="23"/>
      <c r="L687" s="24"/>
      <c r="M687" s="21"/>
      <c r="N687" s="21"/>
      <c r="O687" s="25"/>
      <c r="P687" s="26"/>
      <c r="Q687" s="27" t="str">
        <f aca="false">IF(A687="","",SUMIF(Expenses!$B$2:$B$3000,A687,Expenses!$E$2:$E$3000))</f>
        <v/>
      </c>
      <c r="R687" s="27" t="str">
        <f aca="false">IF(A687="","",N(P687)+N(Q687))</f>
        <v/>
      </c>
      <c r="S687" s="28"/>
      <c r="T687" s="25"/>
      <c r="U687" s="26"/>
      <c r="V687" s="26"/>
      <c r="W687" s="26"/>
      <c r="X687" s="27" t="str">
        <f aca="false">IF(B687&lt;&gt;"SOLD","",IF(C687="Consignment",N(W687)-R687,N(U687)-R687-N(V687)))</f>
        <v/>
      </c>
      <c r="Y687" s="29" t="str">
        <f aca="false">IF(OR(X687="",N(R687)=0),"",X687/R687)</f>
        <v/>
      </c>
      <c r="Z687" s="30" t="str">
        <f aca="true">IF(O687="","",IF(T687="",TODAY(),T687)-O687)</f>
        <v/>
      </c>
      <c r="AA687" s="31" t="str">
        <f aca="false">IF(T687="","",TEXT(T687,"YYYY-MM"))</f>
        <v/>
      </c>
      <c r="AB687" s="27" t="str">
        <f aca="false">IF(X687="","",X687/2)</f>
        <v/>
      </c>
      <c r="AC687" s="21"/>
    </row>
    <row r="688" customFormat="false" ht="15" hidden="false" customHeight="false" outlineLevel="0" collapsed="false">
      <c r="A688" s="20"/>
      <c r="B688" s="21"/>
      <c r="C688" s="21"/>
      <c r="D688" s="21"/>
      <c r="E688" s="21"/>
      <c r="F688" s="21"/>
      <c r="G688" s="22"/>
      <c r="H688" s="21"/>
      <c r="I688" s="21"/>
      <c r="J688" s="21"/>
      <c r="K688" s="23"/>
      <c r="L688" s="24"/>
      <c r="M688" s="21"/>
      <c r="N688" s="21"/>
      <c r="O688" s="25"/>
      <c r="P688" s="26"/>
      <c r="Q688" s="27" t="str">
        <f aca="false">IF(A688="","",SUMIF(Expenses!$B$2:$B$3000,A688,Expenses!$E$2:$E$3000))</f>
        <v/>
      </c>
      <c r="R688" s="27" t="str">
        <f aca="false">IF(A688="","",N(P688)+N(Q688))</f>
        <v/>
      </c>
      <c r="S688" s="28"/>
      <c r="T688" s="25"/>
      <c r="U688" s="26"/>
      <c r="V688" s="26"/>
      <c r="W688" s="26"/>
      <c r="X688" s="27" t="str">
        <f aca="false">IF(B688&lt;&gt;"SOLD","",IF(C688="Consignment",N(W688)-R688,N(U688)-R688-N(V688)))</f>
        <v/>
      </c>
      <c r="Y688" s="29" t="str">
        <f aca="false">IF(OR(X688="",N(R688)=0),"",X688/R688)</f>
        <v/>
      </c>
      <c r="Z688" s="30" t="str">
        <f aca="true">IF(O688="","",IF(T688="",TODAY(),T688)-O688)</f>
        <v/>
      </c>
      <c r="AA688" s="31" t="str">
        <f aca="false">IF(T688="","",TEXT(T688,"YYYY-MM"))</f>
        <v/>
      </c>
      <c r="AB688" s="27" t="str">
        <f aca="false">IF(X688="","",X688/2)</f>
        <v/>
      </c>
      <c r="AC688" s="21"/>
    </row>
    <row r="689" customFormat="false" ht="15" hidden="false" customHeight="false" outlineLevel="0" collapsed="false">
      <c r="A689" s="20"/>
      <c r="B689" s="21"/>
      <c r="C689" s="21"/>
      <c r="D689" s="21"/>
      <c r="E689" s="21"/>
      <c r="F689" s="21"/>
      <c r="G689" s="22"/>
      <c r="H689" s="21"/>
      <c r="I689" s="21"/>
      <c r="J689" s="21"/>
      <c r="K689" s="23"/>
      <c r="L689" s="24"/>
      <c r="M689" s="21"/>
      <c r="N689" s="21"/>
      <c r="O689" s="25"/>
      <c r="P689" s="26"/>
      <c r="Q689" s="27" t="str">
        <f aca="false">IF(A689="","",SUMIF(Expenses!$B$2:$B$3000,A689,Expenses!$E$2:$E$3000))</f>
        <v/>
      </c>
      <c r="R689" s="27" t="str">
        <f aca="false">IF(A689="","",N(P689)+N(Q689))</f>
        <v/>
      </c>
      <c r="S689" s="28"/>
      <c r="T689" s="25"/>
      <c r="U689" s="26"/>
      <c r="V689" s="26"/>
      <c r="W689" s="26"/>
      <c r="X689" s="27" t="str">
        <f aca="false">IF(B689&lt;&gt;"SOLD","",IF(C689="Consignment",N(W689)-R689,N(U689)-R689-N(V689)))</f>
        <v/>
      </c>
      <c r="Y689" s="29" t="str">
        <f aca="false">IF(OR(X689="",N(R689)=0),"",X689/R689)</f>
        <v/>
      </c>
      <c r="Z689" s="30" t="str">
        <f aca="true">IF(O689="","",IF(T689="",TODAY(),T689)-O689)</f>
        <v/>
      </c>
      <c r="AA689" s="31" t="str">
        <f aca="false">IF(T689="","",TEXT(T689,"YYYY-MM"))</f>
        <v/>
      </c>
      <c r="AB689" s="27" t="str">
        <f aca="false">IF(X689="","",X689/2)</f>
        <v/>
      </c>
      <c r="AC689" s="21"/>
    </row>
    <row r="690" customFormat="false" ht="15" hidden="false" customHeight="false" outlineLevel="0" collapsed="false">
      <c r="A690" s="20"/>
      <c r="B690" s="21"/>
      <c r="C690" s="21"/>
      <c r="D690" s="21"/>
      <c r="E690" s="21"/>
      <c r="F690" s="21"/>
      <c r="G690" s="22"/>
      <c r="H690" s="21"/>
      <c r="I690" s="21"/>
      <c r="J690" s="21"/>
      <c r="K690" s="23"/>
      <c r="L690" s="24"/>
      <c r="M690" s="21"/>
      <c r="N690" s="21"/>
      <c r="O690" s="25"/>
      <c r="P690" s="26"/>
      <c r="Q690" s="27" t="str">
        <f aca="false">IF(A690="","",SUMIF(Expenses!$B$2:$B$3000,A690,Expenses!$E$2:$E$3000))</f>
        <v/>
      </c>
      <c r="R690" s="27" t="str">
        <f aca="false">IF(A690="","",N(P690)+N(Q690))</f>
        <v/>
      </c>
      <c r="S690" s="28"/>
      <c r="T690" s="25"/>
      <c r="U690" s="26"/>
      <c r="V690" s="26"/>
      <c r="W690" s="26"/>
      <c r="X690" s="27" t="str">
        <f aca="false">IF(B690&lt;&gt;"SOLD","",IF(C690="Consignment",N(W690)-R690,N(U690)-R690-N(V690)))</f>
        <v/>
      </c>
      <c r="Y690" s="29" t="str">
        <f aca="false">IF(OR(X690="",N(R690)=0),"",X690/R690)</f>
        <v/>
      </c>
      <c r="Z690" s="30" t="str">
        <f aca="true">IF(O690="","",IF(T690="",TODAY(),T690)-O690)</f>
        <v/>
      </c>
      <c r="AA690" s="31" t="str">
        <f aca="false">IF(T690="","",TEXT(T690,"YYYY-MM"))</f>
        <v/>
      </c>
      <c r="AB690" s="27" t="str">
        <f aca="false">IF(X690="","",X690/2)</f>
        <v/>
      </c>
      <c r="AC690" s="21"/>
    </row>
    <row r="691" customFormat="false" ht="15" hidden="false" customHeight="false" outlineLevel="0" collapsed="false">
      <c r="A691" s="20"/>
      <c r="B691" s="21"/>
      <c r="C691" s="21"/>
      <c r="D691" s="21"/>
      <c r="E691" s="21"/>
      <c r="F691" s="21"/>
      <c r="G691" s="22"/>
      <c r="H691" s="21"/>
      <c r="I691" s="21"/>
      <c r="J691" s="21"/>
      <c r="K691" s="23"/>
      <c r="L691" s="24"/>
      <c r="M691" s="21"/>
      <c r="N691" s="21"/>
      <c r="O691" s="25"/>
      <c r="P691" s="26"/>
      <c r="Q691" s="27" t="str">
        <f aca="false">IF(A691="","",SUMIF(Expenses!$B$2:$B$3000,A691,Expenses!$E$2:$E$3000))</f>
        <v/>
      </c>
      <c r="R691" s="27" t="str">
        <f aca="false">IF(A691="","",N(P691)+N(Q691))</f>
        <v/>
      </c>
      <c r="S691" s="28"/>
      <c r="T691" s="25"/>
      <c r="U691" s="26"/>
      <c r="V691" s="26"/>
      <c r="W691" s="26"/>
      <c r="X691" s="27" t="str">
        <f aca="false">IF(B691&lt;&gt;"SOLD","",IF(C691="Consignment",N(W691)-R691,N(U691)-R691-N(V691)))</f>
        <v/>
      </c>
      <c r="Y691" s="29" t="str">
        <f aca="false">IF(OR(X691="",N(R691)=0),"",X691/R691)</f>
        <v/>
      </c>
      <c r="Z691" s="30" t="str">
        <f aca="true">IF(O691="","",IF(T691="",TODAY(),T691)-O691)</f>
        <v/>
      </c>
      <c r="AA691" s="31" t="str">
        <f aca="false">IF(T691="","",TEXT(T691,"YYYY-MM"))</f>
        <v/>
      </c>
      <c r="AB691" s="27" t="str">
        <f aca="false">IF(X691="","",X691/2)</f>
        <v/>
      </c>
      <c r="AC691" s="21"/>
    </row>
    <row r="692" customFormat="false" ht="15" hidden="false" customHeight="false" outlineLevel="0" collapsed="false">
      <c r="A692" s="20"/>
      <c r="B692" s="21"/>
      <c r="C692" s="21"/>
      <c r="D692" s="21"/>
      <c r="E692" s="21"/>
      <c r="F692" s="21"/>
      <c r="G692" s="22"/>
      <c r="H692" s="21"/>
      <c r="I692" s="21"/>
      <c r="J692" s="21"/>
      <c r="K692" s="23"/>
      <c r="L692" s="24"/>
      <c r="M692" s="21"/>
      <c r="N692" s="21"/>
      <c r="O692" s="25"/>
      <c r="P692" s="26"/>
      <c r="Q692" s="27" t="str">
        <f aca="false">IF(A692="","",SUMIF(Expenses!$B$2:$B$3000,A692,Expenses!$E$2:$E$3000))</f>
        <v/>
      </c>
      <c r="R692" s="27" t="str">
        <f aca="false">IF(A692="","",N(P692)+N(Q692))</f>
        <v/>
      </c>
      <c r="S692" s="28"/>
      <c r="T692" s="25"/>
      <c r="U692" s="26"/>
      <c r="V692" s="26"/>
      <c r="W692" s="26"/>
      <c r="X692" s="27" t="str">
        <f aca="false">IF(B692&lt;&gt;"SOLD","",IF(C692="Consignment",N(W692)-R692,N(U692)-R692-N(V692)))</f>
        <v/>
      </c>
      <c r="Y692" s="29" t="str">
        <f aca="false">IF(OR(X692="",N(R692)=0),"",X692/R692)</f>
        <v/>
      </c>
      <c r="Z692" s="30" t="str">
        <f aca="true">IF(O692="","",IF(T692="",TODAY(),T692)-O692)</f>
        <v/>
      </c>
      <c r="AA692" s="31" t="str">
        <f aca="false">IF(T692="","",TEXT(T692,"YYYY-MM"))</f>
        <v/>
      </c>
      <c r="AB692" s="27" t="str">
        <f aca="false">IF(X692="","",X692/2)</f>
        <v/>
      </c>
      <c r="AC692" s="21"/>
    </row>
    <row r="693" customFormat="false" ht="15" hidden="false" customHeight="false" outlineLevel="0" collapsed="false">
      <c r="A693" s="20"/>
      <c r="B693" s="21"/>
      <c r="C693" s="21"/>
      <c r="D693" s="21"/>
      <c r="E693" s="21"/>
      <c r="F693" s="21"/>
      <c r="G693" s="22"/>
      <c r="H693" s="21"/>
      <c r="I693" s="21"/>
      <c r="J693" s="21"/>
      <c r="K693" s="23"/>
      <c r="L693" s="24"/>
      <c r="M693" s="21"/>
      <c r="N693" s="21"/>
      <c r="O693" s="25"/>
      <c r="P693" s="26"/>
      <c r="Q693" s="27" t="str">
        <f aca="false">IF(A693="","",SUMIF(Expenses!$B$2:$B$3000,A693,Expenses!$E$2:$E$3000))</f>
        <v/>
      </c>
      <c r="R693" s="27" t="str">
        <f aca="false">IF(A693="","",N(P693)+N(Q693))</f>
        <v/>
      </c>
      <c r="S693" s="28"/>
      <c r="T693" s="25"/>
      <c r="U693" s="26"/>
      <c r="V693" s="26"/>
      <c r="W693" s="26"/>
      <c r="X693" s="27" t="str">
        <f aca="false">IF(B693&lt;&gt;"SOLD","",IF(C693="Consignment",N(W693)-R693,N(U693)-R693-N(V693)))</f>
        <v/>
      </c>
      <c r="Y693" s="29" t="str">
        <f aca="false">IF(OR(X693="",N(R693)=0),"",X693/R693)</f>
        <v/>
      </c>
      <c r="Z693" s="30" t="str">
        <f aca="true">IF(O693="","",IF(T693="",TODAY(),T693)-O693)</f>
        <v/>
      </c>
      <c r="AA693" s="31" t="str">
        <f aca="false">IF(T693="","",TEXT(T693,"YYYY-MM"))</f>
        <v/>
      </c>
      <c r="AB693" s="27" t="str">
        <f aca="false">IF(X693="","",X693/2)</f>
        <v/>
      </c>
      <c r="AC693" s="21"/>
    </row>
    <row r="694" customFormat="false" ht="15" hidden="false" customHeight="false" outlineLevel="0" collapsed="false">
      <c r="A694" s="20"/>
      <c r="B694" s="21"/>
      <c r="C694" s="21"/>
      <c r="D694" s="21"/>
      <c r="E694" s="21"/>
      <c r="F694" s="21"/>
      <c r="G694" s="22"/>
      <c r="H694" s="21"/>
      <c r="I694" s="21"/>
      <c r="J694" s="21"/>
      <c r="K694" s="23"/>
      <c r="L694" s="24"/>
      <c r="M694" s="21"/>
      <c r="N694" s="21"/>
      <c r="O694" s="25"/>
      <c r="P694" s="26"/>
      <c r="Q694" s="27" t="str">
        <f aca="false">IF(A694="","",SUMIF(Expenses!$B$2:$B$3000,A694,Expenses!$E$2:$E$3000))</f>
        <v/>
      </c>
      <c r="R694" s="27" t="str">
        <f aca="false">IF(A694="","",N(P694)+N(Q694))</f>
        <v/>
      </c>
      <c r="S694" s="28"/>
      <c r="T694" s="25"/>
      <c r="U694" s="26"/>
      <c r="V694" s="26"/>
      <c r="W694" s="26"/>
      <c r="X694" s="27" t="str">
        <f aca="false">IF(B694&lt;&gt;"SOLD","",IF(C694="Consignment",N(W694)-R694,N(U694)-R694-N(V694)))</f>
        <v/>
      </c>
      <c r="Y694" s="29" t="str">
        <f aca="false">IF(OR(X694="",N(R694)=0),"",X694/R694)</f>
        <v/>
      </c>
      <c r="Z694" s="30" t="str">
        <f aca="true">IF(O694="","",IF(T694="",TODAY(),T694)-O694)</f>
        <v/>
      </c>
      <c r="AA694" s="31" t="str">
        <f aca="false">IF(T694="","",TEXT(T694,"YYYY-MM"))</f>
        <v/>
      </c>
      <c r="AB694" s="27" t="str">
        <f aca="false">IF(X694="","",X694/2)</f>
        <v/>
      </c>
      <c r="AC694" s="21"/>
    </row>
    <row r="695" customFormat="false" ht="15" hidden="false" customHeight="false" outlineLevel="0" collapsed="false">
      <c r="A695" s="20"/>
      <c r="B695" s="21"/>
      <c r="C695" s="21"/>
      <c r="D695" s="21"/>
      <c r="E695" s="21"/>
      <c r="F695" s="21"/>
      <c r="G695" s="22"/>
      <c r="H695" s="21"/>
      <c r="I695" s="21"/>
      <c r="J695" s="21"/>
      <c r="K695" s="23"/>
      <c r="L695" s="24"/>
      <c r="M695" s="21"/>
      <c r="N695" s="21"/>
      <c r="O695" s="25"/>
      <c r="P695" s="26"/>
      <c r="Q695" s="27" t="str">
        <f aca="false">IF(A695="","",SUMIF(Expenses!$B$2:$B$3000,A695,Expenses!$E$2:$E$3000))</f>
        <v/>
      </c>
      <c r="R695" s="27" t="str">
        <f aca="false">IF(A695="","",N(P695)+N(Q695))</f>
        <v/>
      </c>
      <c r="S695" s="28"/>
      <c r="T695" s="25"/>
      <c r="U695" s="26"/>
      <c r="V695" s="26"/>
      <c r="W695" s="26"/>
      <c r="X695" s="27" t="str">
        <f aca="false">IF(B695&lt;&gt;"SOLD","",IF(C695="Consignment",N(W695)-R695,N(U695)-R695-N(V695)))</f>
        <v/>
      </c>
      <c r="Y695" s="29" t="str">
        <f aca="false">IF(OR(X695="",N(R695)=0),"",X695/R695)</f>
        <v/>
      </c>
      <c r="Z695" s="30" t="str">
        <f aca="true">IF(O695="","",IF(T695="",TODAY(),T695)-O695)</f>
        <v/>
      </c>
      <c r="AA695" s="31" t="str">
        <f aca="false">IF(T695="","",TEXT(T695,"YYYY-MM"))</f>
        <v/>
      </c>
      <c r="AB695" s="27" t="str">
        <f aca="false">IF(X695="","",X695/2)</f>
        <v/>
      </c>
      <c r="AC695" s="21"/>
    </row>
    <row r="696" customFormat="false" ht="15" hidden="false" customHeight="false" outlineLevel="0" collapsed="false">
      <c r="A696" s="20"/>
      <c r="B696" s="21"/>
      <c r="C696" s="21"/>
      <c r="D696" s="21"/>
      <c r="E696" s="21"/>
      <c r="F696" s="21"/>
      <c r="G696" s="22"/>
      <c r="H696" s="21"/>
      <c r="I696" s="21"/>
      <c r="J696" s="21"/>
      <c r="K696" s="23"/>
      <c r="L696" s="24"/>
      <c r="M696" s="21"/>
      <c r="N696" s="21"/>
      <c r="O696" s="25"/>
      <c r="P696" s="26"/>
      <c r="Q696" s="27" t="str">
        <f aca="false">IF(A696="","",SUMIF(Expenses!$B$2:$B$3000,A696,Expenses!$E$2:$E$3000))</f>
        <v/>
      </c>
      <c r="R696" s="27" t="str">
        <f aca="false">IF(A696="","",N(P696)+N(Q696))</f>
        <v/>
      </c>
      <c r="S696" s="28"/>
      <c r="T696" s="25"/>
      <c r="U696" s="26"/>
      <c r="V696" s="26"/>
      <c r="W696" s="26"/>
      <c r="X696" s="27" t="str">
        <f aca="false">IF(B696&lt;&gt;"SOLD","",IF(C696="Consignment",N(W696)-R696,N(U696)-R696-N(V696)))</f>
        <v/>
      </c>
      <c r="Y696" s="29" t="str">
        <f aca="false">IF(OR(X696="",N(R696)=0),"",X696/R696)</f>
        <v/>
      </c>
      <c r="Z696" s="30" t="str">
        <f aca="true">IF(O696="","",IF(T696="",TODAY(),T696)-O696)</f>
        <v/>
      </c>
      <c r="AA696" s="31" t="str">
        <f aca="false">IF(T696="","",TEXT(T696,"YYYY-MM"))</f>
        <v/>
      </c>
      <c r="AB696" s="27" t="str">
        <f aca="false">IF(X696="","",X696/2)</f>
        <v/>
      </c>
      <c r="AC696" s="21"/>
    </row>
    <row r="697" customFormat="false" ht="15" hidden="false" customHeight="false" outlineLevel="0" collapsed="false">
      <c r="A697" s="20"/>
      <c r="B697" s="21"/>
      <c r="C697" s="21"/>
      <c r="D697" s="21"/>
      <c r="E697" s="21"/>
      <c r="F697" s="21"/>
      <c r="G697" s="22"/>
      <c r="H697" s="21"/>
      <c r="I697" s="21"/>
      <c r="J697" s="21"/>
      <c r="K697" s="23"/>
      <c r="L697" s="24"/>
      <c r="M697" s="21"/>
      <c r="N697" s="21"/>
      <c r="O697" s="25"/>
      <c r="P697" s="26"/>
      <c r="Q697" s="27" t="str">
        <f aca="false">IF(A697="","",SUMIF(Expenses!$B$2:$B$3000,A697,Expenses!$E$2:$E$3000))</f>
        <v/>
      </c>
      <c r="R697" s="27" t="str">
        <f aca="false">IF(A697="","",N(P697)+N(Q697))</f>
        <v/>
      </c>
      <c r="S697" s="28"/>
      <c r="T697" s="25"/>
      <c r="U697" s="26"/>
      <c r="V697" s="26"/>
      <c r="W697" s="26"/>
      <c r="X697" s="27" t="str">
        <f aca="false">IF(B697&lt;&gt;"SOLD","",IF(C697="Consignment",N(W697)-R697,N(U697)-R697-N(V697)))</f>
        <v/>
      </c>
      <c r="Y697" s="29" t="str">
        <f aca="false">IF(OR(X697="",N(R697)=0),"",X697/R697)</f>
        <v/>
      </c>
      <c r="Z697" s="30" t="str">
        <f aca="true">IF(O697="","",IF(T697="",TODAY(),T697)-O697)</f>
        <v/>
      </c>
      <c r="AA697" s="31" t="str">
        <f aca="false">IF(T697="","",TEXT(T697,"YYYY-MM"))</f>
        <v/>
      </c>
      <c r="AB697" s="27" t="str">
        <f aca="false">IF(X697="","",X697/2)</f>
        <v/>
      </c>
      <c r="AC697" s="21"/>
    </row>
    <row r="698" customFormat="false" ht="15" hidden="false" customHeight="false" outlineLevel="0" collapsed="false">
      <c r="A698" s="20"/>
      <c r="B698" s="21"/>
      <c r="C698" s="21"/>
      <c r="D698" s="21"/>
      <c r="E698" s="21"/>
      <c r="F698" s="21"/>
      <c r="G698" s="22"/>
      <c r="H698" s="21"/>
      <c r="I698" s="21"/>
      <c r="J698" s="21"/>
      <c r="K698" s="23"/>
      <c r="L698" s="24"/>
      <c r="M698" s="21"/>
      <c r="N698" s="21"/>
      <c r="O698" s="25"/>
      <c r="P698" s="26"/>
      <c r="Q698" s="27" t="str">
        <f aca="false">IF(A698="","",SUMIF(Expenses!$B$2:$B$3000,A698,Expenses!$E$2:$E$3000))</f>
        <v/>
      </c>
      <c r="R698" s="27" t="str">
        <f aca="false">IF(A698="","",N(P698)+N(Q698))</f>
        <v/>
      </c>
      <c r="S698" s="28"/>
      <c r="T698" s="25"/>
      <c r="U698" s="26"/>
      <c r="V698" s="26"/>
      <c r="W698" s="26"/>
      <c r="X698" s="27" t="str">
        <f aca="false">IF(B698&lt;&gt;"SOLD","",IF(C698="Consignment",N(W698)-R698,N(U698)-R698-N(V698)))</f>
        <v/>
      </c>
      <c r="Y698" s="29" t="str">
        <f aca="false">IF(OR(X698="",N(R698)=0),"",X698/R698)</f>
        <v/>
      </c>
      <c r="Z698" s="30" t="str">
        <f aca="true">IF(O698="","",IF(T698="",TODAY(),T698)-O698)</f>
        <v/>
      </c>
      <c r="AA698" s="31" t="str">
        <f aca="false">IF(T698="","",TEXT(T698,"YYYY-MM"))</f>
        <v/>
      </c>
      <c r="AB698" s="27" t="str">
        <f aca="false">IF(X698="","",X698/2)</f>
        <v/>
      </c>
      <c r="AC698" s="21"/>
    </row>
    <row r="699" customFormat="false" ht="15" hidden="false" customHeight="false" outlineLevel="0" collapsed="false">
      <c r="A699" s="20"/>
      <c r="B699" s="21"/>
      <c r="C699" s="21"/>
      <c r="D699" s="21"/>
      <c r="E699" s="21"/>
      <c r="F699" s="21"/>
      <c r="G699" s="22"/>
      <c r="H699" s="21"/>
      <c r="I699" s="21"/>
      <c r="J699" s="21"/>
      <c r="K699" s="23"/>
      <c r="L699" s="24"/>
      <c r="M699" s="21"/>
      <c r="N699" s="21"/>
      <c r="O699" s="25"/>
      <c r="P699" s="26"/>
      <c r="Q699" s="27" t="str">
        <f aca="false">IF(A699="","",SUMIF(Expenses!$B$2:$B$3000,A699,Expenses!$E$2:$E$3000))</f>
        <v/>
      </c>
      <c r="R699" s="27" t="str">
        <f aca="false">IF(A699="","",N(P699)+N(Q699))</f>
        <v/>
      </c>
      <c r="S699" s="28"/>
      <c r="T699" s="25"/>
      <c r="U699" s="26"/>
      <c r="V699" s="26"/>
      <c r="W699" s="26"/>
      <c r="X699" s="27" t="str">
        <f aca="false">IF(B699&lt;&gt;"SOLD","",IF(C699="Consignment",N(W699)-R699,N(U699)-R699-N(V699)))</f>
        <v/>
      </c>
      <c r="Y699" s="29" t="str">
        <f aca="false">IF(OR(X699="",N(R699)=0),"",X699/R699)</f>
        <v/>
      </c>
      <c r="Z699" s="30" t="str">
        <f aca="true">IF(O699="","",IF(T699="",TODAY(),T699)-O699)</f>
        <v/>
      </c>
      <c r="AA699" s="31" t="str">
        <f aca="false">IF(T699="","",TEXT(T699,"YYYY-MM"))</f>
        <v/>
      </c>
      <c r="AB699" s="27" t="str">
        <f aca="false">IF(X699="","",X699/2)</f>
        <v/>
      </c>
      <c r="AC699" s="21"/>
    </row>
    <row r="700" customFormat="false" ht="15" hidden="false" customHeight="false" outlineLevel="0" collapsed="false">
      <c r="A700" s="20"/>
      <c r="B700" s="21"/>
      <c r="C700" s="21"/>
      <c r="D700" s="21"/>
      <c r="E700" s="21"/>
      <c r="F700" s="21"/>
      <c r="G700" s="22"/>
      <c r="H700" s="21"/>
      <c r="I700" s="21"/>
      <c r="J700" s="21"/>
      <c r="K700" s="23"/>
      <c r="L700" s="24"/>
      <c r="M700" s="21"/>
      <c r="N700" s="21"/>
      <c r="O700" s="25"/>
      <c r="P700" s="26"/>
      <c r="Q700" s="27" t="str">
        <f aca="false">IF(A700="","",SUMIF(Expenses!$B$2:$B$3000,A700,Expenses!$E$2:$E$3000))</f>
        <v/>
      </c>
      <c r="R700" s="27" t="str">
        <f aca="false">IF(A700="","",N(P700)+N(Q700))</f>
        <v/>
      </c>
      <c r="S700" s="28"/>
      <c r="T700" s="25"/>
      <c r="U700" s="26"/>
      <c r="V700" s="26"/>
      <c r="W700" s="26"/>
      <c r="X700" s="27" t="str">
        <f aca="false">IF(B700&lt;&gt;"SOLD","",IF(C700="Consignment",N(W700)-R700,N(U700)-R700-N(V700)))</f>
        <v/>
      </c>
      <c r="Y700" s="29" t="str">
        <f aca="false">IF(OR(X700="",N(R700)=0),"",X700/R700)</f>
        <v/>
      </c>
      <c r="Z700" s="30" t="str">
        <f aca="true">IF(O700="","",IF(T700="",TODAY(),T700)-O700)</f>
        <v/>
      </c>
      <c r="AA700" s="31" t="str">
        <f aca="false">IF(T700="","",TEXT(T700,"YYYY-MM"))</f>
        <v/>
      </c>
      <c r="AB700" s="27" t="str">
        <f aca="false">IF(X700="","",X700/2)</f>
        <v/>
      </c>
      <c r="AC700" s="21"/>
    </row>
    <row r="701" customFormat="false" ht="15" hidden="false" customHeight="false" outlineLevel="0" collapsed="false">
      <c r="A701" s="20"/>
      <c r="B701" s="21"/>
      <c r="C701" s="21"/>
      <c r="D701" s="21"/>
      <c r="E701" s="21"/>
      <c r="F701" s="21"/>
      <c r="G701" s="22"/>
      <c r="H701" s="21"/>
      <c r="I701" s="21"/>
      <c r="J701" s="21"/>
      <c r="K701" s="23"/>
      <c r="L701" s="24"/>
      <c r="M701" s="21"/>
      <c r="N701" s="21"/>
      <c r="O701" s="25"/>
      <c r="P701" s="26"/>
      <c r="Q701" s="27" t="str">
        <f aca="false">IF(A701="","",SUMIF(Expenses!$B$2:$B$3000,A701,Expenses!$E$2:$E$3000))</f>
        <v/>
      </c>
      <c r="R701" s="27" t="str">
        <f aca="false">IF(A701="","",N(P701)+N(Q701))</f>
        <v/>
      </c>
      <c r="S701" s="28"/>
      <c r="T701" s="25"/>
      <c r="U701" s="26"/>
      <c r="V701" s="26"/>
      <c r="W701" s="26"/>
      <c r="X701" s="27" t="str">
        <f aca="false">IF(B701&lt;&gt;"SOLD","",IF(C701="Consignment",N(W701)-R701,N(U701)-R701-N(V701)))</f>
        <v/>
      </c>
      <c r="Y701" s="29" t="str">
        <f aca="false">IF(OR(X701="",N(R701)=0),"",X701/R701)</f>
        <v/>
      </c>
      <c r="Z701" s="30" t="str">
        <f aca="true">IF(O701="","",IF(T701="",TODAY(),T701)-O701)</f>
        <v/>
      </c>
      <c r="AA701" s="31" t="str">
        <f aca="false">IF(T701="","",TEXT(T701,"YYYY-MM"))</f>
        <v/>
      </c>
      <c r="AB701" s="27" t="str">
        <f aca="false">IF(X701="","",X701/2)</f>
        <v/>
      </c>
      <c r="AC701" s="21"/>
    </row>
    <row r="702" customFormat="false" ht="15" hidden="false" customHeight="false" outlineLevel="0" collapsed="false">
      <c r="A702" s="20"/>
      <c r="B702" s="21"/>
      <c r="C702" s="21"/>
      <c r="D702" s="21"/>
      <c r="E702" s="21"/>
      <c r="F702" s="21"/>
      <c r="G702" s="22"/>
      <c r="H702" s="21"/>
      <c r="I702" s="21"/>
      <c r="J702" s="21"/>
      <c r="K702" s="23"/>
      <c r="L702" s="24"/>
      <c r="M702" s="21"/>
      <c r="N702" s="21"/>
      <c r="O702" s="25"/>
      <c r="P702" s="26"/>
      <c r="Q702" s="27" t="str">
        <f aca="false">IF(A702="","",SUMIF(Expenses!$B$2:$B$3000,A702,Expenses!$E$2:$E$3000))</f>
        <v/>
      </c>
      <c r="R702" s="27" t="str">
        <f aca="false">IF(A702="","",N(P702)+N(Q702))</f>
        <v/>
      </c>
      <c r="S702" s="28"/>
      <c r="T702" s="25"/>
      <c r="U702" s="26"/>
      <c r="V702" s="26"/>
      <c r="W702" s="26"/>
      <c r="X702" s="27" t="str">
        <f aca="false">IF(B702&lt;&gt;"SOLD","",IF(C702="Consignment",N(W702)-R702,N(U702)-R702-N(V702)))</f>
        <v/>
      </c>
      <c r="Y702" s="29" t="str">
        <f aca="false">IF(OR(X702="",N(R702)=0),"",X702/R702)</f>
        <v/>
      </c>
      <c r="Z702" s="30" t="str">
        <f aca="true">IF(O702="","",IF(T702="",TODAY(),T702)-O702)</f>
        <v/>
      </c>
      <c r="AA702" s="31" t="str">
        <f aca="false">IF(T702="","",TEXT(T702,"YYYY-MM"))</f>
        <v/>
      </c>
      <c r="AB702" s="27" t="str">
        <f aca="false">IF(X702="","",X702/2)</f>
        <v/>
      </c>
      <c r="AC702" s="21"/>
    </row>
    <row r="703" customFormat="false" ht="15" hidden="false" customHeight="false" outlineLevel="0" collapsed="false">
      <c r="A703" s="20"/>
      <c r="B703" s="21"/>
      <c r="C703" s="21"/>
      <c r="D703" s="21"/>
      <c r="E703" s="21"/>
      <c r="F703" s="21"/>
      <c r="G703" s="22"/>
      <c r="H703" s="21"/>
      <c r="I703" s="21"/>
      <c r="J703" s="21"/>
      <c r="K703" s="23"/>
      <c r="L703" s="24"/>
      <c r="M703" s="21"/>
      <c r="N703" s="21"/>
      <c r="O703" s="25"/>
      <c r="P703" s="26"/>
      <c r="Q703" s="27" t="str">
        <f aca="false">IF(A703="","",SUMIF(Expenses!$B$2:$B$3000,A703,Expenses!$E$2:$E$3000))</f>
        <v/>
      </c>
      <c r="R703" s="27" t="str">
        <f aca="false">IF(A703="","",N(P703)+N(Q703))</f>
        <v/>
      </c>
      <c r="S703" s="28"/>
      <c r="T703" s="25"/>
      <c r="U703" s="26"/>
      <c r="V703" s="26"/>
      <c r="W703" s="26"/>
      <c r="X703" s="27" t="str">
        <f aca="false">IF(B703&lt;&gt;"SOLD","",IF(C703="Consignment",N(W703)-R703,N(U703)-R703-N(V703)))</f>
        <v/>
      </c>
      <c r="Y703" s="29" t="str">
        <f aca="false">IF(OR(X703="",N(R703)=0),"",X703/R703)</f>
        <v/>
      </c>
      <c r="Z703" s="30" t="str">
        <f aca="true">IF(O703="","",IF(T703="",TODAY(),T703)-O703)</f>
        <v/>
      </c>
      <c r="AA703" s="31" t="str">
        <f aca="false">IF(T703="","",TEXT(T703,"YYYY-MM"))</f>
        <v/>
      </c>
      <c r="AB703" s="27" t="str">
        <f aca="false">IF(X703="","",X703/2)</f>
        <v/>
      </c>
      <c r="AC703" s="21"/>
    </row>
    <row r="704" customFormat="false" ht="15" hidden="false" customHeight="false" outlineLevel="0" collapsed="false">
      <c r="A704" s="20"/>
      <c r="B704" s="21"/>
      <c r="C704" s="21"/>
      <c r="D704" s="21"/>
      <c r="E704" s="21"/>
      <c r="F704" s="21"/>
      <c r="G704" s="22"/>
      <c r="H704" s="21"/>
      <c r="I704" s="21"/>
      <c r="J704" s="21"/>
      <c r="K704" s="23"/>
      <c r="L704" s="24"/>
      <c r="M704" s="21"/>
      <c r="N704" s="21"/>
      <c r="O704" s="25"/>
      <c r="P704" s="26"/>
      <c r="Q704" s="27" t="str">
        <f aca="false">IF(A704="","",SUMIF(Expenses!$B$2:$B$3000,A704,Expenses!$E$2:$E$3000))</f>
        <v/>
      </c>
      <c r="R704" s="27" t="str">
        <f aca="false">IF(A704="","",N(P704)+N(Q704))</f>
        <v/>
      </c>
      <c r="S704" s="28"/>
      <c r="T704" s="25"/>
      <c r="U704" s="26"/>
      <c r="V704" s="26"/>
      <c r="W704" s="26"/>
      <c r="X704" s="27" t="str">
        <f aca="false">IF(B704&lt;&gt;"SOLD","",IF(C704="Consignment",N(W704)-R704,N(U704)-R704-N(V704)))</f>
        <v/>
      </c>
      <c r="Y704" s="29" t="str">
        <f aca="false">IF(OR(X704="",N(R704)=0),"",X704/R704)</f>
        <v/>
      </c>
      <c r="Z704" s="30" t="str">
        <f aca="true">IF(O704="","",IF(T704="",TODAY(),T704)-O704)</f>
        <v/>
      </c>
      <c r="AA704" s="31" t="str">
        <f aca="false">IF(T704="","",TEXT(T704,"YYYY-MM"))</f>
        <v/>
      </c>
      <c r="AB704" s="27" t="str">
        <f aca="false">IF(X704="","",X704/2)</f>
        <v/>
      </c>
      <c r="AC704" s="21"/>
    </row>
    <row r="705" customFormat="false" ht="15" hidden="false" customHeight="false" outlineLevel="0" collapsed="false">
      <c r="A705" s="20"/>
      <c r="B705" s="21"/>
      <c r="C705" s="21"/>
      <c r="D705" s="21"/>
      <c r="E705" s="21"/>
      <c r="F705" s="21"/>
      <c r="G705" s="22"/>
      <c r="H705" s="21"/>
      <c r="I705" s="21"/>
      <c r="J705" s="21"/>
      <c r="K705" s="23"/>
      <c r="L705" s="24"/>
      <c r="M705" s="21"/>
      <c r="N705" s="21"/>
      <c r="O705" s="25"/>
      <c r="P705" s="26"/>
      <c r="Q705" s="27" t="str">
        <f aca="false">IF(A705="","",SUMIF(Expenses!$B$2:$B$3000,A705,Expenses!$E$2:$E$3000))</f>
        <v/>
      </c>
      <c r="R705" s="27" t="str">
        <f aca="false">IF(A705="","",N(P705)+N(Q705))</f>
        <v/>
      </c>
      <c r="S705" s="28"/>
      <c r="T705" s="25"/>
      <c r="U705" s="26"/>
      <c r="V705" s="26"/>
      <c r="W705" s="26"/>
      <c r="X705" s="27" t="str">
        <f aca="false">IF(B705&lt;&gt;"SOLD","",IF(C705="Consignment",N(W705)-R705,N(U705)-R705-N(V705)))</f>
        <v/>
      </c>
      <c r="Y705" s="29" t="str">
        <f aca="false">IF(OR(X705="",N(R705)=0),"",X705/R705)</f>
        <v/>
      </c>
      <c r="Z705" s="30" t="str">
        <f aca="true">IF(O705="","",IF(T705="",TODAY(),T705)-O705)</f>
        <v/>
      </c>
      <c r="AA705" s="31" t="str">
        <f aca="false">IF(T705="","",TEXT(T705,"YYYY-MM"))</f>
        <v/>
      </c>
      <c r="AB705" s="27" t="str">
        <f aca="false">IF(X705="","",X705/2)</f>
        <v/>
      </c>
      <c r="AC705" s="21"/>
    </row>
    <row r="706" customFormat="false" ht="15" hidden="false" customHeight="false" outlineLevel="0" collapsed="false">
      <c r="A706" s="20"/>
      <c r="B706" s="21"/>
      <c r="C706" s="21"/>
      <c r="D706" s="21"/>
      <c r="E706" s="21"/>
      <c r="F706" s="21"/>
      <c r="G706" s="22"/>
      <c r="H706" s="21"/>
      <c r="I706" s="21"/>
      <c r="J706" s="21"/>
      <c r="K706" s="23"/>
      <c r="L706" s="24"/>
      <c r="M706" s="21"/>
      <c r="N706" s="21"/>
      <c r="O706" s="25"/>
      <c r="P706" s="26"/>
      <c r="Q706" s="27" t="str">
        <f aca="false">IF(A706="","",SUMIF(Expenses!$B$2:$B$3000,A706,Expenses!$E$2:$E$3000))</f>
        <v/>
      </c>
      <c r="R706" s="27" t="str">
        <f aca="false">IF(A706="","",N(P706)+N(Q706))</f>
        <v/>
      </c>
      <c r="S706" s="28"/>
      <c r="T706" s="25"/>
      <c r="U706" s="26"/>
      <c r="V706" s="26"/>
      <c r="W706" s="26"/>
      <c r="X706" s="27" t="str">
        <f aca="false">IF(B706&lt;&gt;"SOLD","",IF(C706="Consignment",N(W706)-R706,N(U706)-R706-N(V706)))</f>
        <v/>
      </c>
      <c r="Y706" s="29" t="str">
        <f aca="false">IF(OR(X706="",N(R706)=0),"",X706/R706)</f>
        <v/>
      </c>
      <c r="Z706" s="30" t="str">
        <f aca="true">IF(O706="","",IF(T706="",TODAY(),T706)-O706)</f>
        <v/>
      </c>
      <c r="AA706" s="31" t="str">
        <f aca="false">IF(T706="","",TEXT(T706,"YYYY-MM"))</f>
        <v/>
      </c>
      <c r="AB706" s="27" t="str">
        <f aca="false">IF(X706="","",X706/2)</f>
        <v/>
      </c>
      <c r="AC706" s="21"/>
    </row>
    <row r="707" customFormat="false" ht="15" hidden="false" customHeight="false" outlineLevel="0" collapsed="false">
      <c r="A707" s="20"/>
      <c r="B707" s="21"/>
      <c r="C707" s="21"/>
      <c r="D707" s="21"/>
      <c r="E707" s="21"/>
      <c r="F707" s="21"/>
      <c r="G707" s="22"/>
      <c r="H707" s="21"/>
      <c r="I707" s="21"/>
      <c r="J707" s="21"/>
      <c r="K707" s="23"/>
      <c r="L707" s="24"/>
      <c r="M707" s="21"/>
      <c r="N707" s="21"/>
      <c r="O707" s="25"/>
      <c r="P707" s="26"/>
      <c r="Q707" s="27" t="str">
        <f aca="false">IF(A707="","",SUMIF(Expenses!$B$2:$B$3000,A707,Expenses!$E$2:$E$3000))</f>
        <v/>
      </c>
      <c r="R707" s="27" t="str">
        <f aca="false">IF(A707="","",N(P707)+N(Q707))</f>
        <v/>
      </c>
      <c r="S707" s="28"/>
      <c r="T707" s="25"/>
      <c r="U707" s="26"/>
      <c r="V707" s="26"/>
      <c r="W707" s="26"/>
      <c r="X707" s="27" t="str">
        <f aca="false">IF(B707&lt;&gt;"SOLD","",IF(C707="Consignment",N(W707)-R707,N(U707)-R707-N(V707)))</f>
        <v/>
      </c>
      <c r="Y707" s="29" t="str">
        <f aca="false">IF(OR(X707="",N(R707)=0),"",X707/R707)</f>
        <v/>
      </c>
      <c r="Z707" s="30" t="str">
        <f aca="true">IF(O707="","",IF(T707="",TODAY(),T707)-O707)</f>
        <v/>
      </c>
      <c r="AA707" s="31" t="str">
        <f aca="false">IF(T707="","",TEXT(T707,"YYYY-MM"))</f>
        <v/>
      </c>
      <c r="AB707" s="27" t="str">
        <f aca="false">IF(X707="","",X707/2)</f>
        <v/>
      </c>
      <c r="AC707" s="21"/>
    </row>
    <row r="708" customFormat="false" ht="15" hidden="false" customHeight="false" outlineLevel="0" collapsed="false">
      <c r="A708" s="20"/>
      <c r="B708" s="21"/>
      <c r="C708" s="21"/>
      <c r="D708" s="21"/>
      <c r="E708" s="21"/>
      <c r="F708" s="21"/>
      <c r="G708" s="22"/>
      <c r="H708" s="21"/>
      <c r="I708" s="21"/>
      <c r="J708" s="21"/>
      <c r="K708" s="23"/>
      <c r="L708" s="24"/>
      <c r="M708" s="21"/>
      <c r="N708" s="21"/>
      <c r="O708" s="25"/>
      <c r="P708" s="26"/>
      <c r="Q708" s="27" t="str">
        <f aca="false">IF(A708="","",SUMIF(Expenses!$B$2:$B$3000,A708,Expenses!$E$2:$E$3000))</f>
        <v/>
      </c>
      <c r="R708" s="27" t="str">
        <f aca="false">IF(A708="","",N(P708)+N(Q708))</f>
        <v/>
      </c>
      <c r="S708" s="28"/>
      <c r="T708" s="25"/>
      <c r="U708" s="26"/>
      <c r="V708" s="26"/>
      <c r="W708" s="26"/>
      <c r="X708" s="27" t="str">
        <f aca="false">IF(B708&lt;&gt;"SOLD","",IF(C708="Consignment",N(W708)-R708,N(U708)-R708-N(V708)))</f>
        <v/>
      </c>
      <c r="Y708" s="29" t="str">
        <f aca="false">IF(OR(X708="",N(R708)=0),"",X708/R708)</f>
        <v/>
      </c>
      <c r="Z708" s="30" t="str">
        <f aca="true">IF(O708="","",IF(T708="",TODAY(),T708)-O708)</f>
        <v/>
      </c>
      <c r="AA708" s="31" t="str">
        <f aca="false">IF(T708="","",TEXT(T708,"YYYY-MM"))</f>
        <v/>
      </c>
      <c r="AB708" s="27" t="str">
        <f aca="false">IF(X708="","",X708/2)</f>
        <v/>
      </c>
      <c r="AC708" s="21"/>
    </row>
    <row r="709" customFormat="false" ht="15" hidden="false" customHeight="false" outlineLevel="0" collapsed="false">
      <c r="A709" s="20"/>
      <c r="B709" s="21"/>
      <c r="C709" s="21"/>
      <c r="D709" s="21"/>
      <c r="E709" s="21"/>
      <c r="F709" s="21"/>
      <c r="G709" s="22"/>
      <c r="H709" s="21"/>
      <c r="I709" s="21"/>
      <c r="J709" s="21"/>
      <c r="K709" s="23"/>
      <c r="L709" s="24"/>
      <c r="M709" s="21"/>
      <c r="N709" s="21"/>
      <c r="O709" s="25"/>
      <c r="P709" s="26"/>
      <c r="Q709" s="27" t="str">
        <f aca="false">IF(A709="","",SUMIF(Expenses!$B$2:$B$3000,A709,Expenses!$E$2:$E$3000))</f>
        <v/>
      </c>
      <c r="R709" s="27" t="str">
        <f aca="false">IF(A709="","",N(P709)+N(Q709))</f>
        <v/>
      </c>
      <c r="S709" s="28"/>
      <c r="T709" s="25"/>
      <c r="U709" s="26"/>
      <c r="V709" s="26"/>
      <c r="W709" s="26"/>
      <c r="X709" s="27" t="str">
        <f aca="false">IF(B709&lt;&gt;"SOLD","",IF(C709="Consignment",N(W709)-R709,N(U709)-R709-N(V709)))</f>
        <v/>
      </c>
      <c r="Y709" s="29" t="str">
        <f aca="false">IF(OR(X709="",N(R709)=0),"",X709/R709)</f>
        <v/>
      </c>
      <c r="Z709" s="30" t="str">
        <f aca="true">IF(O709="","",IF(T709="",TODAY(),T709)-O709)</f>
        <v/>
      </c>
      <c r="AA709" s="31" t="str">
        <f aca="false">IF(T709="","",TEXT(T709,"YYYY-MM"))</f>
        <v/>
      </c>
      <c r="AB709" s="27" t="str">
        <f aca="false">IF(X709="","",X709/2)</f>
        <v/>
      </c>
      <c r="AC709" s="21"/>
    </row>
    <row r="710" customFormat="false" ht="15" hidden="false" customHeight="false" outlineLevel="0" collapsed="false">
      <c r="A710" s="20"/>
      <c r="B710" s="21"/>
      <c r="C710" s="21"/>
      <c r="D710" s="21"/>
      <c r="E710" s="21"/>
      <c r="F710" s="21"/>
      <c r="G710" s="22"/>
      <c r="H710" s="21"/>
      <c r="I710" s="21"/>
      <c r="J710" s="21"/>
      <c r="K710" s="23"/>
      <c r="L710" s="24"/>
      <c r="M710" s="21"/>
      <c r="N710" s="21"/>
      <c r="O710" s="25"/>
      <c r="P710" s="26"/>
      <c r="Q710" s="27" t="str">
        <f aca="false">IF(A710="","",SUMIF(Expenses!$B$2:$B$3000,A710,Expenses!$E$2:$E$3000))</f>
        <v/>
      </c>
      <c r="R710" s="27" t="str">
        <f aca="false">IF(A710="","",N(P710)+N(Q710))</f>
        <v/>
      </c>
      <c r="S710" s="28"/>
      <c r="T710" s="25"/>
      <c r="U710" s="26"/>
      <c r="V710" s="26"/>
      <c r="W710" s="26"/>
      <c r="X710" s="27" t="str">
        <f aca="false">IF(B710&lt;&gt;"SOLD","",IF(C710="Consignment",N(W710)-R710,N(U710)-R710-N(V710)))</f>
        <v/>
      </c>
      <c r="Y710" s="29" t="str">
        <f aca="false">IF(OR(X710="",N(R710)=0),"",X710/R710)</f>
        <v/>
      </c>
      <c r="Z710" s="30" t="str">
        <f aca="true">IF(O710="","",IF(T710="",TODAY(),T710)-O710)</f>
        <v/>
      </c>
      <c r="AA710" s="31" t="str">
        <f aca="false">IF(T710="","",TEXT(T710,"YYYY-MM"))</f>
        <v/>
      </c>
      <c r="AB710" s="27" t="str">
        <f aca="false">IF(X710="","",X710/2)</f>
        <v/>
      </c>
      <c r="AC710" s="21"/>
    </row>
    <row r="711" customFormat="false" ht="15" hidden="false" customHeight="false" outlineLevel="0" collapsed="false">
      <c r="A711" s="20"/>
      <c r="B711" s="21"/>
      <c r="C711" s="21"/>
      <c r="D711" s="21"/>
      <c r="E711" s="21"/>
      <c r="F711" s="21"/>
      <c r="G711" s="22"/>
      <c r="H711" s="21"/>
      <c r="I711" s="21"/>
      <c r="J711" s="21"/>
      <c r="K711" s="23"/>
      <c r="L711" s="24"/>
      <c r="M711" s="21"/>
      <c r="N711" s="21"/>
      <c r="O711" s="25"/>
      <c r="P711" s="26"/>
      <c r="Q711" s="27" t="str">
        <f aca="false">IF(A711="","",SUMIF(Expenses!$B$2:$B$3000,A711,Expenses!$E$2:$E$3000))</f>
        <v/>
      </c>
      <c r="R711" s="27" t="str">
        <f aca="false">IF(A711="","",N(P711)+N(Q711))</f>
        <v/>
      </c>
      <c r="S711" s="28"/>
      <c r="T711" s="25"/>
      <c r="U711" s="26"/>
      <c r="V711" s="26"/>
      <c r="W711" s="26"/>
      <c r="X711" s="27" t="str">
        <f aca="false">IF(B711&lt;&gt;"SOLD","",IF(C711="Consignment",N(W711)-R711,N(U711)-R711-N(V711)))</f>
        <v/>
      </c>
      <c r="Y711" s="29" t="str">
        <f aca="false">IF(OR(X711="",N(R711)=0),"",X711/R711)</f>
        <v/>
      </c>
      <c r="Z711" s="30" t="str">
        <f aca="true">IF(O711="","",IF(T711="",TODAY(),T711)-O711)</f>
        <v/>
      </c>
      <c r="AA711" s="31" t="str">
        <f aca="false">IF(T711="","",TEXT(T711,"YYYY-MM"))</f>
        <v/>
      </c>
      <c r="AB711" s="27" t="str">
        <f aca="false">IF(X711="","",X711/2)</f>
        <v/>
      </c>
      <c r="AC711" s="21"/>
    </row>
    <row r="712" customFormat="false" ht="15" hidden="false" customHeight="false" outlineLevel="0" collapsed="false">
      <c r="A712" s="20"/>
      <c r="B712" s="21"/>
      <c r="C712" s="21"/>
      <c r="D712" s="21"/>
      <c r="E712" s="21"/>
      <c r="F712" s="21"/>
      <c r="G712" s="22"/>
      <c r="H712" s="21"/>
      <c r="I712" s="21"/>
      <c r="J712" s="21"/>
      <c r="K712" s="23"/>
      <c r="L712" s="24"/>
      <c r="M712" s="21"/>
      <c r="N712" s="21"/>
      <c r="O712" s="25"/>
      <c r="P712" s="26"/>
      <c r="Q712" s="27" t="str">
        <f aca="false">IF(A712="","",SUMIF(Expenses!$B$2:$B$3000,A712,Expenses!$E$2:$E$3000))</f>
        <v/>
      </c>
      <c r="R712" s="27" t="str">
        <f aca="false">IF(A712="","",N(P712)+N(Q712))</f>
        <v/>
      </c>
      <c r="S712" s="28"/>
      <c r="T712" s="25"/>
      <c r="U712" s="26"/>
      <c r="V712" s="26"/>
      <c r="W712" s="26"/>
      <c r="X712" s="27" t="str">
        <f aca="false">IF(B712&lt;&gt;"SOLD","",IF(C712="Consignment",N(W712)-R712,N(U712)-R712-N(V712)))</f>
        <v/>
      </c>
      <c r="Y712" s="29" t="str">
        <f aca="false">IF(OR(X712="",N(R712)=0),"",X712/R712)</f>
        <v/>
      </c>
      <c r="Z712" s="30" t="str">
        <f aca="true">IF(O712="","",IF(T712="",TODAY(),T712)-O712)</f>
        <v/>
      </c>
      <c r="AA712" s="31" t="str">
        <f aca="false">IF(T712="","",TEXT(T712,"YYYY-MM"))</f>
        <v/>
      </c>
      <c r="AB712" s="27" t="str">
        <f aca="false">IF(X712="","",X712/2)</f>
        <v/>
      </c>
      <c r="AC712" s="21"/>
    </row>
    <row r="713" customFormat="false" ht="15" hidden="false" customHeight="false" outlineLevel="0" collapsed="false">
      <c r="A713" s="20"/>
      <c r="B713" s="21"/>
      <c r="C713" s="21"/>
      <c r="D713" s="21"/>
      <c r="E713" s="21"/>
      <c r="F713" s="21"/>
      <c r="G713" s="22"/>
      <c r="H713" s="21"/>
      <c r="I713" s="21"/>
      <c r="J713" s="21"/>
      <c r="K713" s="23"/>
      <c r="L713" s="24"/>
      <c r="M713" s="21"/>
      <c r="N713" s="21"/>
      <c r="O713" s="25"/>
      <c r="P713" s="26"/>
      <c r="Q713" s="27" t="str">
        <f aca="false">IF(A713="","",SUMIF(Expenses!$B$2:$B$3000,A713,Expenses!$E$2:$E$3000))</f>
        <v/>
      </c>
      <c r="R713" s="27" t="str">
        <f aca="false">IF(A713="","",N(P713)+N(Q713))</f>
        <v/>
      </c>
      <c r="S713" s="28"/>
      <c r="T713" s="25"/>
      <c r="U713" s="26"/>
      <c r="V713" s="26"/>
      <c r="W713" s="26"/>
      <c r="X713" s="27" t="str">
        <f aca="false">IF(B713&lt;&gt;"SOLD","",IF(C713="Consignment",N(W713)-R713,N(U713)-R713-N(V713)))</f>
        <v/>
      </c>
      <c r="Y713" s="29" t="str">
        <f aca="false">IF(OR(X713="",N(R713)=0),"",X713/R713)</f>
        <v/>
      </c>
      <c r="Z713" s="30" t="str">
        <f aca="true">IF(O713="","",IF(T713="",TODAY(),T713)-O713)</f>
        <v/>
      </c>
      <c r="AA713" s="31" t="str">
        <f aca="false">IF(T713="","",TEXT(T713,"YYYY-MM"))</f>
        <v/>
      </c>
      <c r="AB713" s="27" t="str">
        <f aca="false">IF(X713="","",X713/2)</f>
        <v/>
      </c>
      <c r="AC713" s="21"/>
    </row>
    <row r="714" customFormat="false" ht="15" hidden="false" customHeight="false" outlineLevel="0" collapsed="false">
      <c r="A714" s="20"/>
      <c r="B714" s="21"/>
      <c r="C714" s="21"/>
      <c r="D714" s="21"/>
      <c r="E714" s="21"/>
      <c r="F714" s="21"/>
      <c r="G714" s="22"/>
      <c r="H714" s="21"/>
      <c r="I714" s="21"/>
      <c r="J714" s="21"/>
      <c r="K714" s="23"/>
      <c r="L714" s="24"/>
      <c r="M714" s="21"/>
      <c r="N714" s="21"/>
      <c r="O714" s="25"/>
      <c r="P714" s="26"/>
      <c r="Q714" s="27" t="str">
        <f aca="false">IF(A714="","",SUMIF(Expenses!$B$2:$B$3000,A714,Expenses!$E$2:$E$3000))</f>
        <v/>
      </c>
      <c r="R714" s="27" t="str">
        <f aca="false">IF(A714="","",N(P714)+N(Q714))</f>
        <v/>
      </c>
      <c r="S714" s="28"/>
      <c r="T714" s="25"/>
      <c r="U714" s="26"/>
      <c r="V714" s="26"/>
      <c r="W714" s="26"/>
      <c r="X714" s="27" t="str">
        <f aca="false">IF(B714&lt;&gt;"SOLD","",IF(C714="Consignment",N(W714)-R714,N(U714)-R714-N(V714)))</f>
        <v/>
      </c>
      <c r="Y714" s="29" t="str">
        <f aca="false">IF(OR(X714="",N(R714)=0),"",X714/R714)</f>
        <v/>
      </c>
      <c r="Z714" s="30" t="str">
        <f aca="true">IF(O714="","",IF(T714="",TODAY(),T714)-O714)</f>
        <v/>
      </c>
      <c r="AA714" s="31" t="str">
        <f aca="false">IF(T714="","",TEXT(T714,"YYYY-MM"))</f>
        <v/>
      </c>
      <c r="AB714" s="27" t="str">
        <f aca="false">IF(X714="","",X714/2)</f>
        <v/>
      </c>
      <c r="AC714" s="21"/>
    </row>
    <row r="715" customFormat="false" ht="15" hidden="false" customHeight="false" outlineLevel="0" collapsed="false">
      <c r="A715" s="20"/>
      <c r="B715" s="21"/>
      <c r="C715" s="21"/>
      <c r="D715" s="21"/>
      <c r="E715" s="21"/>
      <c r="F715" s="21"/>
      <c r="G715" s="22"/>
      <c r="H715" s="21"/>
      <c r="I715" s="21"/>
      <c r="J715" s="21"/>
      <c r="K715" s="23"/>
      <c r="L715" s="24"/>
      <c r="M715" s="21"/>
      <c r="N715" s="21"/>
      <c r="O715" s="25"/>
      <c r="P715" s="26"/>
      <c r="Q715" s="27" t="str">
        <f aca="false">IF(A715="","",SUMIF(Expenses!$B$2:$B$3000,A715,Expenses!$E$2:$E$3000))</f>
        <v/>
      </c>
      <c r="R715" s="27" t="str">
        <f aca="false">IF(A715="","",N(P715)+N(Q715))</f>
        <v/>
      </c>
      <c r="S715" s="28"/>
      <c r="T715" s="25"/>
      <c r="U715" s="26"/>
      <c r="V715" s="26"/>
      <c r="W715" s="26"/>
      <c r="X715" s="27" t="str">
        <f aca="false">IF(B715&lt;&gt;"SOLD","",IF(C715="Consignment",N(W715)-R715,N(U715)-R715-N(V715)))</f>
        <v/>
      </c>
      <c r="Y715" s="29" t="str">
        <f aca="false">IF(OR(X715="",N(R715)=0),"",X715/R715)</f>
        <v/>
      </c>
      <c r="Z715" s="30" t="str">
        <f aca="true">IF(O715="","",IF(T715="",TODAY(),T715)-O715)</f>
        <v/>
      </c>
      <c r="AA715" s="31" t="str">
        <f aca="false">IF(T715="","",TEXT(T715,"YYYY-MM"))</f>
        <v/>
      </c>
      <c r="AB715" s="27" t="str">
        <f aca="false">IF(X715="","",X715/2)</f>
        <v/>
      </c>
      <c r="AC715" s="21"/>
    </row>
    <row r="716" customFormat="false" ht="15" hidden="false" customHeight="false" outlineLevel="0" collapsed="false">
      <c r="A716" s="20"/>
      <c r="B716" s="21"/>
      <c r="C716" s="21"/>
      <c r="D716" s="21"/>
      <c r="E716" s="21"/>
      <c r="F716" s="21"/>
      <c r="G716" s="22"/>
      <c r="H716" s="21"/>
      <c r="I716" s="21"/>
      <c r="J716" s="21"/>
      <c r="K716" s="23"/>
      <c r="L716" s="24"/>
      <c r="M716" s="21"/>
      <c r="N716" s="21"/>
      <c r="O716" s="25"/>
      <c r="P716" s="26"/>
      <c r="Q716" s="27" t="str">
        <f aca="false">IF(A716="","",SUMIF(Expenses!$B$2:$B$3000,A716,Expenses!$E$2:$E$3000))</f>
        <v/>
      </c>
      <c r="R716" s="27" t="str">
        <f aca="false">IF(A716="","",N(P716)+N(Q716))</f>
        <v/>
      </c>
      <c r="S716" s="28"/>
      <c r="T716" s="25"/>
      <c r="U716" s="26"/>
      <c r="V716" s="26"/>
      <c r="W716" s="26"/>
      <c r="X716" s="27" t="str">
        <f aca="false">IF(B716&lt;&gt;"SOLD","",IF(C716="Consignment",N(W716)-R716,N(U716)-R716-N(V716)))</f>
        <v/>
      </c>
      <c r="Y716" s="29" t="str">
        <f aca="false">IF(OR(X716="",N(R716)=0),"",X716/R716)</f>
        <v/>
      </c>
      <c r="Z716" s="30" t="str">
        <f aca="true">IF(O716="","",IF(T716="",TODAY(),T716)-O716)</f>
        <v/>
      </c>
      <c r="AA716" s="31" t="str">
        <f aca="false">IF(T716="","",TEXT(T716,"YYYY-MM"))</f>
        <v/>
      </c>
      <c r="AB716" s="27" t="str">
        <f aca="false">IF(X716="","",X716/2)</f>
        <v/>
      </c>
      <c r="AC716" s="21"/>
    </row>
    <row r="717" customFormat="false" ht="15" hidden="false" customHeight="false" outlineLevel="0" collapsed="false">
      <c r="A717" s="20"/>
      <c r="B717" s="21"/>
      <c r="C717" s="21"/>
      <c r="D717" s="21"/>
      <c r="E717" s="21"/>
      <c r="F717" s="21"/>
      <c r="G717" s="22"/>
      <c r="H717" s="21"/>
      <c r="I717" s="21"/>
      <c r="J717" s="21"/>
      <c r="K717" s="23"/>
      <c r="L717" s="24"/>
      <c r="M717" s="21"/>
      <c r="N717" s="21"/>
      <c r="O717" s="25"/>
      <c r="P717" s="26"/>
      <c r="Q717" s="27" t="str">
        <f aca="false">IF(A717="","",SUMIF(Expenses!$B$2:$B$3000,A717,Expenses!$E$2:$E$3000))</f>
        <v/>
      </c>
      <c r="R717" s="27" t="str">
        <f aca="false">IF(A717="","",N(P717)+N(Q717))</f>
        <v/>
      </c>
      <c r="S717" s="28"/>
      <c r="T717" s="25"/>
      <c r="U717" s="26"/>
      <c r="V717" s="26"/>
      <c r="W717" s="26"/>
      <c r="X717" s="27" t="str">
        <f aca="false">IF(B717&lt;&gt;"SOLD","",IF(C717="Consignment",N(W717)-R717,N(U717)-R717-N(V717)))</f>
        <v/>
      </c>
      <c r="Y717" s="29" t="str">
        <f aca="false">IF(OR(X717="",N(R717)=0),"",X717/R717)</f>
        <v/>
      </c>
      <c r="Z717" s="30" t="str">
        <f aca="true">IF(O717="","",IF(T717="",TODAY(),T717)-O717)</f>
        <v/>
      </c>
      <c r="AA717" s="31" t="str">
        <f aca="false">IF(T717="","",TEXT(T717,"YYYY-MM"))</f>
        <v/>
      </c>
      <c r="AB717" s="27" t="str">
        <f aca="false">IF(X717="","",X717/2)</f>
        <v/>
      </c>
      <c r="AC717" s="21"/>
    </row>
    <row r="718" customFormat="false" ht="15" hidden="false" customHeight="false" outlineLevel="0" collapsed="false">
      <c r="A718" s="20"/>
      <c r="B718" s="21"/>
      <c r="C718" s="21"/>
      <c r="D718" s="21"/>
      <c r="E718" s="21"/>
      <c r="F718" s="21"/>
      <c r="G718" s="22"/>
      <c r="H718" s="21"/>
      <c r="I718" s="21"/>
      <c r="J718" s="21"/>
      <c r="K718" s="23"/>
      <c r="L718" s="24"/>
      <c r="M718" s="21"/>
      <c r="N718" s="21"/>
      <c r="O718" s="25"/>
      <c r="P718" s="26"/>
      <c r="Q718" s="27" t="str">
        <f aca="false">IF(A718="","",SUMIF(Expenses!$B$2:$B$3000,A718,Expenses!$E$2:$E$3000))</f>
        <v/>
      </c>
      <c r="R718" s="27" t="str">
        <f aca="false">IF(A718="","",N(P718)+N(Q718))</f>
        <v/>
      </c>
      <c r="S718" s="28"/>
      <c r="T718" s="25"/>
      <c r="U718" s="26"/>
      <c r="V718" s="26"/>
      <c r="W718" s="26"/>
      <c r="X718" s="27" t="str">
        <f aca="false">IF(B718&lt;&gt;"SOLD","",IF(C718="Consignment",N(W718)-R718,N(U718)-R718-N(V718)))</f>
        <v/>
      </c>
      <c r="Y718" s="29" t="str">
        <f aca="false">IF(OR(X718="",N(R718)=0),"",X718/R718)</f>
        <v/>
      </c>
      <c r="Z718" s="30" t="str">
        <f aca="true">IF(O718="","",IF(T718="",TODAY(),T718)-O718)</f>
        <v/>
      </c>
      <c r="AA718" s="31" t="str">
        <f aca="false">IF(T718="","",TEXT(T718,"YYYY-MM"))</f>
        <v/>
      </c>
      <c r="AB718" s="27" t="str">
        <f aca="false">IF(X718="","",X718/2)</f>
        <v/>
      </c>
      <c r="AC718" s="21"/>
    </row>
    <row r="719" customFormat="false" ht="15" hidden="false" customHeight="false" outlineLevel="0" collapsed="false">
      <c r="A719" s="20"/>
      <c r="B719" s="21"/>
      <c r="C719" s="21"/>
      <c r="D719" s="21"/>
      <c r="E719" s="21"/>
      <c r="F719" s="21"/>
      <c r="G719" s="22"/>
      <c r="H719" s="21"/>
      <c r="I719" s="21"/>
      <c r="J719" s="21"/>
      <c r="K719" s="23"/>
      <c r="L719" s="24"/>
      <c r="M719" s="21"/>
      <c r="N719" s="21"/>
      <c r="O719" s="25"/>
      <c r="P719" s="26"/>
      <c r="Q719" s="27" t="str">
        <f aca="false">IF(A719="","",SUMIF(Expenses!$B$2:$B$3000,A719,Expenses!$E$2:$E$3000))</f>
        <v/>
      </c>
      <c r="R719" s="27" t="str">
        <f aca="false">IF(A719="","",N(P719)+N(Q719))</f>
        <v/>
      </c>
      <c r="S719" s="28"/>
      <c r="T719" s="25"/>
      <c r="U719" s="26"/>
      <c r="V719" s="26"/>
      <c r="W719" s="26"/>
      <c r="X719" s="27" t="str">
        <f aca="false">IF(B719&lt;&gt;"SOLD","",IF(C719="Consignment",N(W719)-R719,N(U719)-R719-N(V719)))</f>
        <v/>
      </c>
      <c r="Y719" s="29" t="str">
        <f aca="false">IF(OR(X719="",N(R719)=0),"",X719/R719)</f>
        <v/>
      </c>
      <c r="Z719" s="30" t="str">
        <f aca="true">IF(O719="","",IF(T719="",TODAY(),T719)-O719)</f>
        <v/>
      </c>
      <c r="AA719" s="31" t="str">
        <f aca="false">IF(T719="","",TEXT(T719,"YYYY-MM"))</f>
        <v/>
      </c>
      <c r="AB719" s="27" t="str">
        <f aca="false">IF(X719="","",X719/2)</f>
        <v/>
      </c>
      <c r="AC719" s="21"/>
    </row>
    <row r="720" customFormat="false" ht="15" hidden="false" customHeight="false" outlineLevel="0" collapsed="false">
      <c r="A720" s="20"/>
      <c r="B720" s="21"/>
      <c r="C720" s="21"/>
      <c r="D720" s="21"/>
      <c r="E720" s="21"/>
      <c r="F720" s="21"/>
      <c r="G720" s="22"/>
      <c r="H720" s="21"/>
      <c r="I720" s="21"/>
      <c r="J720" s="21"/>
      <c r="K720" s="23"/>
      <c r="L720" s="24"/>
      <c r="M720" s="21"/>
      <c r="N720" s="21"/>
      <c r="O720" s="25"/>
      <c r="P720" s="26"/>
      <c r="Q720" s="27" t="str">
        <f aca="false">IF(A720="","",SUMIF(Expenses!$B$2:$B$3000,A720,Expenses!$E$2:$E$3000))</f>
        <v/>
      </c>
      <c r="R720" s="27" t="str">
        <f aca="false">IF(A720="","",N(P720)+N(Q720))</f>
        <v/>
      </c>
      <c r="S720" s="28"/>
      <c r="T720" s="25"/>
      <c r="U720" s="26"/>
      <c r="V720" s="26"/>
      <c r="W720" s="26"/>
      <c r="X720" s="27" t="str">
        <f aca="false">IF(B720&lt;&gt;"SOLD","",IF(C720="Consignment",N(W720)-R720,N(U720)-R720-N(V720)))</f>
        <v/>
      </c>
      <c r="Y720" s="29" t="str">
        <f aca="false">IF(OR(X720="",N(R720)=0),"",X720/R720)</f>
        <v/>
      </c>
      <c r="Z720" s="30" t="str">
        <f aca="true">IF(O720="","",IF(T720="",TODAY(),T720)-O720)</f>
        <v/>
      </c>
      <c r="AA720" s="31" t="str">
        <f aca="false">IF(T720="","",TEXT(T720,"YYYY-MM"))</f>
        <v/>
      </c>
      <c r="AB720" s="27" t="str">
        <f aca="false">IF(X720="","",X720/2)</f>
        <v/>
      </c>
      <c r="AC720" s="21"/>
    </row>
    <row r="721" customFormat="false" ht="15" hidden="false" customHeight="false" outlineLevel="0" collapsed="false">
      <c r="A721" s="20"/>
      <c r="B721" s="21"/>
      <c r="C721" s="21"/>
      <c r="D721" s="21"/>
      <c r="E721" s="21"/>
      <c r="F721" s="21"/>
      <c r="G721" s="22"/>
      <c r="H721" s="21"/>
      <c r="I721" s="21"/>
      <c r="J721" s="21"/>
      <c r="K721" s="23"/>
      <c r="L721" s="24"/>
      <c r="M721" s="21"/>
      <c r="N721" s="21"/>
      <c r="O721" s="25"/>
      <c r="P721" s="26"/>
      <c r="Q721" s="27" t="str">
        <f aca="false">IF(A721="","",SUMIF(Expenses!$B$2:$B$3000,A721,Expenses!$E$2:$E$3000))</f>
        <v/>
      </c>
      <c r="R721" s="27" t="str">
        <f aca="false">IF(A721="","",N(P721)+N(Q721))</f>
        <v/>
      </c>
      <c r="S721" s="28"/>
      <c r="T721" s="25"/>
      <c r="U721" s="26"/>
      <c r="V721" s="26"/>
      <c r="W721" s="26"/>
      <c r="X721" s="27" t="str">
        <f aca="false">IF(B721&lt;&gt;"SOLD","",IF(C721="Consignment",N(W721)-R721,N(U721)-R721-N(V721)))</f>
        <v/>
      </c>
      <c r="Y721" s="29" t="str">
        <f aca="false">IF(OR(X721="",N(R721)=0),"",X721/R721)</f>
        <v/>
      </c>
      <c r="Z721" s="30" t="str">
        <f aca="true">IF(O721="","",IF(T721="",TODAY(),T721)-O721)</f>
        <v/>
      </c>
      <c r="AA721" s="31" t="str">
        <f aca="false">IF(T721="","",TEXT(T721,"YYYY-MM"))</f>
        <v/>
      </c>
      <c r="AB721" s="27" t="str">
        <f aca="false">IF(X721="","",X721/2)</f>
        <v/>
      </c>
      <c r="AC721" s="21"/>
    </row>
    <row r="722" customFormat="false" ht="15" hidden="false" customHeight="false" outlineLevel="0" collapsed="false">
      <c r="A722" s="20"/>
      <c r="B722" s="21"/>
      <c r="C722" s="21"/>
      <c r="D722" s="21"/>
      <c r="E722" s="21"/>
      <c r="F722" s="21"/>
      <c r="G722" s="22"/>
      <c r="H722" s="21"/>
      <c r="I722" s="21"/>
      <c r="J722" s="21"/>
      <c r="K722" s="23"/>
      <c r="L722" s="24"/>
      <c r="M722" s="21"/>
      <c r="N722" s="21"/>
      <c r="O722" s="25"/>
      <c r="P722" s="26"/>
      <c r="Q722" s="27" t="str">
        <f aca="false">IF(A722="","",SUMIF(Expenses!$B$2:$B$3000,A722,Expenses!$E$2:$E$3000))</f>
        <v/>
      </c>
      <c r="R722" s="27" t="str">
        <f aca="false">IF(A722="","",N(P722)+N(Q722))</f>
        <v/>
      </c>
      <c r="S722" s="28"/>
      <c r="T722" s="25"/>
      <c r="U722" s="26"/>
      <c r="V722" s="26"/>
      <c r="W722" s="26"/>
      <c r="X722" s="27" t="str">
        <f aca="false">IF(B722&lt;&gt;"SOLD","",IF(C722="Consignment",N(W722)-R722,N(U722)-R722-N(V722)))</f>
        <v/>
      </c>
      <c r="Y722" s="29" t="str">
        <f aca="false">IF(OR(X722="",N(R722)=0),"",X722/R722)</f>
        <v/>
      </c>
      <c r="Z722" s="30" t="str">
        <f aca="true">IF(O722="","",IF(T722="",TODAY(),T722)-O722)</f>
        <v/>
      </c>
      <c r="AA722" s="31" t="str">
        <f aca="false">IF(T722="","",TEXT(T722,"YYYY-MM"))</f>
        <v/>
      </c>
      <c r="AB722" s="27" t="str">
        <f aca="false">IF(X722="","",X722/2)</f>
        <v/>
      </c>
      <c r="AC722" s="21"/>
    </row>
    <row r="723" customFormat="false" ht="15" hidden="false" customHeight="false" outlineLevel="0" collapsed="false">
      <c r="A723" s="20"/>
      <c r="B723" s="21"/>
      <c r="C723" s="21"/>
      <c r="D723" s="21"/>
      <c r="E723" s="21"/>
      <c r="F723" s="21"/>
      <c r="G723" s="22"/>
      <c r="H723" s="21"/>
      <c r="I723" s="21"/>
      <c r="J723" s="21"/>
      <c r="K723" s="23"/>
      <c r="L723" s="24"/>
      <c r="M723" s="21"/>
      <c r="N723" s="21"/>
      <c r="O723" s="25"/>
      <c r="P723" s="26"/>
      <c r="Q723" s="27" t="str">
        <f aca="false">IF(A723="","",SUMIF(Expenses!$B$2:$B$3000,A723,Expenses!$E$2:$E$3000))</f>
        <v/>
      </c>
      <c r="R723" s="27" t="str">
        <f aca="false">IF(A723="","",N(P723)+N(Q723))</f>
        <v/>
      </c>
      <c r="S723" s="28"/>
      <c r="T723" s="25"/>
      <c r="U723" s="26"/>
      <c r="V723" s="26"/>
      <c r="W723" s="26"/>
      <c r="X723" s="27" t="str">
        <f aca="false">IF(B723&lt;&gt;"SOLD","",IF(C723="Consignment",N(W723)-R723,N(U723)-R723-N(V723)))</f>
        <v/>
      </c>
      <c r="Y723" s="29" t="str">
        <f aca="false">IF(OR(X723="",N(R723)=0),"",X723/R723)</f>
        <v/>
      </c>
      <c r="Z723" s="30" t="str">
        <f aca="true">IF(O723="","",IF(T723="",TODAY(),T723)-O723)</f>
        <v/>
      </c>
      <c r="AA723" s="31" t="str">
        <f aca="false">IF(T723="","",TEXT(T723,"YYYY-MM"))</f>
        <v/>
      </c>
      <c r="AB723" s="27" t="str">
        <f aca="false">IF(X723="","",X723/2)</f>
        <v/>
      </c>
      <c r="AC723" s="21"/>
    </row>
    <row r="724" customFormat="false" ht="15" hidden="false" customHeight="false" outlineLevel="0" collapsed="false">
      <c r="A724" s="20"/>
      <c r="B724" s="21"/>
      <c r="C724" s="21"/>
      <c r="D724" s="21"/>
      <c r="E724" s="21"/>
      <c r="F724" s="21"/>
      <c r="G724" s="22"/>
      <c r="H724" s="21"/>
      <c r="I724" s="21"/>
      <c r="J724" s="21"/>
      <c r="K724" s="23"/>
      <c r="L724" s="24"/>
      <c r="M724" s="21"/>
      <c r="N724" s="21"/>
      <c r="O724" s="25"/>
      <c r="P724" s="26"/>
      <c r="Q724" s="27" t="str">
        <f aca="false">IF(A724="","",SUMIF(Expenses!$B$2:$B$3000,A724,Expenses!$E$2:$E$3000))</f>
        <v/>
      </c>
      <c r="R724" s="27" t="str">
        <f aca="false">IF(A724="","",N(P724)+N(Q724))</f>
        <v/>
      </c>
      <c r="S724" s="28"/>
      <c r="T724" s="25"/>
      <c r="U724" s="26"/>
      <c r="V724" s="26"/>
      <c r="W724" s="26"/>
      <c r="X724" s="27" t="str">
        <f aca="false">IF(B724&lt;&gt;"SOLD","",IF(C724="Consignment",N(W724)-R724,N(U724)-R724-N(V724)))</f>
        <v/>
      </c>
      <c r="Y724" s="29" t="str">
        <f aca="false">IF(OR(X724="",N(R724)=0),"",X724/R724)</f>
        <v/>
      </c>
      <c r="Z724" s="30" t="str">
        <f aca="true">IF(O724="","",IF(T724="",TODAY(),T724)-O724)</f>
        <v/>
      </c>
      <c r="AA724" s="31" t="str">
        <f aca="false">IF(T724="","",TEXT(T724,"YYYY-MM"))</f>
        <v/>
      </c>
      <c r="AB724" s="27" t="str">
        <f aca="false">IF(X724="","",X724/2)</f>
        <v/>
      </c>
      <c r="AC724" s="21"/>
    </row>
    <row r="725" customFormat="false" ht="15" hidden="false" customHeight="false" outlineLevel="0" collapsed="false">
      <c r="A725" s="20"/>
      <c r="B725" s="21"/>
      <c r="C725" s="21"/>
      <c r="D725" s="21"/>
      <c r="E725" s="21"/>
      <c r="F725" s="21"/>
      <c r="G725" s="22"/>
      <c r="H725" s="21"/>
      <c r="I725" s="21"/>
      <c r="J725" s="21"/>
      <c r="K725" s="23"/>
      <c r="L725" s="24"/>
      <c r="M725" s="21"/>
      <c r="N725" s="21"/>
      <c r="O725" s="25"/>
      <c r="P725" s="26"/>
      <c r="Q725" s="27" t="str">
        <f aca="false">IF(A725="","",SUMIF(Expenses!$B$2:$B$3000,A725,Expenses!$E$2:$E$3000))</f>
        <v/>
      </c>
      <c r="R725" s="27" t="str">
        <f aca="false">IF(A725="","",N(P725)+N(Q725))</f>
        <v/>
      </c>
      <c r="S725" s="28"/>
      <c r="T725" s="25"/>
      <c r="U725" s="26"/>
      <c r="V725" s="26"/>
      <c r="W725" s="26"/>
      <c r="X725" s="27" t="str">
        <f aca="false">IF(B725&lt;&gt;"SOLD","",IF(C725="Consignment",N(W725)-R725,N(U725)-R725-N(V725)))</f>
        <v/>
      </c>
      <c r="Y725" s="29" t="str">
        <f aca="false">IF(OR(X725="",N(R725)=0),"",X725/R725)</f>
        <v/>
      </c>
      <c r="Z725" s="30" t="str">
        <f aca="true">IF(O725="","",IF(T725="",TODAY(),T725)-O725)</f>
        <v/>
      </c>
      <c r="AA725" s="31" t="str">
        <f aca="false">IF(T725="","",TEXT(T725,"YYYY-MM"))</f>
        <v/>
      </c>
      <c r="AB725" s="27" t="str">
        <f aca="false">IF(X725="","",X725/2)</f>
        <v/>
      </c>
      <c r="AC725" s="21"/>
    </row>
    <row r="726" customFormat="false" ht="15" hidden="false" customHeight="false" outlineLevel="0" collapsed="false">
      <c r="A726" s="20"/>
      <c r="B726" s="21"/>
      <c r="C726" s="21"/>
      <c r="D726" s="21"/>
      <c r="E726" s="21"/>
      <c r="F726" s="21"/>
      <c r="G726" s="22"/>
      <c r="H726" s="21"/>
      <c r="I726" s="21"/>
      <c r="J726" s="21"/>
      <c r="K726" s="23"/>
      <c r="L726" s="24"/>
      <c r="M726" s="21"/>
      <c r="N726" s="21"/>
      <c r="O726" s="25"/>
      <c r="P726" s="26"/>
      <c r="Q726" s="27" t="str">
        <f aca="false">IF(A726="","",SUMIF(Expenses!$B$2:$B$3000,A726,Expenses!$E$2:$E$3000))</f>
        <v/>
      </c>
      <c r="R726" s="27" t="str">
        <f aca="false">IF(A726="","",N(P726)+N(Q726))</f>
        <v/>
      </c>
      <c r="S726" s="28"/>
      <c r="T726" s="25"/>
      <c r="U726" s="26"/>
      <c r="V726" s="26"/>
      <c r="W726" s="26"/>
      <c r="X726" s="27" t="str">
        <f aca="false">IF(B726&lt;&gt;"SOLD","",IF(C726="Consignment",N(W726)-R726,N(U726)-R726-N(V726)))</f>
        <v/>
      </c>
      <c r="Y726" s="29" t="str">
        <f aca="false">IF(OR(X726="",N(R726)=0),"",X726/R726)</f>
        <v/>
      </c>
      <c r="Z726" s="30" t="str">
        <f aca="true">IF(O726="","",IF(T726="",TODAY(),T726)-O726)</f>
        <v/>
      </c>
      <c r="AA726" s="31" t="str">
        <f aca="false">IF(T726="","",TEXT(T726,"YYYY-MM"))</f>
        <v/>
      </c>
      <c r="AB726" s="27" t="str">
        <f aca="false">IF(X726="","",X726/2)</f>
        <v/>
      </c>
      <c r="AC726" s="21"/>
    </row>
    <row r="727" customFormat="false" ht="15" hidden="false" customHeight="false" outlineLevel="0" collapsed="false">
      <c r="A727" s="20"/>
      <c r="B727" s="21"/>
      <c r="C727" s="21"/>
      <c r="D727" s="21"/>
      <c r="E727" s="21"/>
      <c r="F727" s="21"/>
      <c r="G727" s="22"/>
      <c r="H727" s="21"/>
      <c r="I727" s="21"/>
      <c r="J727" s="21"/>
      <c r="K727" s="23"/>
      <c r="L727" s="24"/>
      <c r="M727" s="21"/>
      <c r="N727" s="21"/>
      <c r="O727" s="25"/>
      <c r="P727" s="26"/>
      <c r="Q727" s="27" t="str">
        <f aca="false">IF(A727="","",SUMIF(Expenses!$B$2:$B$3000,A727,Expenses!$E$2:$E$3000))</f>
        <v/>
      </c>
      <c r="R727" s="27" t="str">
        <f aca="false">IF(A727="","",N(P727)+N(Q727))</f>
        <v/>
      </c>
      <c r="S727" s="28"/>
      <c r="T727" s="25"/>
      <c r="U727" s="26"/>
      <c r="V727" s="26"/>
      <c r="W727" s="26"/>
      <c r="X727" s="27" t="str">
        <f aca="false">IF(B727&lt;&gt;"SOLD","",IF(C727="Consignment",N(W727)-R727,N(U727)-R727-N(V727)))</f>
        <v/>
      </c>
      <c r="Y727" s="29" t="str">
        <f aca="false">IF(OR(X727="",N(R727)=0),"",X727/R727)</f>
        <v/>
      </c>
      <c r="Z727" s="30" t="str">
        <f aca="true">IF(O727="","",IF(T727="",TODAY(),T727)-O727)</f>
        <v/>
      </c>
      <c r="AA727" s="31" t="str">
        <f aca="false">IF(T727="","",TEXT(T727,"YYYY-MM"))</f>
        <v/>
      </c>
      <c r="AB727" s="27" t="str">
        <f aca="false">IF(X727="","",X727/2)</f>
        <v/>
      </c>
      <c r="AC727" s="21"/>
    </row>
    <row r="728" customFormat="false" ht="15" hidden="false" customHeight="false" outlineLevel="0" collapsed="false">
      <c r="A728" s="20"/>
      <c r="B728" s="21"/>
      <c r="C728" s="21"/>
      <c r="D728" s="21"/>
      <c r="E728" s="21"/>
      <c r="F728" s="21"/>
      <c r="G728" s="22"/>
      <c r="H728" s="21"/>
      <c r="I728" s="21"/>
      <c r="J728" s="21"/>
      <c r="K728" s="23"/>
      <c r="L728" s="24"/>
      <c r="M728" s="21"/>
      <c r="N728" s="21"/>
      <c r="O728" s="25"/>
      <c r="P728" s="26"/>
      <c r="Q728" s="27" t="str">
        <f aca="false">IF(A728="","",SUMIF(Expenses!$B$2:$B$3000,A728,Expenses!$E$2:$E$3000))</f>
        <v/>
      </c>
      <c r="R728" s="27" t="str">
        <f aca="false">IF(A728="","",N(P728)+N(Q728))</f>
        <v/>
      </c>
      <c r="S728" s="28"/>
      <c r="T728" s="25"/>
      <c r="U728" s="26"/>
      <c r="V728" s="26"/>
      <c r="W728" s="26"/>
      <c r="X728" s="27" t="str">
        <f aca="false">IF(B728&lt;&gt;"SOLD","",IF(C728="Consignment",N(W728)-R728,N(U728)-R728-N(V728)))</f>
        <v/>
      </c>
      <c r="Y728" s="29" t="str">
        <f aca="false">IF(OR(X728="",N(R728)=0),"",X728/R728)</f>
        <v/>
      </c>
      <c r="Z728" s="30" t="str">
        <f aca="true">IF(O728="","",IF(T728="",TODAY(),T728)-O728)</f>
        <v/>
      </c>
      <c r="AA728" s="31" t="str">
        <f aca="false">IF(T728="","",TEXT(T728,"YYYY-MM"))</f>
        <v/>
      </c>
      <c r="AB728" s="27" t="str">
        <f aca="false">IF(X728="","",X728/2)</f>
        <v/>
      </c>
      <c r="AC728" s="21"/>
    </row>
    <row r="729" customFormat="false" ht="15" hidden="false" customHeight="false" outlineLevel="0" collapsed="false">
      <c r="A729" s="20"/>
      <c r="B729" s="21"/>
      <c r="C729" s="21"/>
      <c r="D729" s="21"/>
      <c r="E729" s="21"/>
      <c r="F729" s="21"/>
      <c r="G729" s="22"/>
      <c r="H729" s="21"/>
      <c r="I729" s="21"/>
      <c r="J729" s="21"/>
      <c r="K729" s="23"/>
      <c r="L729" s="24"/>
      <c r="M729" s="21"/>
      <c r="N729" s="21"/>
      <c r="O729" s="25"/>
      <c r="P729" s="26"/>
      <c r="Q729" s="27" t="str">
        <f aca="false">IF(A729="","",SUMIF(Expenses!$B$2:$B$3000,A729,Expenses!$E$2:$E$3000))</f>
        <v/>
      </c>
      <c r="R729" s="27" t="str">
        <f aca="false">IF(A729="","",N(P729)+N(Q729))</f>
        <v/>
      </c>
      <c r="S729" s="28"/>
      <c r="T729" s="25"/>
      <c r="U729" s="26"/>
      <c r="V729" s="26"/>
      <c r="W729" s="26"/>
      <c r="X729" s="27" t="str">
        <f aca="false">IF(B729&lt;&gt;"SOLD","",IF(C729="Consignment",N(W729)-R729,N(U729)-R729-N(V729)))</f>
        <v/>
      </c>
      <c r="Y729" s="29" t="str">
        <f aca="false">IF(OR(X729="",N(R729)=0),"",X729/R729)</f>
        <v/>
      </c>
      <c r="Z729" s="30" t="str">
        <f aca="true">IF(O729="","",IF(T729="",TODAY(),T729)-O729)</f>
        <v/>
      </c>
      <c r="AA729" s="31" t="str">
        <f aca="false">IF(T729="","",TEXT(T729,"YYYY-MM"))</f>
        <v/>
      </c>
      <c r="AB729" s="27" t="str">
        <f aca="false">IF(X729="","",X729/2)</f>
        <v/>
      </c>
      <c r="AC729" s="21"/>
    </row>
    <row r="730" customFormat="false" ht="15" hidden="false" customHeight="false" outlineLevel="0" collapsed="false">
      <c r="A730" s="20"/>
      <c r="B730" s="21"/>
      <c r="C730" s="21"/>
      <c r="D730" s="21"/>
      <c r="E730" s="21"/>
      <c r="F730" s="21"/>
      <c r="G730" s="22"/>
      <c r="H730" s="21"/>
      <c r="I730" s="21"/>
      <c r="J730" s="21"/>
      <c r="K730" s="23"/>
      <c r="L730" s="24"/>
      <c r="M730" s="21"/>
      <c r="N730" s="21"/>
      <c r="O730" s="25"/>
      <c r="P730" s="26"/>
      <c r="Q730" s="27" t="str">
        <f aca="false">IF(A730="","",SUMIF(Expenses!$B$2:$B$3000,A730,Expenses!$E$2:$E$3000))</f>
        <v/>
      </c>
      <c r="R730" s="27" t="str">
        <f aca="false">IF(A730="","",N(P730)+N(Q730))</f>
        <v/>
      </c>
      <c r="S730" s="28"/>
      <c r="T730" s="25"/>
      <c r="U730" s="26"/>
      <c r="V730" s="26"/>
      <c r="W730" s="26"/>
      <c r="X730" s="27" t="str">
        <f aca="false">IF(B730&lt;&gt;"SOLD","",IF(C730="Consignment",N(W730)-R730,N(U730)-R730-N(V730)))</f>
        <v/>
      </c>
      <c r="Y730" s="29" t="str">
        <f aca="false">IF(OR(X730="",N(R730)=0),"",X730/R730)</f>
        <v/>
      </c>
      <c r="Z730" s="30" t="str">
        <f aca="true">IF(O730="","",IF(T730="",TODAY(),T730)-O730)</f>
        <v/>
      </c>
      <c r="AA730" s="31" t="str">
        <f aca="false">IF(T730="","",TEXT(T730,"YYYY-MM"))</f>
        <v/>
      </c>
      <c r="AB730" s="27" t="str">
        <f aca="false">IF(X730="","",X730/2)</f>
        <v/>
      </c>
      <c r="AC730" s="21"/>
    </row>
    <row r="731" customFormat="false" ht="15" hidden="false" customHeight="false" outlineLevel="0" collapsed="false">
      <c r="A731" s="20"/>
      <c r="B731" s="21"/>
      <c r="C731" s="21"/>
      <c r="D731" s="21"/>
      <c r="E731" s="21"/>
      <c r="F731" s="21"/>
      <c r="G731" s="22"/>
      <c r="H731" s="21"/>
      <c r="I731" s="21"/>
      <c r="J731" s="21"/>
      <c r="K731" s="23"/>
      <c r="L731" s="24"/>
      <c r="M731" s="21"/>
      <c r="N731" s="21"/>
      <c r="O731" s="25"/>
      <c r="P731" s="26"/>
      <c r="Q731" s="27" t="str">
        <f aca="false">IF(A731="","",SUMIF(Expenses!$B$2:$B$3000,A731,Expenses!$E$2:$E$3000))</f>
        <v/>
      </c>
      <c r="R731" s="27" t="str">
        <f aca="false">IF(A731="","",N(P731)+N(Q731))</f>
        <v/>
      </c>
      <c r="S731" s="28"/>
      <c r="T731" s="25"/>
      <c r="U731" s="26"/>
      <c r="V731" s="26"/>
      <c r="W731" s="26"/>
      <c r="X731" s="27" t="str">
        <f aca="false">IF(B731&lt;&gt;"SOLD","",IF(C731="Consignment",N(W731)-R731,N(U731)-R731-N(V731)))</f>
        <v/>
      </c>
      <c r="Y731" s="29" t="str">
        <f aca="false">IF(OR(X731="",N(R731)=0),"",X731/R731)</f>
        <v/>
      </c>
      <c r="Z731" s="30" t="str">
        <f aca="true">IF(O731="","",IF(T731="",TODAY(),T731)-O731)</f>
        <v/>
      </c>
      <c r="AA731" s="31" t="str">
        <f aca="false">IF(T731="","",TEXT(T731,"YYYY-MM"))</f>
        <v/>
      </c>
      <c r="AB731" s="27" t="str">
        <f aca="false">IF(X731="","",X731/2)</f>
        <v/>
      </c>
      <c r="AC731" s="21"/>
    </row>
    <row r="732" customFormat="false" ht="15" hidden="false" customHeight="false" outlineLevel="0" collapsed="false">
      <c r="A732" s="20"/>
      <c r="B732" s="21"/>
      <c r="C732" s="21"/>
      <c r="D732" s="21"/>
      <c r="E732" s="21"/>
      <c r="F732" s="21"/>
      <c r="G732" s="22"/>
      <c r="H732" s="21"/>
      <c r="I732" s="21"/>
      <c r="J732" s="21"/>
      <c r="K732" s="23"/>
      <c r="L732" s="24"/>
      <c r="M732" s="21"/>
      <c r="N732" s="21"/>
      <c r="O732" s="25"/>
      <c r="P732" s="26"/>
      <c r="Q732" s="27" t="str">
        <f aca="false">IF(A732="","",SUMIF(Expenses!$B$2:$B$3000,A732,Expenses!$E$2:$E$3000))</f>
        <v/>
      </c>
      <c r="R732" s="27" t="str">
        <f aca="false">IF(A732="","",N(P732)+N(Q732))</f>
        <v/>
      </c>
      <c r="S732" s="28"/>
      <c r="T732" s="25"/>
      <c r="U732" s="26"/>
      <c r="V732" s="26"/>
      <c r="W732" s="26"/>
      <c r="X732" s="27" t="str">
        <f aca="false">IF(B732&lt;&gt;"SOLD","",IF(C732="Consignment",N(W732)-R732,N(U732)-R732-N(V732)))</f>
        <v/>
      </c>
      <c r="Y732" s="29" t="str">
        <f aca="false">IF(OR(X732="",N(R732)=0),"",X732/R732)</f>
        <v/>
      </c>
      <c r="Z732" s="30" t="str">
        <f aca="true">IF(O732="","",IF(T732="",TODAY(),T732)-O732)</f>
        <v/>
      </c>
      <c r="AA732" s="31" t="str">
        <f aca="false">IF(T732="","",TEXT(T732,"YYYY-MM"))</f>
        <v/>
      </c>
      <c r="AB732" s="27" t="str">
        <f aca="false">IF(X732="","",X732/2)</f>
        <v/>
      </c>
      <c r="AC732" s="21"/>
    </row>
    <row r="733" customFormat="false" ht="15" hidden="false" customHeight="false" outlineLevel="0" collapsed="false">
      <c r="A733" s="20"/>
      <c r="B733" s="21"/>
      <c r="C733" s="21"/>
      <c r="D733" s="21"/>
      <c r="E733" s="21"/>
      <c r="F733" s="21"/>
      <c r="G733" s="22"/>
      <c r="H733" s="21"/>
      <c r="I733" s="21"/>
      <c r="J733" s="21"/>
      <c r="K733" s="23"/>
      <c r="L733" s="24"/>
      <c r="M733" s="21"/>
      <c r="N733" s="21"/>
      <c r="O733" s="25"/>
      <c r="P733" s="26"/>
      <c r="Q733" s="27" t="str">
        <f aca="false">IF(A733="","",SUMIF(Expenses!$B$2:$B$3000,A733,Expenses!$E$2:$E$3000))</f>
        <v/>
      </c>
      <c r="R733" s="27" t="str">
        <f aca="false">IF(A733="","",N(P733)+N(Q733))</f>
        <v/>
      </c>
      <c r="S733" s="28"/>
      <c r="T733" s="25"/>
      <c r="U733" s="26"/>
      <c r="V733" s="26"/>
      <c r="W733" s="26"/>
      <c r="X733" s="27" t="str">
        <f aca="false">IF(B733&lt;&gt;"SOLD","",IF(C733="Consignment",N(W733)-R733,N(U733)-R733-N(V733)))</f>
        <v/>
      </c>
      <c r="Y733" s="29" t="str">
        <f aca="false">IF(OR(X733="",N(R733)=0),"",X733/R733)</f>
        <v/>
      </c>
      <c r="Z733" s="30" t="str">
        <f aca="true">IF(O733="","",IF(T733="",TODAY(),T733)-O733)</f>
        <v/>
      </c>
      <c r="AA733" s="31" t="str">
        <f aca="false">IF(T733="","",TEXT(T733,"YYYY-MM"))</f>
        <v/>
      </c>
      <c r="AB733" s="27" t="str">
        <f aca="false">IF(X733="","",X733/2)</f>
        <v/>
      </c>
      <c r="AC733" s="21"/>
    </row>
    <row r="734" customFormat="false" ht="15" hidden="false" customHeight="false" outlineLevel="0" collapsed="false">
      <c r="A734" s="20"/>
      <c r="B734" s="21"/>
      <c r="C734" s="21"/>
      <c r="D734" s="21"/>
      <c r="E734" s="21"/>
      <c r="F734" s="21"/>
      <c r="G734" s="22"/>
      <c r="H734" s="21"/>
      <c r="I734" s="21"/>
      <c r="J734" s="21"/>
      <c r="K734" s="23"/>
      <c r="L734" s="24"/>
      <c r="M734" s="21"/>
      <c r="N734" s="21"/>
      <c r="O734" s="25"/>
      <c r="P734" s="26"/>
      <c r="Q734" s="27" t="str">
        <f aca="false">IF(A734="","",SUMIF(Expenses!$B$2:$B$3000,A734,Expenses!$E$2:$E$3000))</f>
        <v/>
      </c>
      <c r="R734" s="27" t="str">
        <f aca="false">IF(A734="","",N(P734)+N(Q734))</f>
        <v/>
      </c>
      <c r="S734" s="28"/>
      <c r="T734" s="25"/>
      <c r="U734" s="26"/>
      <c r="V734" s="26"/>
      <c r="W734" s="26"/>
      <c r="X734" s="27" t="str">
        <f aca="false">IF(B734&lt;&gt;"SOLD","",IF(C734="Consignment",N(W734)-R734,N(U734)-R734-N(V734)))</f>
        <v/>
      </c>
      <c r="Y734" s="29" t="str">
        <f aca="false">IF(OR(X734="",N(R734)=0),"",X734/R734)</f>
        <v/>
      </c>
      <c r="Z734" s="30" t="str">
        <f aca="true">IF(O734="","",IF(T734="",TODAY(),T734)-O734)</f>
        <v/>
      </c>
      <c r="AA734" s="31" t="str">
        <f aca="false">IF(T734="","",TEXT(T734,"YYYY-MM"))</f>
        <v/>
      </c>
      <c r="AB734" s="27" t="str">
        <f aca="false">IF(X734="","",X734/2)</f>
        <v/>
      </c>
      <c r="AC734" s="21"/>
    </row>
    <row r="735" customFormat="false" ht="15" hidden="false" customHeight="false" outlineLevel="0" collapsed="false">
      <c r="A735" s="20"/>
      <c r="B735" s="21"/>
      <c r="C735" s="21"/>
      <c r="D735" s="21"/>
      <c r="E735" s="21"/>
      <c r="F735" s="21"/>
      <c r="G735" s="22"/>
      <c r="H735" s="21"/>
      <c r="I735" s="21"/>
      <c r="J735" s="21"/>
      <c r="K735" s="23"/>
      <c r="L735" s="24"/>
      <c r="M735" s="21"/>
      <c r="N735" s="21"/>
      <c r="O735" s="25"/>
      <c r="P735" s="26"/>
      <c r="Q735" s="27" t="str">
        <f aca="false">IF(A735="","",SUMIF(Expenses!$B$2:$B$3000,A735,Expenses!$E$2:$E$3000))</f>
        <v/>
      </c>
      <c r="R735" s="27" t="str">
        <f aca="false">IF(A735="","",N(P735)+N(Q735))</f>
        <v/>
      </c>
      <c r="S735" s="28"/>
      <c r="T735" s="25"/>
      <c r="U735" s="26"/>
      <c r="V735" s="26"/>
      <c r="W735" s="26"/>
      <c r="X735" s="27" t="str">
        <f aca="false">IF(B735&lt;&gt;"SOLD","",IF(C735="Consignment",N(W735)-R735,N(U735)-R735-N(V735)))</f>
        <v/>
      </c>
      <c r="Y735" s="29" t="str">
        <f aca="false">IF(OR(X735="",N(R735)=0),"",X735/R735)</f>
        <v/>
      </c>
      <c r="Z735" s="30" t="str">
        <f aca="true">IF(O735="","",IF(T735="",TODAY(),T735)-O735)</f>
        <v/>
      </c>
      <c r="AA735" s="31" t="str">
        <f aca="false">IF(T735="","",TEXT(T735,"YYYY-MM"))</f>
        <v/>
      </c>
      <c r="AB735" s="27" t="str">
        <f aca="false">IF(X735="","",X735/2)</f>
        <v/>
      </c>
      <c r="AC735" s="21"/>
    </row>
    <row r="736" customFormat="false" ht="15" hidden="false" customHeight="false" outlineLevel="0" collapsed="false">
      <c r="A736" s="20"/>
      <c r="B736" s="21"/>
      <c r="C736" s="21"/>
      <c r="D736" s="21"/>
      <c r="E736" s="21"/>
      <c r="F736" s="21"/>
      <c r="G736" s="22"/>
      <c r="H736" s="21"/>
      <c r="I736" s="21"/>
      <c r="J736" s="21"/>
      <c r="K736" s="23"/>
      <c r="L736" s="24"/>
      <c r="M736" s="21"/>
      <c r="N736" s="21"/>
      <c r="O736" s="25"/>
      <c r="P736" s="26"/>
      <c r="Q736" s="27" t="str">
        <f aca="false">IF(A736="","",SUMIF(Expenses!$B$2:$B$3000,A736,Expenses!$E$2:$E$3000))</f>
        <v/>
      </c>
      <c r="R736" s="27" t="str">
        <f aca="false">IF(A736="","",N(P736)+N(Q736))</f>
        <v/>
      </c>
      <c r="S736" s="28"/>
      <c r="T736" s="25"/>
      <c r="U736" s="26"/>
      <c r="V736" s="26"/>
      <c r="W736" s="26"/>
      <c r="X736" s="27" t="str">
        <f aca="false">IF(B736&lt;&gt;"SOLD","",IF(C736="Consignment",N(W736)-R736,N(U736)-R736-N(V736)))</f>
        <v/>
      </c>
      <c r="Y736" s="29" t="str">
        <f aca="false">IF(OR(X736="",N(R736)=0),"",X736/R736)</f>
        <v/>
      </c>
      <c r="Z736" s="30" t="str">
        <f aca="true">IF(O736="","",IF(T736="",TODAY(),T736)-O736)</f>
        <v/>
      </c>
      <c r="AA736" s="31" t="str">
        <f aca="false">IF(T736="","",TEXT(T736,"YYYY-MM"))</f>
        <v/>
      </c>
      <c r="AB736" s="27" t="str">
        <f aca="false">IF(X736="","",X736/2)</f>
        <v/>
      </c>
      <c r="AC736" s="21"/>
    </row>
    <row r="737" customFormat="false" ht="15" hidden="false" customHeight="false" outlineLevel="0" collapsed="false">
      <c r="A737" s="20"/>
      <c r="B737" s="21"/>
      <c r="C737" s="21"/>
      <c r="D737" s="21"/>
      <c r="E737" s="21"/>
      <c r="F737" s="21"/>
      <c r="G737" s="22"/>
      <c r="H737" s="21"/>
      <c r="I737" s="21"/>
      <c r="J737" s="21"/>
      <c r="K737" s="23"/>
      <c r="L737" s="24"/>
      <c r="M737" s="21"/>
      <c r="N737" s="21"/>
      <c r="O737" s="25"/>
      <c r="P737" s="26"/>
      <c r="Q737" s="27" t="str">
        <f aca="false">IF(A737="","",SUMIF(Expenses!$B$2:$B$3000,A737,Expenses!$E$2:$E$3000))</f>
        <v/>
      </c>
      <c r="R737" s="27" t="str">
        <f aca="false">IF(A737="","",N(P737)+N(Q737))</f>
        <v/>
      </c>
      <c r="S737" s="28"/>
      <c r="T737" s="25"/>
      <c r="U737" s="26"/>
      <c r="V737" s="26"/>
      <c r="W737" s="26"/>
      <c r="X737" s="27" t="str">
        <f aca="false">IF(B737&lt;&gt;"SOLD","",IF(C737="Consignment",N(W737)-R737,N(U737)-R737-N(V737)))</f>
        <v/>
      </c>
      <c r="Y737" s="29" t="str">
        <f aca="false">IF(OR(X737="",N(R737)=0),"",X737/R737)</f>
        <v/>
      </c>
      <c r="Z737" s="30" t="str">
        <f aca="true">IF(O737="","",IF(T737="",TODAY(),T737)-O737)</f>
        <v/>
      </c>
      <c r="AA737" s="31" t="str">
        <f aca="false">IF(T737="","",TEXT(T737,"YYYY-MM"))</f>
        <v/>
      </c>
      <c r="AB737" s="27" t="str">
        <f aca="false">IF(X737="","",X737/2)</f>
        <v/>
      </c>
      <c r="AC737" s="21"/>
    </row>
    <row r="738" customFormat="false" ht="15" hidden="false" customHeight="false" outlineLevel="0" collapsed="false">
      <c r="A738" s="20"/>
      <c r="B738" s="21"/>
      <c r="C738" s="21"/>
      <c r="D738" s="21"/>
      <c r="E738" s="21"/>
      <c r="F738" s="21"/>
      <c r="G738" s="22"/>
      <c r="H738" s="21"/>
      <c r="I738" s="21"/>
      <c r="J738" s="21"/>
      <c r="K738" s="23"/>
      <c r="L738" s="24"/>
      <c r="M738" s="21"/>
      <c r="N738" s="21"/>
      <c r="O738" s="25"/>
      <c r="P738" s="26"/>
      <c r="Q738" s="27" t="str">
        <f aca="false">IF(A738="","",SUMIF(Expenses!$B$2:$B$3000,A738,Expenses!$E$2:$E$3000))</f>
        <v/>
      </c>
      <c r="R738" s="27" t="str">
        <f aca="false">IF(A738="","",N(P738)+N(Q738))</f>
        <v/>
      </c>
      <c r="S738" s="28"/>
      <c r="T738" s="25"/>
      <c r="U738" s="26"/>
      <c r="V738" s="26"/>
      <c r="W738" s="26"/>
      <c r="X738" s="27" t="str">
        <f aca="false">IF(B738&lt;&gt;"SOLD","",IF(C738="Consignment",N(W738)-R738,N(U738)-R738-N(V738)))</f>
        <v/>
      </c>
      <c r="Y738" s="29" t="str">
        <f aca="false">IF(OR(X738="",N(R738)=0),"",X738/R738)</f>
        <v/>
      </c>
      <c r="Z738" s="30" t="str">
        <f aca="true">IF(O738="","",IF(T738="",TODAY(),T738)-O738)</f>
        <v/>
      </c>
      <c r="AA738" s="31" t="str">
        <f aca="false">IF(T738="","",TEXT(T738,"YYYY-MM"))</f>
        <v/>
      </c>
      <c r="AB738" s="27" t="str">
        <f aca="false">IF(X738="","",X738/2)</f>
        <v/>
      </c>
      <c r="AC738" s="21"/>
    </row>
    <row r="739" customFormat="false" ht="15" hidden="false" customHeight="false" outlineLevel="0" collapsed="false">
      <c r="A739" s="20"/>
      <c r="B739" s="21"/>
      <c r="C739" s="21"/>
      <c r="D739" s="21"/>
      <c r="E739" s="21"/>
      <c r="F739" s="21"/>
      <c r="G739" s="22"/>
      <c r="H739" s="21"/>
      <c r="I739" s="21"/>
      <c r="J739" s="21"/>
      <c r="K739" s="23"/>
      <c r="L739" s="24"/>
      <c r="M739" s="21"/>
      <c r="N739" s="21"/>
      <c r="O739" s="25"/>
      <c r="P739" s="26"/>
      <c r="Q739" s="27" t="str">
        <f aca="false">IF(A739="","",SUMIF(Expenses!$B$2:$B$3000,A739,Expenses!$E$2:$E$3000))</f>
        <v/>
      </c>
      <c r="R739" s="27" t="str">
        <f aca="false">IF(A739="","",N(P739)+N(Q739))</f>
        <v/>
      </c>
      <c r="S739" s="28"/>
      <c r="T739" s="25"/>
      <c r="U739" s="26"/>
      <c r="V739" s="26"/>
      <c r="W739" s="26"/>
      <c r="X739" s="27" t="str">
        <f aca="false">IF(B739&lt;&gt;"SOLD","",IF(C739="Consignment",N(W739)-R739,N(U739)-R739-N(V739)))</f>
        <v/>
      </c>
      <c r="Y739" s="29" t="str">
        <f aca="false">IF(OR(X739="",N(R739)=0),"",X739/R739)</f>
        <v/>
      </c>
      <c r="Z739" s="30" t="str">
        <f aca="true">IF(O739="","",IF(T739="",TODAY(),T739)-O739)</f>
        <v/>
      </c>
      <c r="AA739" s="31" t="str">
        <f aca="false">IF(T739="","",TEXT(T739,"YYYY-MM"))</f>
        <v/>
      </c>
      <c r="AB739" s="27" t="str">
        <f aca="false">IF(X739="","",X739/2)</f>
        <v/>
      </c>
      <c r="AC739" s="21"/>
    </row>
    <row r="740" customFormat="false" ht="15" hidden="false" customHeight="false" outlineLevel="0" collapsed="false">
      <c r="A740" s="20"/>
      <c r="B740" s="21"/>
      <c r="C740" s="21"/>
      <c r="D740" s="21"/>
      <c r="E740" s="21"/>
      <c r="F740" s="21"/>
      <c r="G740" s="22"/>
      <c r="H740" s="21"/>
      <c r="I740" s="21"/>
      <c r="J740" s="21"/>
      <c r="K740" s="23"/>
      <c r="L740" s="24"/>
      <c r="M740" s="21"/>
      <c r="N740" s="21"/>
      <c r="O740" s="25"/>
      <c r="P740" s="26"/>
      <c r="Q740" s="27" t="str">
        <f aca="false">IF(A740="","",SUMIF(Expenses!$B$2:$B$3000,A740,Expenses!$E$2:$E$3000))</f>
        <v/>
      </c>
      <c r="R740" s="27" t="str">
        <f aca="false">IF(A740="","",N(P740)+N(Q740))</f>
        <v/>
      </c>
      <c r="S740" s="28"/>
      <c r="T740" s="25"/>
      <c r="U740" s="26"/>
      <c r="V740" s="26"/>
      <c r="W740" s="26"/>
      <c r="X740" s="27" t="str">
        <f aca="false">IF(B740&lt;&gt;"SOLD","",IF(C740="Consignment",N(W740)-R740,N(U740)-R740-N(V740)))</f>
        <v/>
      </c>
      <c r="Y740" s="29" t="str">
        <f aca="false">IF(OR(X740="",N(R740)=0),"",X740/R740)</f>
        <v/>
      </c>
      <c r="Z740" s="30" t="str">
        <f aca="true">IF(O740="","",IF(T740="",TODAY(),T740)-O740)</f>
        <v/>
      </c>
      <c r="AA740" s="31" t="str">
        <f aca="false">IF(T740="","",TEXT(T740,"YYYY-MM"))</f>
        <v/>
      </c>
      <c r="AB740" s="27" t="str">
        <f aca="false">IF(X740="","",X740/2)</f>
        <v/>
      </c>
      <c r="AC740" s="21"/>
    </row>
    <row r="741" customFormat="false" ht="15" hidden="false" customHeight="false" outlineLevel="0" collapsed="false">
      <c r="A741" s="20"/>
      <c r="B741" s="21"/>
      <c r="C741" s="21"/>
      <c r="D741" s="21"/>
      <c r="E741" s="21"/>
      <c r="F741" s="21"/>
      <c r="G741" s="22"/>
      <c r="H741" s="21"/>
      <c r="I741" s="21"/>
      <c r="J741" s="21"/>
      <c r="K741" s="23"/>
      <c r="L741" s="24"/>
      <c r="M741" s="21"/>
      <c r="N741" s="21"/>
      <c r="O741" s="25"/>
      <c r="P741" s="26"/>
      <c r="Q741" s="27" t="str">
        <f aca="false">IF(A741="","",SUMIF(Expenses!$B$2:$B$3000,A741,Expenses!$E$2:$E$3000))</f>
        <v/>
      </c>
      <c r="R741" s="27" t="str">
        <f aca="false">IF(A741="","",N(P741)+N(Q741))</f>
        <v/>
      </c>
      <c r="S741" s="28"/>
      <c r="T741" s="25"/>
      <c r="U741" s="26"/>
      <c r="V741" s="26"/>
      <c r="W741" s="26"/>
      <c r="X741" s="27" t="str">
        <f aca="false">IF(B741&lt;&gt;"SOLD","",IF(C741="Consignment",N(W741)-R741,N(U741)-R741-N(V741)))</f>
        <v/>
      </c>
      <c r="Y741" s="29" t="str">
        <f aca="false">IF(OR(X741="",N(R741)=0),"",X741/R741)</f>
        <v/>
      </c>
      <c r="Z741" s="30" t="str">
        <f aca="true">IF(O741="","",IF(T741="",TODAY(),T741)-O741)</f>
        <v/>
      </c>
      <c r="AA741" s="31" t="str">
        <f aca="false">IF(T741="","",TEXT(T741,"YYYY-MM"))</f>
        <v/>
      </c>
      <c r="AB741" s="27" t="str">
        <f aca="false">IF(X741="","",X741/2)</f>
        <v/>
      </c>
      <c r="AC741" s="21"/>
    </row>
    <row r="742" customFormat="false" ht="15" hidden="false" customHeight="false" outlineLevel="0" collapsed="false">
      <c r="A742" s="20"/>
      <c r="B742" s="21"/>
      <c r="C742" s="21"/>
      <c r="D742" s="21"/>
      <c r="E742" s="21"/>
      <c r="F742" s="21"/>
      <c r="G742" s="22"/>
      <c r="H742" s="21"/>
      <c r="I742" s="21"/>
      <c r="J742" s="21"/>
      <c r="K742" s="23"/>
      <c r="L742" s="24"/>
      <c r="M742" s="21"/>
      <c r="N742" s="21"/>
      <c r="O742" s="25"/>
      <c r="P742" s="26"/>
      <c r="Q742" s="27" t="str">
        <f aca="false">IF(A742="","",SUMIF(Expenses!$B$2:$B$3000,A742,Expenses!$E$2:$E$3000))</f>
        <v/>
      </c>
      <c r="R742" s="27" t="str">
        <f aca="false">IF(A742="","",N(P742)+N(Q742))</f>
        <v/>
      </c>
      <c r="S742" s="28"/>
      <c r="T742" s="25"/>
      <c r="U742" s="26"/>
      <c r="V742" s="26"/>
      <c r="W742" s="26"/>
      <c r="X742" s="27" t="str">
        <f aca="false">IF(B742&lt;&gt;"SOLD","",IF(C742="Consignment",N(W742)-R742,N(U742)-R742-N(V742)))</f>
        <v/>
      </c>
      <c r="Y742" s="29" t="str">
        <f aca="false">IF(OR(X742="",N(R742)=0),"",X742/R742)</f>
        <v/>
      </c>
      <c r="Z742" s="30" t="str">
        <f aca="true">IF(O742="","",IF(T742="",TODAY(),T742)-O742)</f>
        <v/>
      </c>
      <c r="AA742" s="31" t="str">
        <f aca="false">IF(T742="","",TEXT(T742,"YYYY-MM"))</f>
        <v/>
      </c>
      <c r="AB742" s="27" t="str">
        <f aca="false">IF(X742="","",X742/2)</f>
        <v/>
      </c>
      <c r="AC742" s="21"/>
    </row>
    <row r="743" customFormat="false" ht="15" hidden="false" customHeight="false" outlineLevel="0" collapsed="false">
      <c r="A743" s="20"/>
      <c r="B743" s="21"/>
      <c r="C743" s="21"/>
      <c r="D743" s="21"/>
      <c r="E743" s="21"/>
      <c r="F743" s="21"/>
      <c r="G743" s="22"/>
      <c r="H743" s="21"/>
      <c r="I743" s="21"/>
      <c r="J743" s="21"/>
      <c r="K743" s="23"/>
      <c r="L743" s="24"/>
      <c r="M743" s="21"/>
      <c r="N743" s="21"/>
      <c r="O743" s="25"/>
      <c r="P743" s="26"/>
      <c r="Q743" s="27" t="str">
        <f aca="false">IF(A743="","",SUMIF(Expenses!$B$2:$B$3000,A743,Expenses!$E$2:$E$3000))</f>
        <v/>
      </c>
      <c r="R743" s="27" t="str">
        <f aca="false">IF(A743="","",N(P743)+N(Q743))</f>
        <v/>
      </c>
      <c r="S743" s="28"/>
      <c r="T743" s="25"/>
      <c r="U743" s="26"/>
      <c r="V743" s="26"/>
      <c r="W743" s="26"/>
      <c r="X743" s="27" t="str">
        <f aca="false">IF(B743&lt;&gt;"SOLD","",IF(C743="Consignment",N(W743)-R743,N(U743)-R743-N(V743)))</f>
        <v/>
      </c>
      <c r="Y743" s="29" t="str">
        <f aca="false">IF(OR(X743="",N(R743)=0),"",X743/R743)</f>
        <v/>
      </c>
      <c r="Z743" s="30" t="str">
        <f aca="true">IF(O743="","",IF(T743="",TODAY(),T743)-O743)</f>
        <v/>
      </c>
      <c r="AA743" s="31" t="str">
        <f aca="false">IF(T743="","",TEXT(T743,"YYYY-MM"))</f>
        <v/>
      </c>
      <c r="AB743" s="27" t="str">
        <f aca="false">IF(X743="","",X743/2)</f>
        <v/>
      </c>
      <c r="AC743" s="21"/>
    </row>
    <row r="744" customFormat="false" ht="15" hidden="false" customHeight="false" outlineLevel="0" collapsed="false">
      <c r="A744" s="20"/>
      <c r="B744" s="21"/>
      <c r="C744" s="21"/>
      <c r="D744" s="21"/>
      <c r="E744" s="21"/>
      <c r="F744" s="21"/>
      <c r="G744" s="22"/>
      <c r="H744" s="21"/>
      <c r="I744" s="21"/>
      <c r="J744" s="21"/>
      <c r="K744" s="23"/>
      <c r="L744" s="24"/>
      <c r="M744" s="21"/>
      <c r="N744" s="21"/>
      <c r="O744" s="25"/>
      <c r="P744" s="26"/>
      <c r="Q744" s="27" t="str">
        <f aca="false">IF(A744="","",SUMIF(Expenses!$B$2:$B$3000,A744,Expenses!$E$2:$E$3000))</f>
        <v/>
      </c>
      <c r="R744" s="27" t="str">
        <f aca="false">IF(A744="","",N(P744)+N(Q744))</f>
        <v/>
      </c>
      <c r="S744" s="28"/>
      <c r="T744" s="25"/>
      <c r="U744" s="26"/>
      <c r="V744" s="26"/>
      <c r="W744" s="26"/>
      <c r="X744" s="27" t="str">
        <f aca="false">IF(B744&lt;&gt;"SOLD","",IF(C744="Consignment",N(W744)-R744,N(U744)-R744-N(V744)))</f>
        <v/>
      </c>
      <c r="Y744" s="29" t="str">
        <f aca="false">IF(OR(X744="",N(R744)=0),"",X744/R744)</f>
        <v/>
      </c>
      <c r="Z744" s="30" t="str">
        <f aca="true">IF(O744="","",IF(T744="",TODAY(),T744)-O744)</f>
        <v/>
      </c>
      <c r="AA744" s="31" t="str">
        <f aca="false">IF(T744="","",TEXT(T744,"YYYY-MM"))</f>
        <v/>
      </c>
      <c r="AB744" s="27" t="str">
        <f aca="false">IF(X744="","",X744/2)</f>
        <v/>
      </c>
      <c r="AC744" s="21"/>
    </row>
    <row r="745" customFormat="false" ht="15" hidden="false" customHeight="false" outlineLevel="0" collapsed="false">
      <c r="A745" s="20"/>
      <c r="B745" s="21"/>
      <c r="C745" s="21"/>
      <c r="D745" s="21"/>
      <c r="E745" s="21"/>
      <c r="F745" s="21"/>
      <c r="G745" s="22"/>
      <c r="H745" s="21"/>
      <c r="I745" s="21"/>
      <c r="J745" s="21"/>
      <c r="K745" s="23"/>
      <c r="L745" s="24"/>
      <c r="M745" s="21"/>
      <c r="N745" s="21"/>
      <c r="O745" s="25"/>
      <c r="P745" s="26"/>
      <c r="Q745" s="27" t="str">
        <f aca="false">IF(A745="","",SUMIF(Expenses!$B$2:$B$3000,A745,Expenses!$E$2:$E$3000))</f>
        <v/>
      </c>
      <c r="R745" s="27" t="str">
        <f aca="false">IF(A745="","",N(P745)+N(Q745))</f>
        <v/>
      </c>
      <c r="S745" s="28"/>
      <c r="T745" s="25"/>
      <c r="U745" s="26"/>
      <c r="V745" s="26"/>
      <c r="W745" s="26"/>
      <c r="X745" s="27" t="str">
        <f aca="false">IF(B745&lt;&gt;"SOLD","",IF(C745="Consignment",N(W745)-R745,N(U745)-R745-N(V745)))</f>
        <v/>
      </c>
      <c r="Y745" s="29" t="str">
        <f aca="false">IF(OR(X745="",N(R745)=0),"",X745/R745)</f>
        <v/>
      </c>
      <c r="Z745" s="30" t="str">
        <f aca="true">IF(O745="","",IF(T745="",TODAY(),T745)-O745)</f>
        <v/>
      </c>
      <c r="AA745" s="31" t="str">
        <f aca="false">IF(T745="","",TEXT(T745,"YYYY-MM"))</f>
        <v/>
      </c>
      <c r="AB745" s="27" t="str">
        <f aca="false">IF(X745="","",X745/2)</f>
        <v/>
      </c>
      <c r="AC745" s="21"/>
    </row>
    <row r="746" customFormat="false" ht="15" hidden="false" customHeight="false" outlineLevel="0" collapsed="false">
      <c r="A746" s="20"/>
      <c r="B746" s="21"/>
      <c r="C746" s="21"/>
      <c r="D746" s="21"/>
      <c r="E746" s="21"/>
      <c r="F746" s="21"/>
      <c r="G746" s="22"/>
      <c r="H746" s="21"/>
      <c r="I746" s="21"/>
      <c r="J746" s="21"/>
      <c r="K746" s="23"/>
      <c r="L746" s="24"/>
      <c r="M746" s="21"/>
      <c r="N746" s="21"/>
      <c r="O746" s="25"/>
      <c r="P746" s="26"/>
      <c r="Q746" s="27" t="str">
        <f aca="false">IF(A746="","",SUMIF(Expenses!$B$2:$B$3000,A746,Expenses!$E$2:$E$3000))</f>
        <v/>
      </c>
      <c r="R746" s="27" t="str">
        <f aca="false">IF(A746="","",N(P746)+N(Q746))</f>
        <v/>
      </c>
      <c r="S746" s="28"/>
      <c r="T746" s="25"/>
      <c r="U746" s="26"/>
      <c r="V746" s="26"/>
      <c r="W746" s="26"/>
      <c r="X746" s="27" t="str">
        <f aca="false">IF(B746&lt;&gt;"SOLD","",IF(C746="Consignment",N(W746)-R746,N(U746)-R746-N(V746)))</f>
        <v/>
      </c>
      <c r="Y746" s="29" t="str">
        <f aca="false">IF(OR(X746="",N(R746)=0),"",X746/R746)</f>
        <v/>
      </c>
      <c r="Z746" s="30" t="str">
        <f aca="true">IF(O746="","",IF(T746="",TODAY(),T746)-O746)</f>
        <v/>
      </c>
      <c r="AA746" s="31" t="str">
        <f aca="false">IF(T746="","",TEXT(T746,"YYYY-MM"))</f>
        <v/>
      </c>
      <c r="AB746" s="27" t="str">
        <f aca="false">IF(X746="","",X746/2)</f>
        <v/>
      </c>
      <c r="AC746" s="21"/>
    </row>
    <row r="747" customFormat="false" ht="15" hidden="false" customHeight="false" outlineLevel="0" collapsed="false">
      <c r="A747" s="20"/>
      <c r="B747" s="21"/>
      <c r="C747" s="21"/>
      <c r="D747" s="21"/>
      <c r="E747" s="21"/>
      <c r="F747" s="21"/>
      <c r="G747" s="22"/>
      <c r="H747" s="21"/>
      <c r="I747" s="21"/>
      <c r="J747" s="21"/>
      <c r="K747" s="23"/>
      <c r="L747" s="24"/>
      <c r="M747" s="21"/>
      <c r="N747" s="21"/>
      <c r="O747" s="25"/>
      <c r="P747" s="26"/>
      <c r="Q747" s="27" t="str">
        <f aca="false">IF(A747="","",SUMIF(Expenses!$B$2:$B$3000,A747,Expenses!$E$2:$E$3000))</f>
        <v/>
      </c>
      <c r="R747" s="27" t="str">
        <f aca="false">IF(A747="","",N(P747)+N(Q747))</f>
        <v/>
      </c>
      <c r="S747" s="28"/>
      <c r="T747" s="25"/>
      <c r="U747" s="26"/>
      <c r="V747" s="26"/>
      <c r="W747" s="26"/>
      <c r="X747" s="27" t="str">
        <f aca="false">IF(B747&lt;&gt;"SOLD","",IF(C747="Consignment",N(W747)-R747,N(U747)-R747-N(V747)))</f>
        <v/>
      </c>
      <c r="Y747" s="29" t="str">
        <f aca="false">IF(OR(X747="",N(R747)=0),"",X747/R747)</f>
        <v/>
      </c>
      <c r="Z747" s="30" t="str">
        <f aca="true">IF(O747="","",IF(T747="",TODAY(),T747)-O747)</f>
        <v/>
      </c>
      <c r="AA747" s="31" t="str">
        <f aca="false">IF(T747="","",TEXT(T747,"YYYY-MM"))</f>
        <v/>
      </c>
      <c r="AB747" s="27" t="str">
        <f aca="false">IF(X747="","",X747/2)</f>
        <v/>
      </c>
      <c r="AC747" s="21"/>
    </row>
    <row r="748" customFormat="false" ht="15" hidden="false" customHeight="false" outlineLevel="0" collapsed="false">
      <c r="A748" s="20"/>
      <c r="B748" s="21"/>
      <c r="C748" s="21"/>
      <c r="D748" s="21"/>
      <c r="E748" s="21"/>
      <c r="F748" s="21"/>
      <c r="G748" s="22"/>
      <c r="H748" s="21"/>
      <c r="I748" s="21"/>
      <c r="J748" s="21"/>
      <c r="K748" s="23"/>
      <c r="L748" s="24"/>
      <c r="M748" s="21"/>
      <c r="N748" s="21"/>
      <c r="O748" s="25"/>
      <c r="P748" s="26"/>
      <c r="Q748" s="27" t="str">
        <f aca="false">IF(A748="","",SUMIF(Expenses!$B$2:$B$3000,A748,Expenses!$E$2:$E$3000))</f>
        <v/>
      </c>
      <c r="R748" s="27" t="str">
        <f aca="false">IF(A748="","",N(P748)+N(Q748))</f>
        <v/>
      </c>
      <c r="S748" s="28"/>
      <c r="T748" s="25"/>
      <c r="U748" s="26"/>
      <c r="V748" s="26"/>
      <c r="W748" s="26"/>
      <c r="X748" s="27" t="str">
        <f aca="false">IF(B748&lt;&gt;"SOLD","",IF(C748="Consignment",N(W748)-R748,N(U748)-R748-N(V748)))</f>
        <v/>
      </c>
      <c r="Y748" s="29" t="str">
        <f aca="false">IF(OR(X748="",N(R748)=0),"",X748/R748)</f>
        <v/>
      </c>
      <c r="Z748" s="30" t="str">
        <f aca="true">IF(O748="","",IF(T748="",TODAY(),T748)-O748)</f>
        <v/>
      </c>
      <c r="AA748" s="31" t="str">
        <f aca="false">IF(T748="","",TEXT(T748,"YYYY-MM"))</f>
        <v/>
      </c>
      <c r="AB748" s="27" t="str">
        <f aca="false">IF(X748="","",X748/2)</f>
        <v/>
      </c>
      <c r="AC748" s="21"/>
    </row>
    <row r="749" customFormat="false" ht="15" hidden="false" customHeight="false" outlineLevel="0" collapsed="false">
      <c r="A749" s="20"/>
      <c r="B749" s="21"/>
      <c r="C749" s="21"/>
      <c r="D749" s="21"/>
      <c r="E749" s="21"/>
      <c r="F749" s="21"/>
      <c r="G749" s="22"/>
      <c r="H749" s="21"/>
      <c r="I749" s="21"/>
      <c r="J749" s="21"/>
      <c r="K749" s="23"/>
      <c r="L749" s="24"/>
      <c r="M749" s="21"/>
      <c r="N749" s="21"/>
      <c r="O749" s="25"/>
      <c r="P749" s="26"/>
      <c r="Q749" s="27" t="str">
        <f aca="false">IF(A749="","",SUMIF(Expenses!$B$2:$B$3000,A749,Expenses!$E$2:$E$3000))</f>
        <v/>
      </c>
      <c r="R749" s="27" t="str">
        <f aca="false">IF(A749="","",N(P749)+N(Q749))</f>
        <v/>
      </c>
      <c r="S749" s="28"/>
      <c r="T749" s="25"/>
      <c r="U749" s="26"/>
      <c r="V749" s="26"/>
      <c r="W749" s="26"/>
      <c r="X749" s="27" t="str">
        <f aca="false">IF(B749&lt;&gt;"SOLD","",IF(C749="Consignment",N(W749)-R749,N(U749)-R749-N(V749)))</f>
        <v/>
      </c>
      <c r="Y749" s="29" t="str">
        <f aca="false">IF(OR(X749="",N(R749)=0),"",X749/R749)</f>
        <v/>
      </c>
      <c r="Z749" s="30" t="str">
        <f aca="true">IF(O749="","",IF(T749="",TODAY(),T749)-O749)</f>
        <v/>
      </c>
      <c r="AA749" s="31" t="str">
        <f aca="false">IF(T749="","",TEXT(T749,"YYYY-MM"))</f>
        <v/>
      </c>
      <c r="AB749" s="27" t="str">
        <f aca="false">IF(X749="","",X749/2)</f>
        <v/>
      </c>
      <c r="AC749" s="21"/>
    </row>
    <row r="750" customFormat="false" ht="15" hidden="false" customHeight="false" outlineLevel="0" collapsed="false">
      <c r="A750" s="20"/>
      <c r="B750" s="21"/>
      <c r="C750" s="21"/>
      <c r="D750" s="21"/>
      <c r="E750" s="21"/>
      <c r="F750" s="21"/>
      <c r="G750" s="22"/>
      <c r="H750" s="21"/>
      <c r="I750" s="21"/>
      <c r="J750" s="21"/>
      <c r="K750" s="23"/>
      <c r="L750" s="24"/>
      <c r="M750" s="21"/>
      <c r="N750" s="21"/>
      <c r="O750" s="25"/>
      <c r="P750" s="26"/>
      <c r="Q750" s="27" t="str">
        <f aca="false">IF(A750="","",SUMIF(Expenses!$B$2:$B$3000,A750,Expenses!$E$2:$E$3000))</f>
        <v/>
      </c>
      <c r="R750" s="27" t="str">
        <f aca="false">IF(A750="","",N(P750)+N(Q750))</f>
        <v/>
      </c>
      <c r="S750" s="28"/>
      <c r="T750" s="25"/>
      <c r="U750" s="26"/>
      <c r="V750" s="26"/>
      <c r="W750" s="26"/>
      <c r="X750" s="27" t="str">
        <f aca="false">IF(B750&lt;&gt;"SOLD","",IF(C750="Consignment",N(W750)-R750,N(U750)-R750-N(V750)))</f>
        <v/>
      </c>
      <c r="Y750" s="29" t="str">
        <f aca="false">IF(OR(X750="",N(R750)=0),"",X750/R750)</f>
        <v/>
      </c>
      <c r="Z750" s="30" t="str">
        <f aca="true">IF(O750="","",IF(T750="",TODAY(),T750)-O750)</f>
        <v/>
      </c>
      <c r="AA750" s="31" t="str">
        <f aca="false">IF(T750="","",TEXT(T750,"YYYY-MM"))</f>
        <v/>
      </c>
      <c r="AB750" s="27" t="str">
        <f aca="false">IF(X750="","",X750/2)</f>
        <v/>
      </c>
      <c r="AC750" s="21"/>
    </row>
    <row r="751" customFormat="false" ht="15" hidden="false" customHeight="false" outlineLevel="0" collapsed="false">
      <c r="A751" s="20"/>
      <c r="B751" s="21"/>
      <c r="C751" s="21"/>
      <c r="D751" s="21"/>
      <c r="E751" s="21"/>
      <c r="F751" s="21"/>
      <c r="G751" s="22"/>
      <c r="H751" s="21"/>
      <c r="I751" s="21"/>
      <c r="J751" s="21"/>
      <c r="K751" s="23"/>
      <c r="L751" s="24"/>
      <c r="M751" s="21"/>
      <c r="N751" s="21"/>
      <c r="O751" s="25"/>
      <c r="P751" s="26"/>
      <c r="Q751" s="27" t="str">
        <f aca="false">IF(A751="","",SUMIF(Expenses!$B$2:$B$3000,A751,Expenses!$E$2:$E$3000))</f>
        <v/>
      </c>
      <c r="R751" s="27" t="str">
        <f aca="false">IF(A751="","",N(P751)+N(Q751))</f>
        <v/>
      </c>
      <c r="S751" s="28"/>
      <c r="T751" s="25"/>
      <c r="U751" s="26"/>
      <c r="V751" s="26"/>
      <c r="W751" s="26"/>
      <c r="X751" s="27" t="str">
        <f aca="false">IF(B751&lt;&gt;"SOLD","",IF(C751="Consignment",N(W751)-R751,N(U751)-R751-N(V751)))</f>
        <v/>
      </c>
      <c r="Y751" s="29" t="str">
        <f aca="false">IF(OR(X751="",N(R751)=0),"",X751/R751)</f>
        <v/>
      </c>
      <c r="Z751" s="30" t="str">
        <f aca="true">IF(O751="","",IF(T751="",TODAY(),T751)-O751)</f>
        <v/>
      </c>
      <c r="AA751" s="31" t="str">
        <f aca="false">IF(T751="","",TEXT(T751,"YYYY-MM"))</f>
        <v/>
      </c>
      <c r="AB751" s="27" t="str">
        <f aca="false">IF(X751="","",X751/2)</f>
        <v/>
      </c>
      <c r="AC751" s="21"/>
    </row>
    <row r="752" customFormat="false" ht="15" hidden="false" customHeight="false" outlineLevel="0" collapsed="false">
      <c r="A752" s="20"/>
      <c r="B752" s="21"/>
      <c r="C752" s="21"/>
      <c r="D752" s="21"/>
      <c r="E752" s="21"/>
      <c r="F752" s="21"/>
      <c r="G752" s="22"/>
      <c r="H752" s="21"/>
      <c r="I752" s="21"/>
      <c r="J752" s="21"/>
      <c r="K752" s="23"/>
      <c r="L752" s="24"/>
      <c r="M752" s="21"/>
      <c r="N752" s="21"/>
      <c r="O752" s="25"/>
      <c r="P752" s="26"/>
      <c r="Q752" s="27" t="str">
        <f aca="false">IF(A752="","",SUMIF(Expenses!$B$2:$B$3000,A752,Expenses!$E$2:$E$3000))</f>
        <v/>
      </c>
      <c r="R752" s="27" t="str">
        <f aca="false">IF(A752="","",N(P752)+N(Q752))</f>
        <v/>
      </c>
      <c r="S752" s="28"/>
      <c r="T752" s="25"/>
      <c r="U752" s="26"/>
      <c r="V752" s="26"/>
      <c r="W752" s="26"/>
      <c r="X752" s="27" t="str">
        <f aca="false">IF(B752&lt;&gt;"SOLD","",IF(C752="Consignment",N(W752)-R752,N(U752)-R752-N(V752)))</f>
        <v/>
      </c>
      <c r="Y752" s="29" t="str">
        <f aca="false">IF(OR(X752="",N(R752)=0),"",X752/R752)</f>
        <v/>
      </c>
      <c r="Z752" s="30" t="str">
        <f aca="true">IF(O752="","",IF(T752="",TODAY(),T752)-O752)</f>
        <v/>
      </c>
      <c r="AA752" s="31" t="str">
        <f aca="false">IF(T752="","",TEXT(T752,"YYYY-MM"))</f>
        <v/>
      </c>
      <c r="AB752" s="27" t="str">
        <f aca="false">IF(X752="","",X752/2)</f>
        <v/>
      </c>
      <c r="AC752" s="21"/>
    </row>
    <row r="753" customFormat="false" ht="15" hidden="false" customHeight="false" outlineLevel="0" collapsed="false">
      <c r="A753" s="20"/>
      <c r="B753" s="21"/>
      <c r="C753" s="21"/>
      <c r="D753" s="21"/>
      <c r="E753" s="21"/>
      <c r="F753" s="21"/>
      <c r="G753" s="22"/>
      <c r="H753" s="21"/>
      <c r="I753" s="21"/>
      <c r="J753" s="21"/>
      <c r="K753" s="23"/>
      <c r="L753" s="24"/>
      <c r="M753" s="21"/>
      <c r="N753" s="21"/>
      <c r="O753" s="25"/>
      <c r="P753" s="26"/>
      <c r="Q753" s="27" t="str">
        <f aca="false">IF(A753="","",SUMIF(Expenses!$B$2:$B$3000,A753,Expenses!$E$2:$E$3000))</f>
        <v/>
      </c>
      <c r="R753" s="27" t="str">
        <f aca="false">IF(A753="","",N(P753)+N(Q753))</f>
        <v/>
      </c>
      <c r="S753" s="28"/>
      <c r="T753" s="25"/>
      <c r="U753" s="26"/>
      <c r="V753" s="26"/>
      <c r="W753" s="26"/>
      <c r="X753" s="27" t="str">
        <f aca="false">IF(B753&lt;&gt;"SOLD","",IF(C753="Consignment",N(W753)-R753,N(U753)-R753-N(V753)))</f>
        <v/>
      </c>
      <c r="Y753" s="29" t="str">
        <f aca="false">IF(OR(X753="",N(R753)=0),"",X753/R753)</f>
        <v/>
      </c>
      <c r="Z753" s="30" t="str">
        <f aca="true">IF(O753="","",IF(T753="",TODAY(),T753)-O753)</f>
        <v/>
      </c>
      <c r="AA753" s="31" t="str">
        <f aca="false">IF(T753="","",TEXT(T753,"YYYY-MM"))</f>
        <v/>
      </c>
      <c r="AB753" s="27" t="str">
        <f aca="false">IF(X753="","",X753/2)</f>
        <v/>
      </c>
      <c r="AC753" s="21"/>
    </row>
    <row r="754" customFormat="false" ht="15" hidden="false" customHeight="false" outlineLevel="0" collapsed="false">
      <c r="A754" s="20"/>
      <c r="B754" s="21"/>
      <c r="C754" s="21"/>
      <c r="D754" s="21"/>
      <c r="E754" s="21"/>
      <c r="F754" s="21"/>
      <c r="G754" s="22"/>
      <c r="H754" s="21"/>
      <c r="I754" s="21"/>
      <c r="J754" s="21"/>
      <c r="K754" s="23"/>
      <c r="L754" s="24"/>
      <c r="M754" s="21"/>
      <c r="N754" s="21"/>
      <c r="O754" s="25"/>
      <c r="P754" s="26"/>
      <c r="Q754" s="27" t="str">
        <f aca="false">IF(A754="","",SUMIF(Expenses!$B$2:$B$3000,A754,Expenses!$E$2:$E$3000))</f>
        <v/>
      </c>
      <c r="R754" s="27" t="str">
        <f aca="false">IF(A754="","",N(P754)+N(Q754))</f>
        <v/>
      </c>
      <c r="S754" s="28"/>
      <c r="T754" s="25"/>
      <c r="U754" s="26"/>
      <c r="V754" s="26"/>
      <c r="W754" s="26"/>
      <c r="X754" s="27" t="str">
        <f aca="false">IF(B754&lt;&gt;"SOLD","",IF(C754="Consignment",N(W754)-R754,N(U754)-R754-N(V754)))</f>
        <v/>
      </c>
      <c r="Y754" s="29" t="str">
        <f aca="false">IF(OR(X754="",N(R754)=0),"",X754/R754)</f>
        <v/>
      </c>
      <c r="Z754" s="30" t="str">
        <f aca="true">IF(O754="","",IF(T754="",TODAY(),T754)-O754)</f>
        <v/>
      </c>
      <c r="AA754" s="31" t="str">
        <f aca="false">IF(T754="","",TEXT(T754,"YYYY-MM"))</f>
        <v/>
      </c>
      <c r="AB754" s="27" t="str">
        <f aca="false">IF(X754="","",X754/2)</f>
        <v/>
      </c>
      <c r="AC754" s="21"/>
    </row>
    <row r="755" customFormat="false" ht="15" hidden="false" customHeight="false" outlineLevel="0" collapsed="false">
      <c r="A755" s="20"/>
      <c r="B755" s="21"/>
      <c r="C755" s="21"/>
      <c r="D755" s="21"/>
      <c r="E755" s="21"/>
      <c r="F755" s="21"/>
      <c r="G755" s="22"/>
      <c r="H755" s="21"/>
      <c r="I755" s="21"/>
      <c r="J755" s="21"/>
      <c r="K755" s="23"/>
      <c r="L755" s="24"/>
      <c r="M755" s="21"/>
      <c r="N755" s="21"/>
      <c r="O755" s="25"/>
      <c r="P755" s="26"/>
      <c r="Q755" s="27" t="str">
        <f aca="false">IF(A755="","",SUMIF(Expenses!$B$2:$B$3000,A755,Expenses!$E$2:$E$3000))</f>
        <v/>
      </c>
      <c r="R755" s="27" t="str">
        <f aca="false">IF(A755="","",N(P755)+N(Q755))</f>
        <v/>
      </c>
      <c r="S755" s="28"/>
      <c r="T755" s="25"/>
      <c r="U755" s="26"/>
      <c r="V755" s="26"/>
      <c r="W755" s="26"/>
      <c r="X755" s="27" t="str">
        <f aca="false">IF(B755&lt;&gt;"SOLD","",IF(C755="Consignment",N(W755)-R755,N(U755)-R755-N(V755)))</f>
        <v/>
      </c>
      <c r="Y755" s="29" t="str">
        <f aca="false">IF(OR(X755="",N(R755)=0),"",X755/R755)</f>
        <v/>
      </c>
      <c r="Z755" s="30" t="str">
        <f aca="true">IF(O755="","",IF(T755="",TODAY(),T755)-O755)</f>
        <v/>
      </c>
      <c r="AA755" s="31" t="str">
        <f aca="false">IF(T755="","",TEXT(T755,"YYYY-MM"))</f>
        <v/>
      </c>
      <c r="AB755" s="27" t="str">
        <f aca="false">IF(X755="","",X755/2)</f>
        <v/>
      </c>
      <c r="AC755" s="21"/>
    </row>
    <row r="756" customFormat="false" ht="15" hidden="false" customHeight="false" outlineLevel="0" collapsed="false">
      <c r="A756" s="20"/>
      <c r="B756" s="21"/>
      <c r="C756" s="21"/>
      <c r="D756" s="21"/>
      <c r="E756" s="21"/>
      <c r="F756" s="21"/>
      <c r="G756" s="22"/>
      <c r="H756" s="21"/>
      <c r="I756" s="21"/>
      <c r="J756" s="21"/>
      <c r="K756" s="23"/>
      <c r="L756" s="24"/>
      <c r="M756" s="21"/>
      <c r="N756" s="21"/>
      <c r="O756" s="25"/>
      <c r="P756" s="26"/>
      <c r="Q756" s="27" t="str">
        <f aca="false">IF(A756="","",SUMIF(Expenses!$B$2:$B$3000,A756,Expenses!$E$2:$E$3000))</f>
        <v/>
      </c>
      <c r="R756" s="27" t="str">
        <f aca="false">IF(A756="","",N(P756)+N(Q756))</f>
        <v/>
      </c>
      <c r="S756" s="28"/>
      <c r="T756" s="25"/>
      <c r="U756" s="26"/>
      <c r="V756" s="26"/>
      <c r="W756" s="26"/>
      <c r="X756" s="27" t="str">
        <f aca="false">IF(B756&lt;&gt;"SOLD","",IF(C756="Consignment",N(W756)-R756,N(U756)-R756-N(V756)))</f>
        <v/>
      </c>
      <c r="Y756" s="29" t="str">
        <f aca="false">IF(OR(X756="",N(R756)=0),"",X756/R756)</f>
        <v/>
      </c>
      <c r="Z756" s="30" t="str">
        <f aca="true">IF(O756="","",IF(T756="",TODAY(),T756)-O756)</f>
        <v/>
      </c>
      <c r="AA756" s="31" t="str">
        <f aca="false">IF(T756="","",TEXT(T756,"YYYY-MM"))</f>
        <v/>
      </c>
      <c r="AB756" s="27" t="str">
        <f aca="false">IF(X756="","",X756/2)</f>
        <v/>
      </c>
      <c r="AC756" s="21"/>
    </row>
    <row r="757" customFormat="false" ht="15" hidden="false" customHeight="false" outlineLevel="0" collapsed="false">
      <c r="A757" s="20"/>
      <c r="B757" s="21"/>
      <c r="C757" s="21"/>
      <c r="D757" s="21"/>
      <c r="E757" s="21"/>
      <c r="F757" s="21"/>
      <c r="G757" s="22"/>
      <c r="H757" s="21"/>
      <c r="I757" s="21"/>
      <c r="J757" s="21"/>
      <c r="K757" s="23"/>
      <c r="L757" s="24"/>
      <c r="M757" s="21"/>
      <c r="N757" s="21"/>
      <c r="O757" s="25"/>
      <c r="P757" s="26"/>
      <c r="Q757" s="27" t="str">
        <f aca="false">IF(A757="","",SUMIF(Expenses!$B$2:$B$3000,A757,Expenses!$E$2:$E$3000))</f>
        <v/>
      </c>
      <c r="R757" s="27" t="str">
        <f aca="false">IF(A757="","",N(P757)+N(Q757))</f>
        <v/>
      </c>
      <c r="S757" s="28"/>
      <c r="T757" s="25"/>
      <c r="U757" s="26"/>
      <c r="V757" s="26"/>
      <c r="W757" s="26"/>
      <c r="X757" s="27" t="str">
        <f aca="false">IF(B757&lt;&gt;"SOLD","",IF(C757="Consignment",N(W757)-R757,N(U757)-R757-N(V757)))</f>
        <v/>
      </c>
      <c r="Y757" s="29" t="str">
        <f aca="false">IF(OR(X757="",N(R757)=0),"",X757/R757)</f>
        <v/>
      </c>
      <c r="Z757" s="30" t="str">
        <f aca="true">IF(O757="","",IF(T757="",TODAY(),T757)-O757)</f>
        <v/>
      </c>
      <c r="AA757" s="31" t="str">
        <f aca="false">IF(T757="","",TEXT(T757,"YYYY-MM"))</f>
        <v/>
      </c>
      <c r="AB757" s="27" t="str">
        <f aca="false">IF(X757="","",X757/2)</f>
        <v/>
      </c>
      <c r="AC757" s="21"/>
    </row>
    <row r="758" customFormat="false" ht="15" hidden="false" customHeight="false" outlineLevel="0" collapsed="false">
      <c r="A758" s="20"/>
      <c r="B758" s="21"/>
      <c r="C758" s="21"/>
      <c r="D758" s="21"/>
      <c r="E758" s="21"/>
      <c r="F758" s="21"/>
      <c r="G758" s="22"/>
      <c r="H758" s="21"/>
      <c r="I758" s="21"/>
      <c r="J758" s="21"/>
      <c r="K758" s="23"/>
      <c r="L758" s="24"/>
      <c r="M758" s="21"/>
      <c r="N758" s="21"/>
      <c r="O758" s="25"/>
      <c r="P758" s="26"/>
      <c r="Q758" s="27" t="str">
        <f aca="false">IF(A758="","",SUMIF(Expenses!$B$2:$B$3000,A758,Expenses!$E$2:$E$3000))</f>
        <v/>
      </c>
      <c r="R758" s="27" t="str">
        <f aca="false">IF(A758="","",N(P758)+N(Q758))</f>
        <v/>
      </c>
      <c r="S758" s="28"/>
      <c r="T758" s="25"/>
      <c r="U758" s="26"/>
      <c r="V758" s="26"/>
      <c r="W758" s="26"/>
      <c r="X758" s="27" t="str">
        <f aca="false">IF(B758&lt;&gt;"SOLD","",IF(C758="Consignment",N(W758)-R758,N(U758)-R758-N(V758)))</f>
        <v/>
      </c>
      <c r="Y758" s="29" t="str">
        <f aca="false">IF(OR(X758="",N(R758)=0),"",X758/R758)</f>
        <v/>
      </c>
      <c r="Z758" s="30" t="str">
        <f aca="true">IF(O758="","",IF(T758="",TODAY(),T758)-O758)</f>
        <v/>
      </c>
      <c r="AA758" s="31" t="str">
        <f aca="false">IF(T758="","",TEXT(T758,"YYYY-MM"))</f>
        <v/>
      </c>
      <c r="AB758" s="27" t="str">
        <f aca="false">IF(X758="","",X758/2)</f>
        <v/>
      </c>
      <c r="AC758" s="21"/>
    </row>
    <row r="759" customFormat="false" ht="15" hidden="false" customHeight="false" outlineLevel="0" collapsed="false">
      <c r="A759" s="20"/>
      <c r="B759" s="21"/>
      <c r="C759" s="21"/>
      <c r="D759" s="21"/>
      <c r="E759" s="21"/>
      <c r="F759" s="21"/>
      <c r="G759" s="22"/>
      <c r="H759" s="21"/>
      <c r="I759" s="21"/>
      <c r="J759" s="21"/>
      <c r="K759" s="23"/>
      <c r="L759" s="24"/>
      <c r="M759" s="21"/>
      <c r="N759" s="21"/>
      <c r="O759" s="25"/>
      <c r="P759" s="26"/>
      <c r="Q759" s="27" t="str">
        <f aca="false">IF(A759="","",SUMIF(Expenses!$B$2:$B$3000,A759,Expenses!$E$2:$E$3000))</f>
        <v/>
      </c>
      <c r="R759" s="27" t="str">
        <f aca="false">IF(A759="","",N(P759)+N(Q759))</f>
        <v/>
      </c>
      <c r="S759" s="28"/>
      <c r="T759" s="25"/>
      <c r="U759" s="26"/>
      <c r="V759" s="26"/>
      <c r="W759" s="26"/>
      <c r="X759" s="27" t="str">
        <f aca="false">IF(B759&lt;&gt;"SOLD","",IF(C759="Consignment",N(W759)-R759,N(U759)-R759-N(V759)))</f>
        <v/>
      </c>
      <c r="Y759" s="29" t="str">
        <f aca="false">IF(OR(X759="",N(R759)=0),"",X759/R759)</f>
        <v/>
      </c>
      <c r="Z759" s="30" t="str">
        <f aca="true">IF(O759="","",IF(T759="",TODAY(),T759)-O759)</f>
        <v/>
      </c>
      <c r="AA759" s="31" t="str">
        <f aca="false">IF(T759="","",TEXT(T759,"YYYY-MM"))</f>
        <v/>
      </c>
      <c r="AB759" s="27" t="str">
        <f aca="false">IF(X759="","",X759/2)</f>
        <v/>
      </c>
      <c r="AC759" s="21"/>
    </row>
    <row r="760" customFormat="false" ht="15" hidden="false" customHeight="false" outlineLevel="0" collapsed="false">
      <c r="A760" s="20"/>
      <c r="B760" s="21"/>
      <c r="C760" s="21"/>
      <c r="D760" s="21"/>
      <c r="E760" s="21"/>
      <c r="F760" s="21"/>
      <c r="G760" s="22"/>
      <c r="H760" s="21"/>
      <c r="I760" s="21"/>
      <c r="J760" s="21"/>
      <c r="K760" s="23"/>
      <c r="L760" s="24"/>
      <c r="M760" s="21"/>
      <c r="N760" s="21"/>
      <c r="O760" s="25"/>
      <c r="P760" s="26"/>
      <c r="Q760" s="27" t="str">
        <f aca="false">IF(A760="","",SUMIF(Expenses!$B$2:$B$3000,A760,Expenses!$E$2:$E$3000))</f>
        <v/>
      </c>
      <c r="R760" s="27" t="str">
        <f aca="false">IF(A760="","",N(P760)+N(Q760))</f>
        <v/>
      </c>
      <c r="S760" s="28"/>
      <c r="T760" s="25"/>
      <c r="U760" s="26"/>
      <c r="V760" s="26"/>
      <c r="W760" s="26"/>
      <c r="X760" s="27" t="str">
        <f aca="false">IF(B760&lt;&gt;"SOLD","",IF(C760="Consignment",N(W760)-R760,N(U760)-R760-N(V760)))</f>
        <v/>
      </c>
      <c r="Y760" s="29" t="str">
        <f aca="false">IF(OR(X760="",N(R760)=0),"",X760/R760)</f>
        <v/>
      </c>
      <c r="Z760" s="30" t="str">
        <f aca="true">IF(O760="","",IF(T760="",TODAY(),T760)-O760)</f>
        <v/>
      </c>
      <c r="AA760" s="31" t="str">
        <f aca="false">IF(T760="","",TEXT(T760,"YYYY-MM"))</f>
        <v/>
      </c>
      <c r="AB760" s="27" t="str">
        <f aca="false">IF(X760="","",X760/2)</f>
        <v/>
      </c>
      <c r="AC760" s="21"/>
    </row>
    <row r="761" customFormat="false" ht="15" hidden="false" customHeight="false" outlineLevel="0" collapsed="false">
      <c r="A761" s="20"/>
      <c r="B761" s="21"/>
      <c r="C761" s="21"/>
      <c r="D761" s="21"/>
      <c r="E761" s="21"/>
      <c r="F761" s="21"/>
      <c r="G761" s="22"/>
      <c r="H761" s="21"/>
      <c r="I761" s="21"/>
      <c r="J761" s="21"/>
      <c r="K761" s="23"/>
      <c r="L761" s="24"/>
      <c r="M761" s="21"/>
      <c r="N761" s="21"/>
      <c r="O761" s="25"/>
      <c r="P761" s="26"/>
      <c r="Q761" s="27" t="str">
        <f aca="false">IF(A761="","",SUMIF(Expenses!$B$2:$B$3000,A761,Expenses!$E$2:$E$3000))</f>
        <v/>
      </c>
      <c r="R761" s="27" t="str">
        <f aca="false">IF(A761="","",N(P761)+N(Q761))</f>
        <v/>
      </c>
      <c r="S761" s="28"/>
      <c r="T761" s="25"/>
      <c r="U761" s="26"/>
      <c r="V761" s="26"/>
      <c r="W761" s="26"/>
      <c r="X761" s="27" t="str">
        <f aca="false">IF(B761&lt;&gt;"SOLD","",IF(C761="Consignment",N(W761)-R761,N(U761)-R761-N(V761)))</f>
        <v/>
      </c>
      <c r="Y761" s="29" t="str">
        <f aca="false">IF(OR(X761="",N(R761)=0),"",X761/R761)</f>
        <v/>
      </c>
      <c r="Z761" s="30" t="str">
        <f aca="true">IF(O761="","",IF(T761="",TODAY(),T761)-O761)</f>
        <v/>
      </c>
      <c r="AA761" s="31" t="str">
        <f aca="false">IF(T761="","",TEXT(T761,"YYYY-MM"))</f>
        <v/>
      </c>
      <c r="AB761" s="27" t="str">
        <f aca="false">IF(X761="","",X761/2)</f>
        <v/>
      </c>
      <c r="AC761" s="21"/>
    </row>
    <row r="762" customFormat="false" ht="15" hidden="false" customHeight="false" outlineLevel="0" collapsed="false">
      <c r="A762" s="20"/>
      <c r="B762" s="21"/>
      <c r="C762" s="21"/>
      <c r="D762" s="21"/>
      <c r="E762" s="21"/>
      <c r="F762" s="21"/>
      <c r="G762" s="22"/>
      <c r="H762" s="21"/>
      <c r="I762" s="21"/>
      <c r="J762" s="21"/>
      <c r="K762" s="23"/>
      <c r="L762" s="24"/>
      <c r="M762" s="21"/>
      <c r="N762" s="21"/>
      <c r="O762" s="25"/>
      <c r="P762" s="26"/>
      <c r="Q762" s="27" t="str">
        <f aca="false">IF(A762="","",SUMIF(Expenses!$B$2:$B$3000,A762,Expenses!$E$2:$E$3000))</f>
        <v/>
      </c>
      <c r="R762" s="27" t="str">
        <f aca="false">IF(A762="","",N(P762)+N(Q762))</f>
        <v/>
      </c>
      <c r="S762" s="28"/>
      <c r="T762" s="25"/>
      <c r="U762" s="26"/>
      <c r="V762" s="26"/>
      <c r="W762" s="26"/>
      <c r="X762" s="27" t="str">
        <f aca="false">IF(B762&lt;&gt;"SOLD","",IF(C762="Consignment",N(W762)-R762,N(U762)-R762-N(V762)))</f>
        <v/>
      </c>
      <c r="Y762" s="29" t="str">
        <f aca="false">IF(OR(X762="",N(R762)=0),"",X762/R762)</f>
        <v/>
      </c>
      <c r="Z762" s="30" t="str">
        <f aca="true">IF(O762="","",IF(T762="",TODAY(),T762)-O762)</f>
        <v/>
      </c>
      <c r="AA762" s="31" t="str">
        <f aca="false">IF(T762="","",TEXT(T762,"YYYY-MM"))</f>
        <v/>
      </c>
      <c r="AB762" s="27" t="str">
        <f aca="false">IF(X762="","",X762/2)</f>
        <v/>
      </c>
      <c r="AC762" s="21"/>
    </row>
    <row r="763" customFormat="false" ht="15" hidden="false" customHeight="false" outlineLevel="0" collapsed="false">
      <c r="A763" s="20"/>
      <c r="B763" s="21"/>
      <c r="C763" s="21"/>
      <c r="D763" s="21"/>
      <c r="E763" s="21"/>
      <c r="F763" s="21"/>
      <c r="G763" s="22"/>
      <c r="H763" s="21"/>
      <c r="I763" s="21"/>
      <c r="J763" s="21"/>
      <c r="K763" s="23"/>
      <c r="L763" s="24"/>
      <c r="M763" s="21"/>
      <c r="N763" s="21"/>
      <c r="O763" s="25"/>
      <c r="P763" s="26"/>
      <c r="Q763" s="27" t="str">
        <f aca="false">IF(A763="","",SUMIF(Expenses!$B$2:$B$3000,A763,Expenses!$E$2:$E$3000))</f>
        <v/>
      </c>
      <c r="R763" s="27" t="str">
        <f aca="false">IF(A763="","",N(P763)+N(Q763))</f>
        <v/>
      </c>
      <c r="S763" s="28"/>
      <c r="T763" s="25"/>
      <c r="U763" s="26"/>
      <c r="V763" s="26"/>
      <c r="W763" s="26"/>
      <c r="X763" s="27" t="str">
        <f aca="false">IF(B763&lt;&gt;"SOLD","",IF(C763="Consignment",N(W763)-R763,N(U763)-R763-N(V763)))</f>
        <v/>
      </c>
      <c r="Y763" s="29" t="str">
        <f aca="false">IF(OR(X763="",N(R763)=0),"",X763/R763)</f>
        <v/>
      </c>
      <c r="Z763" s="30" t="str">
        <f aca="true">IF(O763="","",IF(T763="",TODAY(),T763)-O763)</f>
        <v/>
      </c>
      <c r="AA763" s="31" t="str">
        <f aca="false">IF(T763="","",TEXT(T763,"YYYY-MM"))</f>
        <v/>
      </c>
      <c r="AB763" s="27" t="str">
        <f aca="false">IF(X763="","",X763/2)</f>
        <v/>
      </c>
      <c r="AC763" s="21"/>
    </row>
    <row r="764" customFormat="false" ht="15" hidden="false" customHeight="false" outlineLevel="0" collapsed="false">
      <c r="A764" s="20"/>
      <c r="B764" s="21"/>
      <c r="C764" s="21"/>
      <c r="D764" s="21"/>
      <c r="E764" s="21"/>
      <c r="F764" s="21"/>
      <c r="G764" s="22"/>
      <c r="H764" s="21"/>
      <c r="I764" s="21"/>
      <c r="J764" s="21"/>
      <c r="K764" s="23"/>
      <c r="L764" s="24"/>
      <c r="M764" s="21"/>
      <c r="N764" s="21"/>
      <c r="O764" s="25"/>
      <c r="P764" s="26"/>
      <c r="Q764" s="27" t="str">
        <f aca="false">IF(A764="","",SUMIF(Expenses!$B$2:$B$3000,A764,Expenses!$E$2:$E$3000))</f>
        <v/>
      </c>
      <c r="R764" s="27" t="str">
        <f aca="false">IF(A764="","",N(P764)+N(Q764))</f>
        <v/>
      </c>
      <c r="S764" s="28"/>
      <c r="T764" s="25"/>
      <c r="U764" s="26"/>
      <c r="V764" s="26"/>
      <c r="W764" s="26"/>
      <c r="X764" s="27" t="str">
        <f aca="false">IF(B764&lt;&gt;"SOLD","",IF(C764="Consignment",N(W764)-R764,N(U764)-R764-N(V764)))</f>
        <v/>
      </c>
      <c r="Y764" s="29" t="str">
        <f aca="false">IF(OR(X764="",N(R764)=0),"",X764/R764)</f>
        <v/>
      </c>
      <c r="Z764" s="30" t="str">
        <f aca="true">IF(O764="","",IF(T764="",TODAY(),T764)-O764)</f>
        <v/>
      </c>
      <c r="AA764" s="31" t="str">
        <f aca="false">IF(T764="","",TEXT(T764,"YYYY-MM"))</f>
        <v/>
      </c>
      <c r="AB764" s="27" t="str">
        <f aca="false">IF(X764="","",X764/2)</f>
        <v/>
      </c>
      <c r="AC764" s="21"/>
    </row>
    <row r="765" customFormat="false" ht="15" hidden="false" customHeight="false" outlineLevel="0" collapsed="false">
      <c r="A765" s="20"/>
      <c r="B765" s="21"/>
      <c r="C765" s="21"/>
      <c r="D765" s="21"/>
      <c r="E765" s="21"/>
      <c r="F765" s="21"/>
      <c r="G765" s="22"/>
      <c r="H765" s="21"/>
      <c r="I765" s="21"/>
      <c r="J765" s="21"/>
      <c r="K765" s="23"/>
      <c r="L765" s="24"/>
      <c r="M765" s="21"/>
      <c r="N765" s="21"/>
      <c r="O765" s="25"/>
      <c r="P765" s="26"/>
      <c r="Q765" s="27" t="str">
        <f aca="false">IF(A765="","",SUMIF(Expenses!$B$2:$B$3000,A765,Expenses!$E$2:$E$3000))</f>
        <v/>
      </c>
      <c r="R765" s="27" t="str">
        <f aca="false">IF(A765="","",N(P765)+N(Q765))</f>
        <v/>
      </c>
      <c r="S765" s="28"/>
      <c r="T765" s="25"/>
      <c r="U765" s="26"/>
      <c r="V765" s="26"/>
      <c r="W765" s="26"/>
      <c r="X765" s="27" t="str">
        <f aca="false">IF(B765&lt;&gt;"SOLD","",IF(C765="Consignment",N(W765)-R765,N(U765)-R765-N(V765)))</f>
        <v/>
      </c>
      <c r="Y765" s="29" t="str">
        <f aca="false">IF(OR(X765="",N(R765)=0),"",X765/R765)</f>
        <v/>
      </c>
      <c r="Z765" s="30" t="str">
        <f aca="true">IF(O765="","",IF(T765="",TODAY(),T765)-O765)</f>
        <v/>
      </c>
      <c r="AA765" s="31" t="str">
        <f aca="false">IF(T765="","",TEXT(T765,"YYYY-MM"))</f>
        <v/>
      </c>
      <c r="AB765" s="27" t="str">
        <f aca="false">IF(X765="","",X765/2)</f>
        <v/>
      </c>
      <c r="AC765" s="21"/>
    </row>
    <row r="766" customFormat="false" ht="15" hidden="false" customHeight="false" outlineLevel="0" collapsed="false">
      <c r="A766" s="20"/>
      <c r="B766" s="21"/>
      <c r="C766" s="21"/>
      <c r="D766" s="21"/>
      <c r="E766" s="21"/>
      <c r="F766" s="21"/>
      <c r="G766" s="22"/>
      <c r="H766" s="21"/>
      <c r="I766" s="21"/>
      <c r="J766" s="21"/>
      <c r="K766" s="23"/>
      <c r="L766" s="24"/>
      <c r="M766" s="21"/>
      <c r="N766" s="21"/>
      <c r="O766" s="25"/>
      <c r="P766" s="26"/>
      <c r="Q766" s="27" t="str">
        <f aca="false">IF(A766="","",SUMIF(Expenses!$B$2:$B$3000,A766,Expenses!$E$2:$E$3000))</f>
        <v/>
      </c>
      <c r="R766" s="27" t="str">
        <f aca="false">IF(A766="","",N(P766)+N(Q766))</f>
        <v/>
      </c>
      <c r="S766" s="28"/>
      <c r="T766" s="25"/>
      <c r="U766" s="26"/>
      <c r="V766" s="26"/>
      <c r="W766" s="26"/>
      <c r="X766" s="27" t="str">
        <f aca="false">IF(B766&lt;&gt;"SOLD","",IF(C766="Consignment",N(W766)-R766,N(U766)-R766-N(V766)))</f>
        <v/>
      </c>
      <c r="Y766" s="29" t="str">
        <f aca="false">IF(OR(X766="",N(R766)=0),"",X766/R766)</f>
        <v/>
      </c>
      <c r="Z766" s="30" t="str">
        <f aca="true">IF(O766="","",IF(T766="",TODAY(),T766)-O766)</f>
        <v/>
      </c>
      <c r="AA766" s="31" t="str">
        <f aca="false">IF(T766="","",TEXT(T766,"YYYY-MM"))</f>
        <v/>
      </c>
      <c r="AB766" s="27" t="str">
        <f aca="false">IF(X766="","",X766/2)</f>
        <v/>
      </c>
      <c r="AC766" s="21"/>
    </row>
    <row r="767" customFormat="false" ht="15" hidden="false" customHeight="false" outlineLevel="0" collapsed="false">
      <c r="A767" s="20"/>
      <c r="B767" s="21"/>
      <c r="C767" s="21"/>
      <c r="D767" s="21"/>
      <c r="E767" s="21"/>
      <c r="F767" s="21"/>
      <c r="G767" s="22"/>
      <c r="H767" s="21"/>
      <c r="I767" s="21"/>
      <c r="J767" s="21"/>
      <c r="K767" s="23"/>
      <c r="L767" s="24"/>
      <c r="M767" s="21"/>
      <c r="N767" s="21"/>
      <c r="O767" s="25"/>
      <c r="P767" s="26"/>
      <c r="Q767" s="27" t="str">
        <f aca="false">IF(A767="","",SUMIF(Expenses!$B$2:$B$3000,A767,Expenses!$E$2:$E$3000))</f>
        <v/>
      </c>
      <c r="R767" s="27" t="str">
        <f aca="false">IF(A767="","",N(P767)+N(Q767))</f>
        <v/>
      </c>
      <c r="S767" s="28"/>
      <c r="T767" s="25"/>
      <c r="U767" s="26"/>
      <c r="V767" s="26"/>
      <c r="W767" s="26"/>
      <c r="X767" s="27" t="str">
        <f aca="false">IF(B767&lt;&gt;"SOLD","",IF(C767="Consignment",N(W767)-R767,N(U767)-R767-N(V767)))</f>
        <v/>
      </c>
      <c r="Y767" s="29" t="str">
        <f aca="false">IF(OR(X767="",N(R767)=0),"",X767/R767)</f>
        <v/>
      </c>
      <c r="Z767" s="30" t="str">
        <f aca="true">IF(O767="","",IF(T767="",TODAY(),T767)-O767)</f>
        <v/>
      </c>
      <c r="AA767" s="31" t="str">
        <f aca="false">IF(T767="","",TEXT(T767,"YYYY-MM"))</f>
        <v/>
      </c>
      <c r="AB767" s="27" t="str">
        <f aca="false">IF(X767="","",X767/2)</f>
        <v/>
      </c>
      <c r="AC767" s="21"/>
    </row>
    <row r="768" customFormat="false" ht="15" hidden="false" customHeight="false" outlineLevel="0" collapsed="false">
      <c r="A768" s="20"/>
      <c r="B768" s="21"/>
      <c r="C768" s="21"/>
      <c r="D768" s="21"/>
      <c r="E768" s="21"/>
      <c r="F768" s="21"/>
      <c r="G768" s="22"/>
      <c r="H768" s="21"/>
      <c r="I768" s="21"/>
      <c r="J768" s="21"/>
      <c r="K768" s="23"/>
      <c r="L768" s="24"/>
      <c r="M768" s="21"/>
      <c r="N768" s="21"/>
      <c r="O768" s="25"/>
      <c r="P768" s="26"/>
      <c r="Q768" s="27" t="str">
        <f aca="false">IF(A768="","",SUMIF(Expenses!$B$2:$B$3000,A768,Expenses!$E$2:$E$3000))</f>
        <v/>
      </c>
      <c r="R768" s="27" t="str">
        <f aca="false">IF(A768="","",N(P768)+N(Q768))</f>
        <v/>
      </c>
      <c r="S768" s="28"/>
      <c r="T768" s="25"/>
      <c r="U768" s="26"/>
      <c r="V768" s="26"/>
      <c r="W768" s="26"/>
      <c r="X768" s="27" t="str">
        <f aca="false">IF(B768&lt;&gt;"SOLD","",IF(C768="Consignment",N(W768)-R768,N(U768)-R768-N(V768)))</f>
        <v/>
      </c>
      <c r="Y768" s="29" t="str">
        <f aca="false">IF(OR(X768="",N(R768)=0),"",X768/R768)</f>
        <v/>
      </c>
      <c r="Z768" s="30" t="str">
        <f aca="true">IF(O768="","",IF(T768="",TODAY(),T768)-O768)</f>
        <v/>
      </c>
      <c r="AA768" s="31" t="str">
        <f aca="false">IF(T768="","",TEXT(T768,"YYYY-MM"))</f>
        <v/>
      </c>
      <c r="AB768" s="27" t="str">
        <f aca="false">IF(X768="","",X768/2)</f>
        <v/>
      </c>
      <c r="AC768" s="21"/>
    </row>
    <row r="769" customFormat="false" ht="15" hidden="false" customHeight="false" outlineLevel="0" collapsed="false">
      <c r="A769" s="20"/>
      <c r="B769" s="21"/>
      <c r="C769" s="21"/>
      <c r="D769" s="21"/>
      <c r="E769" s="21"/>
      <c r="F769" s="21"/>
      <c r="G769" s="22"/>
      <c r="H769" s="21"/>
      <c r="I769" s="21"/>
      <c r="J769" s="21"/>
      <c r="K769" s="23"/>
      <c r="L769" s="24"/>
      <c r="M769" s="21"/>
      <c r="N769" s="21"/>
      <c r="O769" s="25"/>
      <c r="P769" s="26"/>
      <c r="Q769" s="27" t="str">
        <f aca="false">IF(A769="","",SUMIF(Expenses!$B$2:$B$3000,A769,Expenses!$E$2:$E$3000))</f>
        <v/>
      </c>
      <c r="R769" s="27" t="str">
        <f aca="false">IF(A769="","",N(P769)+N(Q769))</f>
        <v/>
      </c>
      <c r="S769" s="28"/>
      <c r="T769" s="25"/>
      <c r="U769" s="26"/>
      <c r="V769" s="26"/>
      <c r="W769" s="26"/>
      <c r="X769" s="27" t="str">
        <f aca="false">IF(B769&lt;&gt;"SOLD","",IF(C769="Consignment",N(W769)-R769,N(U769)-R769-N(V769)))</f>
        <v/>
      </c>
      <c r="Y769" s="29" t="str">
        <f aca="false">IF(OR(X769="",N(R769)=0),"",X769/R769)</f>
        <v/>
      </c>
      <c r="Z769" s="30" t="str">
        <f aca="true">IF(O769="","",IF(T769="",TODAY(),T769)-O769)</f>
        <v/>
      </c>
      <c r="AA769" s="31" t="str">
        <f aca="false">IF(T769="","",TEXT(T769,"YYYY-MM"))</f>
        <v/>
      </c>
      <c r="AB769" s="27" t="str">
        <f aca="false">IF(X769="","",X769/2)</f>
        <v/>
      </c>
      <c r="AC769" s="21"/>
    </row>
    <row r="770" customFormat="false" ht="15" hidden="false" customHeight="false" outlineLevel="0" collapsed="false">
      <c r="A770" s="20"/>
      <c r="B770" s="21"/>
      <c r="C770" s="21"/>
      <c r="D770" s="21"/>
      <c r="E770" s="21"/>
      <c r="F770" s="21"/>
      <c r="G770" s="22"/>
      <c r="H770" s="21"/>
      <c r="I770" s="21"/>
      <c r="J770" s="21"/>
      <c r="K770" s="23"/>
      <c r="L770" s="24"/>
      <c r="M770" s="21"/>
      <c r="N770" s="21"/>
      <c r="O770" s="25"/>
      <c r="P770" s="26"/>
      <c r="Q770" s="27" t="str">
        <f aca="false">IF(A770="","",SUMIF(Expenses!$B$2:$B$3000,A770,Expenses!$E$2:$E$3000))</f>
        <v/>
      </c>
      <c r="R770" s="27" t="str">
        <f aca="false">IF(A770="","",N(P770)+N(Q770))</f>
        <v/>
      </c>
      <c r="S770" s="28"/>
      <c r="T770" s="25"/>
      <c r="U770" s="26"/>
      <c r="V770" s="26"/>
      <c r="W770" s="26"/>
      <c r="X770" s="27" t="str">
        <f aca="false">IF(B770&lt;&gt;"SOLD","",IF(C770="Consignment",N(W770)-R770,N(U770)-R770-N(V770)))</f>
        <v/>
      </c>
      <c r="Y770" s="29" t="str">
        <f aca="false">IF(OR(X770="",N(R770)=0),"",X770/R770)</f>
        <v/>
      </c>
      <c r="Z770" s="30" t="str">
        <f aca="true">IF(O770="","",IF(T770="",TODAY(),T770)-O770)</f>
        <v/>
      </c>
      <c r="AA770" s="31" t="str">
        <f aca="false">IF(T770="","",TEXT(T770,"YYYY-MM"))</f>
        <v/>
      </c>
      <c r="AB770" s="27" t="str">
        <f aca="false">IF(X770="","",X770/2)</f>
        <v/>
      </c>
      <c r="AC770" s="21"/>
    </row>
    <row r="771" customFormat="false" ht="15" hidden="false" customHeight="false" outlineLevel="0" collapsed="false">
      <c r="A771" s="20"/>
      <c r="B771" s="21"/>
      <c r="C771" s="21"/>
      <c r="D771" s="21"/>
      <c r="E771" s="21"/>
      <c r="F771" s="21"/>
      <c r="G771" s="22"/>
      <c r="H771" s="21"/>
      <c r="I771" s="21"/>
      <c r="J771" s="21"/>
      <c r="K771" s="23"/>
      <c r="L771" s="24"/>
      <c r="M771" s="21"/>
      <c r="N771" s="21"/>
      <c r="O771" s="25"/>
      <c r="P771" s="26"/>
      <c r="Q771" s="27" t="str">
        <f aca="false">IF(A771="","",SUMIF(Expenses!$B$2:$B$3000,A771,Expenses!$E$2:$E$3000))</f>
        <v/>
      </c>
      <c r="R771" s="27" t="str">
        <f aca="false">IF(A771="","",N(P771)+N(Q771))</f>
        <v/>
      </c>
      <c r="S771" s="28"/>
      <c r="T771" s="25"/>
      <c r="U771" s="26"/>
      <c r="V771" s="26"/>
      <c r="W771" s="26"/>
      <c r="X771" s="27" t="str">
        <f aca="false">IF(B771&lt;&gt;"SOLD","",IF(C771="Consignment",N(W771)-R771,N(U771)-R771-N(V771)))</f>
        <v/>
      </c>
      <c r="Y771" s="29" t="str">
        <f aca="false">IF(OR(X771="",N(R771)=0),"",X771/R771)</f>
        <v/>
      </c>
      <c r="Z771" s="30" t="str">
        <f aca="true">IF(O771="","",IF(T771="",TODAY(),T771)-O771)</f>
        <v/>
      </c>
      <c r="AA771" s="31" t="str">
        <f aca="false">IF(T771="","",TEXT(T771,"YYYY-MM"))</f>
        <v/>
      </c>
      <c r="AB771" s="27" t="str">
        <f aca="false">IF(X771="","",X771/2)</f>
        <v/>
      </c>
      <c r="AC771" s="21"/>
    </row>
    <row r="772" customFormat="false" ht="15" hidden="false" customHeight="false" outlineLevel="0" collapsed="false">
      <c r="A772" s="20"/>
      <c r="B772" s="21"/>
      <c r="C772" s="21"/>
      <c r="D772" s="21"/>
      <c r="E772" s="21"/>
      <c r="F772" s="21"/>
      <c r="G772" s="22"/>
      <c r="H772" s="21"/>
      <c r="I772" s="21"/>
      <c r="J772" s="21"/>
      <c r="K772" s="23"/>
      <c r="L772" s="24"/>
      <c r="M772" s="21"/>
      <c r="N772" s="21"/>
      <c r="O772" s="25"/>
      <c r="P772" s="26"/>
      <c r="Q772" s="27" t="str">
        <f aca="false">IF(A772="","",SUMIF(Expenses!$B$2:$B$3000,A772,Expenses!$E$2:$E$3000))</f>
        <v/>
      </c>
      <c r="R772" s="27" t="str">
        <f aca="false">IF(A772="","",N(P772)+N(Q772))</f>
        <v/>
      </c>
      <c r="S772" s="28"/>
      <c r="T772" s="25"/>
      <c r="U772" s="26"/>
      <c r="V772" s="26"/>
      <c r="W772" s="26"/>
      <c r="X772" s="27" t="str">
        <f aca="false">IF(B772&lt;&gt;"SOLD","",IF(C772="Consignment",N(W772)-R772,N(U772)-R772-N(V772)))</f>
        <v/>
      </c>
      <c r="Y772" s="29" t="str">
        <f aca="false">IF(OR(X772="",N(R772)=0),"",X772/R772)</f>
        <v/>
      </c>
      <c r="Z772" s="30" t="str">
        <f aca="true">IF(O772="","",IF(T772="",TODAY(),T772)-O772)</f>
        <v/>
      </c>
      <c r="AA772" s="31" t="str">
        <f aca="false">IF(T772="","",TEXT(T772,"YYYY-MM"))</f>
        <v/>
      </c>
      <c r="AB772" s="27" t="str">
        <f aca="false">IF(X772="","",X772/2)</f>
        <v/>
      </c>
      <c r="AC772" s="21"/>
    </row>
    <row r="773" customFormat="false" ht="15" hidden="false" customHeight="false" outlineLevel="0" collapsed="false">
      <c r="A773" s="20"/>
      <c r="B773" s="21"/>
      <c r="C773" s="21"/>
      <c r="D773" s="21"/>
      <c r="E773" s="21"/>
      <c r="F773" s="21"/>
      <c r="G773" s="22"/>
      <c r="H773" s="21"/>
      <c r="I773" s="21"/>
      <c r="J773" s="21"/>
      <c r="K773" s="23"/>
      <c r="L773" s="24"/>
      <c r="M773" s="21"/>
      <c r="N773" s="21"/>
      <c r="O773" s="25"/>
      <c r="P773" s="26"/>
      <c r="Q773" s="27" t="str">
        <f aca="false">IF(A773="","",SUMIF(Expenses!$B$2:$B$3000,A773,Expenses!$E$2:$E$3000))</f>
        <v/>
      </c>
      <c r="R773" s="27" t="str">
        <f aca="false">IF(A773="","",N(P773)+N(Q773))</f>
        <v/>
      </c>
      <c r="S773" s="28"/>
      <c r="T773" s="25"/>
      <c r="U773" s="26"/>
      <c r="V773" s="26"/>
      <c r="W773" s="26"/>
      <c r="X773" s="27" t="str">
        <f aca="false">IF(B773&lt;&gt;"SOLD","",IF(C773="Consignment",N(W773)-R773,N(U773)-R773-N(V773)))</f>
        <v/>
      </c>
      <c r="Y773" s="29" t="str">
        <f aca="false">IF(OR(X773="",N(R773)=0),"",X773/R773)</f>
        <v/>
      </c>
      <c r="Z773" s="30" t="str">
        <f aca="true">IF(O773="","",IF(T773="",TODAY(),T773)-O773)</f>
        <v/>
      </c>
      <c r="AA773" s="31" t="str">
        <f aca="false">IF(T773="","",TEXT(T773,"YYYY-MM"))</f>
        <v/>
      </c>
      <c r="AB773" s="27" t="str">
        <f aca="false">IF(X773="","",X773/2)</f>
        <v/>
      </c>
      <c r="AC773" s="21"/>
    </row>
    <row r="774" customFormat="false" ht="15" hidden="false" customHeight="false" outlineLevel="0" collapsed="false">
      <c r="A774" s="20"/>
      <c r="B774" s="21"/>
      <c r="C774" s="21"/>
      <c r="D774" s="21"/>
      <c r="E774" s="21"/>
      <c r="F774" s="21"/>
      <c r="G774" s="22"/>
      <c r="H774" s="21"/>
      <c r="I774" s="21"/>
      <c r="J774" s="21"/>
      <c r="K774" s="23"/>
      <c r="L774" s="24"/>
      <c r="M774" s="21"/>
      <c r="N774" s="21"/>
      <c r="O774" s="25"/>
      <c r="P774" s="26"/>
      <c r="Q774" s="27" t="str">
        <f aca="false">IF(A774="","",SUMIF(Expenses!$B$2:$B$3000,A774,Expenses!$E$2:$E$3000))</f>
        <v/>
      </c>
      <c r="R774" s="27" t="str">
        <f aca="false">IF(A774="","",N(P774)+N(Q774))</f>
        <v/>
      </c>
      <c r="S774" s="28"/>
      <c r="T774" s="25"/>
      <c r="U774" s="26"/>
      <c r="V774" s="26"/>
      <c r="W774" s="26"/>
      <c r="X774" s="27" t="str">
        <f aca="false">IF(B774&lt;&gt;"SOLD","",IF(C774="Consignment",N(W774)-R774,N(U774)-R774-N(V774)))</f>
        <v/>
      </c>
      <c r="Y774" s="29" t="str">
        <f aca="false">IF(OR(X774="",N(R774)=0),"",X774/R774)</f>
        <v/>
      </c>
      <c r="Z774" s="30" t="str">
        <f aca="true">IF(O774="","",IF(T774="",TODAY(),T774)-O774)</f>
        <v/>
      </c>
      <c r="AA774" s="31" t="str">
        <f aca="false">IF(T774="","",TEXT(T774,"YYYY-MM"))</f>
        <v/>
      </c>
      <c r="AB774" s="27" t="str">
        <f aca="false">IF(X774="","",X774/2)</f>
        <v/>
      </c>
      <c r="AC774" s="21"/>
    </row>
    <row r="775" customFormat="false" ht="15" hidden="false" customHeight="false" outlineLevel="0" collapsed="false">
      <c r="A775" s="20"/>
      <c r="B775" s="21"/>
      <c r="C775" s="21"/>
      <c r="D775" s="21"/>
      <c r="E775" s="21"/>
      <c r="F775" s="21"/>
      <c r="G775" s="22"/>
      <c r="H775" s="21"/>
      <c r="I775" s="21"/>
      <c r="J775" s="21"/>
      <c r="K775" s="23"/>
      <c r="L775" s="24"/>
      <c r="M775" s="21"/>
      <c r="N775" s="21"/>
      <c r="O775" s="25"/>
      <c r="P775" s="26"/>
      <c r="Q775" s="27" t="str">
        <f aca="false">IF(A775="","",SUMIF(Expenses!$B$2:$B$3000,A775,Expenses!$E$2:$E$3000))</f>
        <v/>
      </c>
      <c r="R775" s="27" t="str">
        <f aca="false">IF(A775="","",N(P775)+N(Q775))</f>
        <v/>
      </c>
      <c r="S775" s="28"/>
      <c r="T775" s="25"/>
      <c r="U775" s="26"/>
      <c r="V775" s="26"/>
      <c r="W775" s="26"/>
      <c r="X775" s="27" t="str">
        <f aca="false">IF(B775&lt;&gt;"SOLD","",IF(C775="Consignment",N(W775)-R775,N(U775)-R775-N(V775)))</f>
        <v/>
      </c>
      <c r="Y775" s="29" t="str">
        <f aca="false">IF(OR(X775="",N(R775)=0),"",X775/R775)</f>
        <v/>
      </c>
      <c r="Z775" s="30" t="str">
        <f aca="true">IF(O775="","",IF(T775="",TODAY(),T775)-O775)</f>
        <v/>
      </c>
      <c r="AA775" s="31" t="str">
        <f aca="false">IF(T775="","",TEXT(T775,"YYYY-MM"))</f>
        <v/>
      </c>
      <c r="AB775" s="27" t="str">
        <f aca="false">IF(X775="","",X775/2)</f>
        <v/>
      </c>
      <c r="AC775" s="21"/>
    </row>
    <row r="776" customFormat="false" ht="15" hidden="false" customHeight="false" outlineLevel="0" collapsed="false">
      <c r="A776" s="20"/>
      <c r="B776" s="21"/>
      <c r="C776" s="21"/>
      <c r="D776" s="21"/>
      <c r="E776" s="21"/>
      <c r="F776" s="21"/>
      <c r="G776" s="22"/>
      <c r="H776" s="21"/>
      <c r="I776" s="21"/>
      <c r="J776" s="21"/>
      <c r="K776" s="23"/>
      <c r="L776" s="24"/>
      <c r="M776" s="21"/>
      <c r="N776" s="21"/>
      <c r="O776" s="25"/>
      <c r="P776" s="26"/>
      <c r="Q776" s="27" t="str">
        <f aca="false">IF(A776="","",SUMIF(Expenses!$B$2:$B$3000,A776,Expenses!$E$2:$E$3000))</f>
        <v/>
      </c>
      <c r="R776" s="27" t="str">
        <f aca="false">IF(A776="","",N(P776)+N(Q776))</f>
        <v/>
      </c>
      <c r="S776" s="28"/>
      <c r="T776" s="25"/>
      <c r="U776" s="26"/>
      <c r="V776" s="26"/>
      <c r="W776" s="26"/>
      <c r="X776" s="27" t="str">
        <f aca="false">IF(B776&lt;&gt;"SOLD","",IF(C776="Consignment",N(W776)-R776,N(U776)-R776-N(V776)))</f>
        <v/>
      </c>
      <c r="Y776" s="29" t="str">
        <f aca="false">IF(OR(X776="",N(R776)=0),"",X776/R776)</f>
        <v/>
      </c>
      <c r="Z776" s="30" t="str">
        <f aca="true">IF(O776="","",IF(T776="",TODAY(),T776)-O776)</f>
        <v/>
      </c>
      <c r="AA776" s="31" t="str">
        <f aca="false">IF(T776="","",TEXT(T776,"YYYY-MM"))</f>
        <v/>
      </c>
      <c r="AB776" s="27" t="str">
        <f aca="false">IF(X776="","",X776/2)</f>
        <v/>
      </c>
      <c r="AC776" s="21"/>
    </row>
    <row r="777" customFormat="false" ht="15" hidden="false" customHeight="false" outlineLevel="0" collapsed="false">
      <c r="A777" s="20"/>
      <c r="B777" s="21"/>
      <c r="C777" s="21"/>
      <c r="D777" s="21"/>
      <c r="E777" s="21"/>
      <c r="F777" s="21"/>
      <c r="G777" s="22"/>
      <c r="H777" s="21"/>
      <c r="I777" s="21"/>
      <c r="J777" s="21"/>
      <c r="K777" s="23"/>
      <c r="L777" s="24"/>
      <c r="M777" s="21"/>
      <c r="N777" s="21"/>
      <c r="O777" s="25"/>
      <c r="P777" s="26"/>
      <c r="Q777" s="27" t="str">
        <f aca="false">IF(A777="","",SUMIF(Expenses!$B$2:$B$3000,A777,Expenses!$E$2:$E$3000))</f>
        <v/>
      </c>
      <c r="R777" s="27" t="str">
        <f aca="false">IF(A777="","",N(P777)+N(Q777))</f>
        <v/>
      </c>
      <c r="S777" s="28"/>
      <c r="T777" s="25"/>
      <c r="U777" s="26"/>
      <c r="V777" s="26"/>
      <c r="W777" s="26"/>
      <c r="X777" s="27" t="str">
        <f aca="false">IF(B777&lt;&gt;"SOLD","",IF(C777="Consignment",N(W777)-R777,N(U777)-R777-N(V777)))</f>
        <v/>
      </c>
      <c r="Y777" s="29" t="str">
        <f aca="false">IF(OR(X777="",N(R777)=0),"",X777/R777)</f>
        <v/>
      </c>
      <c r="Z777" s="30" t="str">
        <f aca="true">IF(O777="","",IF(T777="",TODAY(),T777)-O777)</f>
        <v/>
      </c>
      <c r="AA777" s="31" t="str">
        <f aca="false">IF(T777="","",TEXT(T777,"YYYY-MM"))</f>
        <v/>
      </c>
      <c r="AB777" s="27" t="str">
        <f aca="false">IF(X777="","",X777/2)</f>
        <v/>
      </c>
      <c r="AC777" s="21"/>
    </row>
    <row r="778" customFormat="false" ht="15" hidden="false" customHeight="false" outlineLevel="0" collapsed="false">
      <c r="A778" s="20"/>
      <c r="B778" s="21"/>
      <c r="C778" s="21"/>
      <c r="D778" s="21"/>
      <c r="E778" s="21"/>
      <c r="F778" s="21"/>
      <c r="G778" s="22"/>
      <c r="H778" s="21"/>
      <c r="I778" s="21"/>
      <c r="J778" s="21"/>
      <c r="K778" s="23"/>
      <c r="L778" s="24"/>
      <c r="M778" s="21"/>
      <c r="N778" s="21"/>
      <c r="O778" s="25"/>
      <c r="P778" s="26"/>
      <c r="Q778" s="27" t="str">
        <f aca="false">IF(A778="","",SUMIF(Expenses!$B$2:$B$3000,A778,Expenses!$E$2:$E$3000))</f>
        <v/>
      </c>
      <c r="R778" s="27" t="str">
        <f aca="false">IF(A778="","",N(P778)+N(Q778))</f>
        <v/>
      </c>
      <c r="S778" s="28"/>
      <c r="T778" s="25"/>
      <c r="U778" s="26"/>
      <c r="V778" s="26"/>
      <c r="W778" s="26"/>
      <c r="X778" s="27" t="str">
        <f aca="false">IF(B778&lt;&gt;"SOLD","",IF(C778="Consignment",N(W778)-R778,N(U778)-R778-N(V778)))</f>
        <v/>
      </c>
      <c r="Y778" s="29" t="str">
        <f aca="false">IF(OR(X778="",N(R778)=0),"",X778/R778)</f>
        <v/>
      </c>
      <c r="Z778" s="30" t="str">
        <f aca="true">IF(O778="","",IF(T778="",TODAY(),T778)-O778)</f>
        <v/>
      </c>
      <c r="AA778" s="31" t="str">
        <f aca="false">IF(T778="","",TEXT(T778,"YYYY-MM"))</f>
        <v/>
      </c>
      <c r="AB778" s="27" t="str">
        <f aca="false">IF(X778="","",X778/2)</f>
        <v/>
      </c>
      <c r="AC778" s="21"/>
    </row>
    <row r="779" customFormat="false" ht="15" hidden="false" customHeight="false" outlineLevel="0" collapsed="false">
      <c r="A779" s="20"/>
      <c r="B779" s="21"/>
      <c r="C779" s="21"/>
      <c r="D779" s="21"/>
      <c r="E779" s="21"/>
      <c r="F779" s="21"/>
      <c r="G779" s="22"/>
      <c r="H779" s="21"/>
      <c r="I779" s="21"/>
      <c r="J779" s="21"/>
      <c r="K779" s="23"/>
      <c r="L779" s="24"/>
      <c r="M779" s="21"/>
      <c r="N779" s="21"/>
      <c r="O779" s="25"/>
      <c r="P779" s="26"/>
      <c r="Q779" s="27" t="str">
        <f aca="false">IF(A779="","",SUMIF(Expenses!$B$2:$B$3000,A779,Expenses!$E$2:$E$3000))</f>
        <v/>
      </c>
      <c r="R779" s="27" t="str">
        <f aca="false">IF(A779="","",N(P779)+N(Q779))</f>
        <v/>
      </c>
      <c r="S779" s="28"/>
      <c r="T779" s="25"/>
      <c r="U779" s="26"/>
      <c r="V779" s="26"/>
      <c r="W779" s="26"/>
      <c r="X779" s="27" t="str">
        <f aca="false">IF(B779&lt;&gt;"SOLD","",IF(C779="Consignment",N(W779)-R779,N(U779)-R779-N(V779)))</f>
        <v/>
      </c>
      <c r="Y779" s="29" t="str">
        <f aca="false">IF(OR(X779="",N(R779)=0),"",X779/R779)</f>
        <v/>
      </c>
      <c r="Z779" s="30" t="str">
        <f aca="true">IF(O779="","",IF(T779="",TODAY(),T779)-O779)</f>
        <v/>
      </c>
      <c r="AA779" s="31" t="str">
        <f aca="false">IF(T779="","",TEXT(T779,"YYYY-MM"))</f>
        <v/>
      </c>
      <c r="AB779" s="27" t="str">
        <f aca="false">IF(X779="","",X779/2)</f>
        <v/>
      </c>
      <c r="AC779" s="21"/>
    </row>
    <row r="780" customFormat="false" ht="15" hidden="false" customHeight="false" outlineLevel="0" collapsed="false">
      <c r="A780" s="20"/>
      <c r="B780" s="21"/>
      <c r="C780" s="21"/>
      <c r="D780" s="21"/>
      <c r="E780" s="21"/>
      <c r="F780" s="21"/>
      <c r="G780" s="22"/>
      <c r="H780" s="21"/>
      <c r="I780" s="21"/>
      <c r="J780" s="21"/>
      <c r="K780" s="23"/>
      <c r="L780" s="24"/>
      <c r="M780" s="21"/>
      <c r="N780" s="21"/>
      <c r="O780" s="25"/>
      <c r="P780" s="26"/>
      <c r="Q780" s="27" t="str">
        <f aca="false">IF(A780="","",SUMIF(Expenses!$B$2:$B$3000,A780,Expenses!$E$2:$E$3000))</f>
        <v/>
      </c>
      <c r="R780" s="27" t="str">
        <f aca="false">IF(A780="","",N(P780)+N(Q780))</f>
        <v/>
      </c>
      <c r="S780" s="28"/>
      <c r="T780" s="25"/>
      <c r="U780" s="26"/>
      <c r="V780" s="26"/>
      <c r="W780" s="26"/>
      <c r="X780" s="27" t="str">
        <f aca="false">IF(B780&lt;&gt;"SOLD","",IF(C780="Consignment",N(W780)-R780,N(U780)-R780-N(V780)))</f>
        <v/>
      </c>
      <c r="Y780" s="29" t="str">
        <f aca="false">IF(OR(X780="",N(R780)=0),"",X780/R780)</f>
        <v/>
      </c>
      <c r="Z780" s="30" t="str">
        <f aca="true">IF(O780="","",IF(T780="",TODAY(),T780)-O780)</f>
        <v/>
      </c>
      <c r="AA780" s="31" t="str">
        <f aca="false">IF(T780="","",TEXT(T780,"YYYY-MM"))</f>
        <v/>
      </c>
      <c r="AB780" s="27" t="str">
        <f aca="false">IF(X780="","",X780/2)</f>
        <v/>
      </c>
      <c r="AC780" s="21"/>
    </row>
    <row r="781" customFormat="false" ht="15" hidden="false" customHeight="false" outlineLevel="0" collapsed="false">
      <c r="A781" s="20"/>
      <c r="B781" s="21"/>
      <c r="C781" s="21"/>
      <c r="D781" s="21"/>
      <c r="E781" s="21"/>
      <c r="F781" s="21"/>
      <c r="G781" s="22"/>
      <c r="H781" s="21"/>
      <c r="I781" s="21"/>
      <c r="J781" s="21"/>
      <c r="K781" s="23"/>
      <c r="L781" s="24"/>
      <c r="M781" s="21"/>
      <c r="N781" s="21"/>
      <c r="O781" s="25"/>
      <c r="P781" s="26"/>
      <c r="Q781" s="27" t="str">
        <f aca="false">IF(A781="","",SUMIF(Expenses!$B$2:$B$3000,A781,Expenses!$E$2:$E$3000))</f>
        <v/>
      </c>
      <c r="R781" s="27" t="str">
        <f aca="false">IF(A781="","",N(P781)+N(Q781))</f>
        <v/>
      </c>
      <c r="S781" s="28"/>
      <c r="T781" s="25"/>
      <c r="U781" s="26"/>
      <c r="V781" s="26"/>
      <c r="W781" s="26"/>
      <c r="X781" s="27" t="str">
        <f aca="false">IF(B781&lt;&gt;"SOLD","",IF(C781="Consignment",N(W781)-R781,N(U781)-R781-N(V781)))</f>
        <v/>
      </c>
      <c r="Y781" s="29" t="str">
        <f aca="false">IF(OR(X781="",N(R781)=0),"",X781/R781)</f>
        <v/>
      </c>
      <c r="Z781" s="30" t="str">
        <f aca="true">IF(O781="","",IF(T781="",TODAY(),T781)-O781)</f>
        <v/>
      </c>
      <c r="AA781" s="31" t="str">
        <f aca="false">IF(T781="","",TEXT(T781,"YYYY-MM"))</f>
        <v/>
      </c>
      <c r="AB781" s="27" t="str">
        <f aca="false">IF(X781="","",X781/2)</f>
        <v/>
      </c>
      <c r="AC781" s="21"/>
    </row>
    <row r="782" customFormat="false" ht="15" hidden="false" customHeight="false" outlineLevel="0" collapsed="false">
      <c r="A782" s="20"/>
      <c r="B782" s="21"/>
      <c r="C782" s="21"/>
      <c r="D782" s="21"/>
      <c r="E782" s="21"/>
      <c r="F782" s="21"/>
      <c r="G782" s="22"/>
      <c r="H782" s="21"/>
      <c r="I782" s="21"/>
      <c r="J782" s="21"/>
      <c r="K782" s="23"/>
      <c r="L782" s="24"/>
      <c r="M782" s="21"/>
      <c r="N782" s="21"/>
      <c r="O782" s="25"/>
      <c r="P782" s="26"/>
      <c r="Q782" s="27" t="str">
        <f aca="false">IF(A782="","",SUMIF(Expenses!$B$2:$B$3000,A782,Expenses!$E$2:$E$3000))</f>
        <v/>
      </c>
      <c r="R782" s="27" t="str">
        <f aca="false">IF(A782="","",N(P782)+N(Q782))</f>
        <v/>
      </c>
      <c r="S782" s="28"/>
      <c r="T782" s="25"/>
      <c r="U782" s="26"/>
      <c r="V782" s="26"/>
      <c r="W782" s="26"/>
      <c r="X782" s="27" t="str">
        <f aca="false">IF(B782&lt;&gt;"SOLD","",IF(C782="Consignment",N(W782)-R782,N(U782)-R782-N(V782)))</f>
        <v/>
      </c>
      <c r="Y782" s="29" t="str">
        <f aca="false">IF(OR(X782="",N(R782)=0),"",X782/R782)</f>
        <v/>
      </c>
      <c r="Z782" s="30" t="str">
        <f aca="true">IF(O782="","",IF(T782="",TODAY(),T782)-O782)</f>
        <v/>
      </c>
      <c r="AA782" s="31" t="str">
        <f aca="false">IF(T782="","",TEXT(T782,"YYYY-MM"))</f>
        <v/>
      </c>
      <c r="AB782" s="27" t="str">
        <f aca="false">IF(X782="","",X782/2)</f>
        <v/>
      </c>
      <c r="AC782" s="21"/>
    </row>
    <row r="783" customFormat="false" ht="15" hidden="false" customHeight="false" outlineLevel="0" collapsed="false">
      <c r="A783" s="20"/>
      <c r="B783" s="21"/>
      <c r="C783" s="21"/>
      <c r="D783" s="21"/>
      <c r="E783" s="21"/>
      <c r="F783" s="21"/>
      <c r="G783" s="22"/>
      <c r="H783" s="21"/>
      <c r="I783" s="21"/>
      <c r="J783" s="21"/>
      <c r="K783" s="23"/>
      <c r="L783" s="24"/>
      <c r="M783" s="21"/>
      <c r="N783" s="21"/>
      <c r="O783" s="25"/>
      <c r="P783" s="26"/>
      <c r="Q783" s="27" t="str">
        <f aca="false">IF(A783="","",SUMIF(Expenses!$B$2:$B$3000,A783,Expenses!$E$2:$E$3000))</f>
        <v/>
      </c>
      <c r="R783" s="27" t="str">
        <f aca="false">IF(A783="","",N(P783)+N(Q783))</f>
        <v/>
      </c>
      <c r="S783" s="28"/>
      <c r="T783" s="25"/>
      <c r="U783" s="26"/>
      <c r="V783" s="26"/>
      <c r="W783" s="26"/>
      <c r="X783" s="27" t="str">
        <f aca="false">IF(B783&lt;&gt;"SOLD","",IF(C783="Consignment",N(W783)-R783,N(U783)-R783-N(V783)))</f>
        <v/>
      </c>
      <c r="Y783" s="29" t="str">
        <f aca="false">IF(OR(X783="",N(R783)=0),"",X783/R783)</f>
        <v/>
      </c>
      <c r="Z783" s="30" t="str">
        <f aca="true">IF(O783="","",IF(T783="",TODAY(),T783)-O783)</f>
        <v/>
      </c>
      <c r="AA783" s="31" t="str">
        <f aca="false">IF(T783="","",TEXT(T783,"YYYY-MM"))</f>
        <v/>
      </c>
      <c r="AB783" s="27" t="str">
        <f aca="false">IF(X783="","",X783/2)</f>
        <v/>
      </c>
      <c r="AC783" s="21"/>
    </row>
    <row r="784" customFormat="false" ht="15" hidden="false" customHeight="false" outlineLevel="0" collapsed="false">
      <c r="A784" s="20"/>
      <c r="B784" s="21"/>
      <c r="C784" s="21"/>
      <c r="D784" s="21"/>
      <c r="E784" s="21"/>
      <c r="F784" s="21"/>
      <c r="G784" s="22"/>
      <c r="H784" s="21"/>
      <c r="I784" s="21"/>
      <c r="J784" s="21"/>
      <c r="K784" s="23"/>
      <c r="L784" s="24"/>
      <c r="M784" s="21"/>
      <c r="N784" s="21"/>
      <c r="O784" s="25"/>
      <c r="P784" s="26"/>
      <c r="Q784" s="27" t="str">
        <f aca="false">IF(A784="","",SUMIF(Expenses!$B$2:$B$3000,A784,Expenses!$E$2:$E$3000))</f>
        <v/>
      </c>
      <c r="R784" s="27" t="str">
        <f aca="false">IF(A784="","",N(P784)+N(Q784))</f>
        <v/>
      </c>
      <c r="S784" s="28"/>
      <c r="T784" s="25"/>
      <c r="U784" s="26"/>
      <c r="V784" s="26"/>
      <c r="W784" s="26"/>
      <c r="X784" s="27" t="str">
        <f aca="false">IF(B784&lt;&gt;"SOLD","",IF(C784="Consignment",N(W784)-R784,N(U784)-R784-N(V784)))</f>
        <v/>
      </c>
      <c r="Y784" s="29" t="str">
        <f aca="false">IF(OR(X784="",N(R784)=0),"",X784/R784)</f>
        <v/>
      </c>
      <c r="Z784" s="30" t="str">
        <f aca="true">IF(O784="","",IF(T784="",TODAY(),T784)-O784)</f>
        <v/>
      </c>
      <c r="AA784" s="31" t="str">
        <f aca="false">IF(T784="","",TEXT(T784,"YYYY-MM"))</f>
        <v/>
      </c>
      <c r="AB784" s="27" t="str">
        <f aca="false">IF(X784="","",X784/2)</f>
        <v/>
      </c>
      <c r="AC784" s="21"/>
    </row>
    <row r="785" customFormat="false" ht="15" hidden="false" customHeight="false" outlineLevel="0" collapsed="false">
      <c r="A785" s="20"/>
      <c r="B785" s="21"/>
      <c r="C785" s="21"/>
      <c r="D785" s="21"/>
      <c r="E785" s="21"/>
      <c r="F785" s="21"/>
      <c r="G785" s="22"/>
      <c r="H785" s="21"/>
      <c r="I785" s="21"/>
      <c r="J785" s="21"/>
      <c r="K785" s="23"/>
      <c r="L785" s="24"/>
      <c r="M785" s="21"/>
      <c r="N785" s="21"/>
      <c r="O785" s="25"/>
      <c r="P785" s="26"/>
      <c r="Q785" s="27" t="str">
        <f aca="false">IF(A785="","",SUMIF(Expenses!$B$2:$B$3000,A785,Expenses!$E$2:$E$3000))</f>
        <v/>
      </c>
      <c r="R785" s="27" t="str">
        <f aca="false">IF(A785="","",N(P785)+N(Q785))</f>
        <v/>
      </c>
      <c r="S785" s="28"/>
      <c r="T785" s="25"/>
      <c r="U785" s="26"/>
      <c r="V785" s="26"/>
      <c r="W785" s="26"/>
      <c r="X785" s="27" t="str">
        <f aca="false">IF(B785&lt;&gt;"SOLD","",IF(C785="Consignment",N(W785)-R785,N(U785)-R785-N(V785)))</f>
        <v/>
      </c>
      <c r="Y785" s="29" t="str">
        <f aca="false">IF(OR(X785="",N(R785)=0),"",X785/R785)</f>
        <v/>
      </c>
      <c r="Z785" s="30" t="str">
        <f aca="true">IF(O785="","",IF(T785="",TODAY(),T785)-O785)</f>
        <v/>
      </c>
      <c r="AA785" s="31" t="str">
        <f aca="false">IF(T785="","",TEXT(T785,"YYYY-MM"))</f>
        <v/>
      </c>
      <c r="AB785" s="27" t="str">
        <f aca="false">IF(X785="","",X785/2)</f>
        <v/>
      </c>
      <c r="AC785" s="21"/>
    </row>
    <row r="786" customFormat="false" ht="15" hidden="false" customHeight="false" outlineLevel="0" collapsed="false">
      <c r="A786" s="20"/>
      <c r="B786" s="21"/>
      <c r="C786" s="21"/>
      <c r="D786" s="21"/>
      <c r="E786" s="21"/>
      <c r="F786" s="21"/>
      <c r="G786" s="22"/>
      <c r="H786" s="21"/>
      <c r="I786" s="21"/>
      <c r="J786" s="21"/>
      <c r="K786" s="23"/>
      <c r="L786" s="24"/>
      <c r="M786" s="21"/>
      <c r="N786" s="21"/>
      <c r="O786" s="25"/>
      <c r="P786" s="26"/>
      <c r="Q786" s="27" t="str">
        <f aca="false">IF(A786="","",SUMIF(Expenses!$B$2:$B$3000,A786,Expenses!$E$2:$E$3000))</f>
        <v/>
      </c>
      <c r="R786" s="27" t="str">
        <f aca="false">IF(A786="","",N(P786)+N(Q786))</f>
        <v/>
      </c>
      <c r="S786" s="28"/>
      <c r="T786" s="25"/>
      <c r="U786" s="26"/>
      <c r="V786" s="26"/>
      <c r="W786" s="26"/>
      <c r="X786" s="27" t="str">
        <f aca="false">IF(B786&lt;&gt;"SOLD","",IF(C786="Consignment",N(W786)-R786,N(U786)-R786-N(V786)))</f>
        <v/>
      </c>
      <c r="Y786" s="29" t="str">
        <f aca="false">IF(OR(X786="",N(R786)=0),"",X786/R786)</f>
        <v/>
      </c>
      <c r="Z786" s="30" t="str">
        <f aca="true">IF(O786="","",IF(T786="",TODAY(),T786)-O786)</f>
        <v/>
      </c>
      <c r="AA786" s="31" t="str">
        <f aca="false">IF(T786="","",TEXT(T786,"YYYY-MM"))</f>
        <v/>
      </c>
      <c r="AB786" s="27" t="str">
        <f aca="false">IF(X786="","",X786/2)</f>
        <v/>
      </c>
      <c r="AC786" s="21"/>
    </row>
    <row r="787" customFormat="false" ht="15" hidden="false" customHeight="false" outlineLevel="0" collapsed="false">
      <c r="A787" s="20"/>
      <c r="B787" s="21"/>
      <c r="C787" s="21"/>
      <c r="D787" s="21"/>
      <c r="E787" s="21"/>
      <c r="F787" s="21"/>
      <c r="G787" s="22"/>
      <c r="H787" s="21"/>
      <c r="I787" s="21"/>
      <c r="J787" s="21"/>
      <c r="K787" s="23"/>
      <c r="L787" s="24"/>
      <c r="M787" s="21"/>
      <c r="N787" s="21"/>
      <c r="O787" s="25"/>
      <c r="P787" s="26"/>
      <c r="Q787" s="27" t="str">
        <f aca="false">IF(A787="","",SUMIF(Expenses!$B$2:$B$3000,A787,Expenses!$E$2:$E$3000))</f>
        <v/>
      </c>
      <c r="R787" s="27" t="str">
        <f aca="false">IF(A787="","",N(P787)+N(Q787))</f>
        <v/>
      </c>
      <c r="S787" s="28"/>
      <c r="T787" s="25"/>
      <c r="U787" s="26"/>
      <c r="V787" s="26"/>
      <c r="W787" s="26"/>
      <c r="X787" s="27" t="str">
        <f aca="false">IF(B787&lt;&gt;"SOLD","",IF(C787="Consignment",N(W787)-R787,N(U787)-R787-N(V787)))</f>
        <v/>
      </c>
      <c r="Y787" s="29" t="str">
        <f aca="false">IF(OR(X787="",N(R787)=0),"",X787/R787)</f>
        <v/>
      </c>
      <c r="Z787" s="30" t="str">
        <f aca="true">IF(O787="","",IF(T787="",TODAY(),T787)-O787)</f>
        <v/>
      </c>
      <c r="AA787" s="31" t="str">
        <f aca="false">IF(T787="","",TEXT(T787,"YYYY-MM"))</f>
        <v/>
      </c>
      <c r="AB787" s="27" t="str">
        <f aca="false">IF(X787="","",X787/2)</f>
        <v/>
      </c>
      <c r="AC787" s="21"/>
    </row>
    <row r="788" customFormat="false" ht="15" hidden="false" customHeight="false" outlineLevel="0" collapsed="false">
      <c r="A788" s="20"/>
      <c r="B788" s="21"/>
      <c r="C788" s="21"/>
      <c r="D788" s="21"/>
      <c r="E788" s="21"/>
      <c r="F788" s="21"/>
      <c r="G788" s="22"/>
      <c r="H788" s="21"/>
      <c r="I788" s="21"/>
      <c r="J788" s="21"/>
      <c r="K788" s="23"/>
      <c r="L788" s="24"/>
      <c r="M788" s="21"/>
      <c r="N788" s="21"/>
      <c r="O788" s="25"/>
      <c r="P788" s="26"/>
      <c r="Q788" s="27" t="str">
        <f aca="false">IF(A788="","",SUMIF(Expenses!$B$2:$B$3000,A788,Expenses!$E$2:$E$3000))</f>
        <v/>
      </c>
      <c r="R788" s="27" t="str">
        <f aca="false">IF(A788="","",N(P788)+N(Q788))</f>
        <v/>
      </c>
      <c r="S788" s="28"/>
      <c r="T788" s="25"/>
      <c r="U788" s="26"/>
      <c r="V788" s="26"/>
      <c r="W788" s="26"/>
      <c r="X788" s="27" t="str">
        <f aca="false">IF(B788&lt;&gt;"SOLD","",IF(C788="Consignment",N(W788)-R788,N(U788)-R788-N(V788)))</f>
        <v/>
      </c>
      <c r="Y788" s="29" t="str">
        <f aca="false">IF(OR(X788="",N(R788)=0),"",X788/R788)</f>
        <v/>
      </c>
      <c r="Z788" s="30" t="str">
        <f aca="true">IF(O788="","",IF(T788="",TODAY(),T788)-O788)</f>
        <v/>
      </c>
      <c r="AA788" s="31" t="str">
        <f aca="false">IF(T788="","",TEXT(T788,"YYYY-MM"))</f>
        <v/>
      </c>
      <c r="AB788" s="27" t="str">
        <f aca="false">IF(X788="","",X788/2)</f>
        <v/>
      </c>
      <c r="AC788" s="21"/>
    </row>
    <row r="789" customFormat="false" ht="15" hidden="false" customHeight="false" outlineLevel="0" collapsed="false">
      <c r="A789" s="20"/>
      <c r="B789" s="21"/>
      <c r="C789" s="21"/>
      <c r="D789" s="21"/>
      <c r="E789" s="21"/>
      <c r="F789" s="21"/>
      <c r="G789" s="22"/>
      <c r="H789" s="21"/>
      <c r="I789" s="21"/>
      <c r="J789" s="21"/>
      <c r="K789" s="23"/>
      <c r="L789" s="24"/>
      <c r="M789" s="21"/>
      <c r="N789" s="21"/>
      <c r="O789" s="25"/>
      <c r="P789" s="26"/>
      <c r="Q789" s="27" t="str">
        <f aca="false">IF(A789="","",SUMIF(Expenses!$B$2:$B$3000,A789,Expenses!$E$2:$E$3000))</f>
        <v/>
      </c>
      <c r="R789" s="27" t="str">
        <f aca="false">IF(A789="","",N(P789)+N(Q789))</f>
        <v/>
      </c>
      <c r="S789" s="28"/>
      <c r="T789" s="25"/>
      <c r="U789" s="26"/>
      <c r="V789" s="26"/>
      <c r="W789" s="26"/>
      <c r="X789" s="27" t="str">
        <f aca="false">IF(B789&lt;&gt;"SOLD","",IF(C789="Consignment",N(W789)-R789,N(U789)-R789-N(V789)))</f>
        <v/>
      </c>
      <c r="Y789" s="29" t="str">
        <f aca="false">IF(OR(X789="",N(R789)=0),"",X789/R789)</f>
        <v/>
      </c>
      <c r="Z789" s="30" t="str">
        <f aca="true">IF(O789="","",IF(T789="",TODAY(),T789)-O789)</f>
        <v/>
      </c>
      <c r="AA789" s="31" t="str">
        <f aca="false">IF(T789="","",TEXT(T789,"YYYY-MM"))</f>
        <v/>
      </c>
      <c r="AB789" s="27" t="str">
        <f aca="false">IF(X789="","",X789/2)</f>
        <v/>
      </c>
      <c r="AC789" s="21"/>
    </row>
    <row r="790" customFormat="false" ht="15" hidden="false" customHeight="false" outlineLevel="0" collapsed="false">
      <c r="A790" s="20"/>
      <c r="B790" s="21"/>
      <c r="C790" s="21"/>
      <c r="D790" s="21"/>
      <c r="E790" s="21"/>
      <c r="F790" s="21"/>
      <c r="G790" s="22"/>
      <c r="H790" s="21"/>
      <c r="I790" s="21"/>
      <c r="J790" s="21"/>
      <c r="K790" s="23"/>
      <c r="L790" s="24"/>
      <c r="M790" s="21"/>
      <c r="N790" s="21"/>
      <c r="O790" s="25"/>
      <c r="P790" s="26"/>
      <c r="Q790" s="27" t="str">
        <f aca="false">IF(A790="","",SUMIF(Expenses!$B$2:$B$3000,A790,Expenses!$E$2:$E$3000))</f>
        <v/>
      </c>
      <c r="R790" s="27" t="str">
        <f aca="false">IF(A790="","",N(P790)+N(Q790))</f>
        <v/>
      </c>
      <c r="S790" s="28"/>
      <c r="T790" s="25"/>
      <c r="U790" s="26"/>
      <c r="V790" s="26"/>
      <c r="W790" s="26"/>
      <c r="X790" s="27" t="str">
        <f aca="false">IF(B790&lt;&gt;"SOLD","",IF(C790="Consignment",N(W790)-R790,N(U790)-R790-N(V790)))</f>
        <v/>
      </c>
      <c r="Y790" s="29" t="str">
        <f aca="false">IF(OR(X790="",N(R790)=0),"",X790/R790)</f>
        <v/>
      </c>
      <c r="Z790" s="30" t="str">
        <f aca="true">IF(O790="","",IF(T790="",TODAY(),T790)-O790)</f>
        <v/>
      </c>
      <c r="AA790" s="31" t="str">
        <f aca="false">IF(T790="","",TEXT(T790,"YYYY-MM"))</f>
        <v/>
      </c>
      <c r="AB790" s="27" t="str">
        <f aca="false">IF(X790="","",X790/2)</f>
        <v/>
      </c>
      <c r="AC790" s="21"/>
    </row>
    <row r="791" customFormat="false" ht="15" hidden="false" customHeight="false" outlineLevel="0" collapsed="false">
      <c r="A791" s="20"/>
      <c r="B791" s="21"/>
      <c r="C791" s="21"/>
      <c r="D791" s="21"/>
      <c r="E791" s="21"/>
      <c r="F791" s="21"/>
      <c r="G791" s="22"/>
      <c r="H791" s="21"/>
      <c r="I791" s="21"/>
      <c r="J791" s="21"/>
      <c r="K791" s="23"/>
      <c r="L791" s="24"/>
      <c r="M791" s="21"/>
      <c r="N791" s="21"/>
      <c r="O791" s="25"/>
      <c r="P791" s="26"/>
      <c r="Q791" s="27" t="str">
        <f aca="false">IF(A791="","",SUMIF(Expenses!$B$2:$B$3000,A791,Expenses!$E$2:$E$3000))</f>
        <v/>
      </c>
      <c r="R791" s="27" t="str">
        <f aca="false">IF(A791="","",N(P791)+N(Q791))</f>
        <v/>
      </c>
      <c r="S791" s="28"/>
      <c r="T791" s="25"/>
      <c r="U791" s="26"/>
      <c r="V791" s="26"/>
      <c r="W791" s="26"/>
      <c r="X791" s="27" t="str">
        <f aca="false">IF(B791&lt;&gt;"SOLD","",IF(C791="Consignment",N(W791)-R791,N(U791)-R791-N(V791)))</f>
        <v/>
      </c>
      <c r="Y791" s="29" t="str">
        <f aca="false">IF(OR(X791="",N(R791)=0),"",X791/R791)</f>
        <v/>
      </c>
      <c r="Z791" s="30" t="str">
        <f aca="true">IF(O791="","",IF(T791="",TODAY(),T791)-O791)</f>
        <v/>
      </c>
      <c r="AA791" s="31" t="str">
        <f aca="false">IF(T791="","",TEXT(T791,"YYYY-MM"))</f>
        <v/>
      </c>
      <c r="AB791" s="27" t="str">
        <f aca="false">IF(X791="","",X791/2)</f>
        <v/>
      </c>
      <c r="AC791" s="21"/>
    </row>
    <row r="792" customFormat="false" ht="15" hidden="false" customHeight="false" outlineLevel="0" collapsed="false">
      <c r="A792" s="20"/>
      <c r="B792" s="21"/>
      <c r="C792" s="21"/>
      <c r="D792" s="21"/>
      <c r="E792" s="21"/>
      <c r="F792" s="21"/>
      <c r="G792" s="22"/>
      <c r="H792" s="21"/>
      <c r="I792" s="21"/>
      <c r="J792" s="21"/>
      <c r="K792" s="23"/>
      <c r="L792" s="24"/>
      <c r="M792" s="21"/>
      <c r="N792" s="21"/>
      <c r="O792" s="25"/>
      <c r="P792" s="26"/>
      <c r="Q792" s="27" t="str">
        <f aca="false">IF(A792="","",SUMIF(Expenses!$B$2:$B$3000,A792,Expenses!$E$2:$E$3000))</f>
        <v/>
      </c>
      <c r="R792" s="27" t="str">
        <f aca="false">IF(A792="","",N(P792)+N(Q792))</f>
        <v/>
      </c>
      <c r="S792" s="28"/>
      <c r="T792" s="25"/>
      <c r="U792" s="26"/>
      <c r="V792" s="26"/>
      <c r="W792" s="26"/>
      <c r="X792" s="27" t="str">
        <f aca="false">IF(B792&lt;&gt;"SOLD","",IF(C792="Consignment",N(W792)-R792,N(U792)-R792-N(V792)))</f>
        <v/>
      </c>
      <c r="Y792" s="29" t="str">
        <f aca="false">IF(OR(X792="",N(R792)=0),"",X792/R792)</f>
        <v/>
      </c>
      <c r="Z792" s="30" t="str">
        <f aca="true">IF(O792="","",IF(T792="",TODAY(),T792)-O792)</f>
        <v/>
      </c>
      <c r="AA792" s="31" t="str">
        <f aca="false">IF(T792="","",TEXT(T792,"YYYY-MM"))</f>
        <v/>
      </c>
      <c r="AB792" s="27" t="str">
        <f aca="false">IF(X792="","",X792/2)</f>
        <v/>
      </c>
      <c r="AC792" s="21"/>
    </row>
    <row r="793" customFormat="false" ht="15" hidden="false" customHeight="false" outlineLevel="0" collapsed="false">
      <c r="A793" s="20"/>
      <c r="B793" s="21"/>
      <c r="C793" s="21"/>
      <c r="D793" s="21"/>
      <c r="E793" s="21"/>
      <c r="F793" s="21"/>
      <c r="G793" s="22"/>
      <c r="H793" s="21"/>
      <c r="I793" s="21"/>
      <c r="J793" s="21"/>
      <c r="K793" s="23"/>
      <c r="L793" s="24"/>
      <c r="M793" s="21"/>
      <c r="N793" s="21"/>
      <c r="O793" s="25"/>
      <c r="P793" s="26"/>
      <c r="Q793" s="27" t="str">
        <f aca="false">IF(A793="","",SUMIF(Expenses!$B$2:$B$3000,A793,Expenses!$E$2:$E$3000))</f>
        <v/>
      </c>
      <c r="R793" s="27" t="str">
        <f aca="false">IF(A793="","",N(P793)+N(Q793))</f>
        <v/>
      </c>
      <c r="S793" s="28"/>
      <c r="T793" s="25"/>
      <c r="U793" s="26"/>
      <c r="V793" s="26"/>
      <c r="W793" s="26"/>
      <c r="X793" s="27" t="str">
        <f aca="false">IF(B793&lt;&gt;"SOLD","",IF(C793="Consignment",N(W793)-R793,N(U793)-R793-N(V793)))</f>
        <v/>
      </c>
      <c r="Y793" s="29" t="str">
        <f aca="false">IF(OR(X793="",N(R793)=0),"",X793/R793)</f>
        <v/>
      </c>
      <c r="Z793" s="30" t="str">
        <f aca="true">IF(O793="","",IF(T793="",TODAY(),T793)-O793)</f>
        <v/>
      </c>
      <c r="AA793" s="31" t="str">
        <f aca="false">IF(T793="","",TEXT(T793,"YYYY-MM"))</f>
        <v/>
      </c>
      <c r="AB793" s="27" t="str">
        <f aca="false">IF(X793="","",X793/2)</f>
        <v/>
      </c>
      <c r="AC793" s="21"/>
    </row>
    <row r="794" customFormat="false" ht="15" hidden="false" customHeight="false" outlineLevel="0" collapsed="false">
      <c r="A794" s="20"/>
      <c r="B794" s="21"/>
      <c r="C794" s="21"/>
      <c r="D794" s="21"/>
      <c r="E794" s="21"/>
      <c r="F794" s="21"/>
      <c r="G794" s="22"/>
      <c r="H794" s="21"/>
      <c r="I794" s="21"/>
      <c r="J794" s="21"/>
      <c r="K794" s="23"/>
      <c r="L794" s="24"/>
      <c r="M794" s="21"/>
      <c r="N794" s="21"/>
      <c r="O794" s="25"/>
      <c r="P794" s="26"/>
      <c r="Q794" s="27" t="str">
        <f aca="false">IF(A794="","",SUMIF(Expenses!$B$2:$B$3000,A794,Expenses!$E$2:$E$3000))</f>
        <v/>
      </c>
      <c r="R794" s="27" t="str">
        <f aca="false">IF(A794="","",N(P794)+N(Q794))</f>
        <v/>
      </c>
      <c r="S794" s="28"/>
      <c r="T794" s="25"/>
      <c r="U794" s="26"/>
      <c r="V794" s="26"/>
      <c r="W794" s="26"/>
      <c r="X794" s="27" t="str">
        <f aca="false">IF(B794&lt;&gt;"SOLD","",IF(C794="Consignment",N(W794)-R794,N(U794)-R794-N(V794)))</f>
        <v/>
      </c>
      <c r="Y794" s="29" t="str">
        <f aca="false">IF(OR(X794="",N(R794)=0),"",X794/R794)</f>
        <v/>
      </c>
      <c r="Z794" s="30" t="str">
        <f aca="true">IF(O794="","",IF(T794="",TODAY(),T794)-O794)</f>
        <v/>
      </c>
      <c r="AA794" s="31" t="str">
        <f aca="false">IF(T794="","",TEXT(T794,"YYYY-MM"))</f>
        <v/>
      </c>
      <c r="AB794" s="27" t="str">
        <f aca="false">IF(X794="","",X794/2)</f>
        <v/>
      </c>
      <c r="AC794" s="21"/>
    </row>
    <row r="795" customFormat="false" ht="15" hidden="false" customHeight="false" outlineLevel="0" collapsed="false">
      <c r="A795" s="20"/>
      <c r="B795" s="21"/>
      <c r="C795" s="21"/>
      <c r="D795" s="21"/>
      <c r="E795" s="21"/>
      <c r="F795" s="21"/>
      <c r="G795" s="22"/>
      <c r="H795" s="21"/>
      <c r="I795" s="21"/>
      <c r="J795" s="21"/>
      <c r="K795" s="23"/>
      <c r="L795" s="24"/>
      <c r="M795" s="21"/>
      <c r="N795" s="21"/>
      <c r="O795" s="25"/>
      <c r="P795" s="26"/>
      <c r="Q795" s="27" t="str">
        <f aca="false">IF(A795="","",SUMIF(Expenses!$B$2:$B$3000,A795,Expenses!$E$2:$E$3000))</f>
        <v/>
      </c>
      <c r="R795" s="27" t="str">
        <f aca="false">IF(A795="","",N(P795)+N(Q795))</f>
        <v/>
      </c>
      <c r="S795" s="28"/>
      <c r="T795" s="25"/>
      <c r="U795" s="26"/>
      <c r="V795" s="26"/>
      <c r="W795" s="26"/>
      <c r="X795" s="27" t="str">
        <f aca="false">IF(B795&lt;&gt;"SOLD","",IF(C795="Consignment",N(W795)-R795,N(U795)-R795-N(V795)))</f>
        <v/>
      </c>
      <c r="Y795" s="29" t="str">
        <f aca="false">IF(OR(X795="",N(R795)=0),"",X795/R795)</f>
        <v/>
      </c>
      <c r="Z795" s="30" t="str">
        <f aca="true">IF(O795="","",IF(T795="",TODAY(),T795)-O795)</f>
        <v/>
      </c>
      <c r="AA795" s="31" t="str">
        <f aca="false">IF(T795="","",TEXT(T795,"YYYY-MM"))</f>
        <v/>
      </c>
      <c r="AB795" s="27" t="str">
        <f aca="false">IF(X795="","",X795/2)</f>
        <v/>
      </c>
      <c r="AC795" s="21"/>
    </row>
    <row r="796" customFormat="false" ht="15" hidden="false" customHeight="false" outlineLevel="0" collapsed="false">
      <c r="A796" s="20"/>
      <c r="B796" s="21"/>
      <c r="C796" s="21"/>
      <c r="D796" s="21"/>
      <c r="E796" s="21"/>
      <c r="F796" s="21"/>
      <c r="G796" s="22"/>
      <c r="H796" s="21"/>
      <c r="I796" s="21"/>
      <c r="J796" s="21"/>
      <c r="K796" s="23"/>
      <c r="L796" s="24"/>
      <c r="M796" s="21"/>
      <c r="N796" s="21"/>
      <c r="O796" s="25"/>
      <c r="P796" s="26"/>
      <c r="Q796" s="27" t="str">
        <f aca="false">IF(A796="","",SUMIF(Expenses!$B$2:$B$3000,A796,Expenses!$E$2:$E$3000))</f>
        <v/>
      </c>
      <c r="R796" s="27" t="str">
        <f aca="false">IF(A796="","",N(P796)+N(Q796))</f>
        <v/>
      </c>
      <c r="S796" s="28"/>
      <c r="T796" s="25"/>
      <c r="U796" s="26"/>
      <c r="V796" s="26"/>
      <c r="W796" s="26"/>
      <c r="X796" s="27" t="str">
        <f aca="false">IF(B796&lt;&gt;"SOLD","",IF(C796="Consignment",N(W796)-R796,N(U796)-R796-N(V796)))</f>
        <v/>
      </c>
      <c r="Y796" s="29" t="str">
        <f aca="false">IF(OR(X796="",N(R796)=0),"",X796/R796)</f>
        <v/>
      </c>
      <c r="Z796" s="30" t="str">
        <f aca="true">IF(O796="","",IF(T796="",TODAY(),T796)-O796)</f>
        <v/>
      </c>
      <c r="AA796" s="31" t="str">
        <f aca="false">IF(T796="","",TEXT(T796,"YYYY-MM"))</f>
        <v/>
      </c>
      <c r="AB796" s="27" t="str">
        <f aca="false">IF(X796="","",X796/2)</f>
        <v/>
      </c>
      <c r="AC796" s="21"/>
    </row>
    <row r="797" customFormat="false" ht="15" hidden="false" customHeight="false" outlineLevel="0" collapsed="false">
      <c r="A797" s="20"/>
      <c r="B797" s="21"/>
      <c r="C797" s="21"/>
      <c r="D797" s="21"/>
      <c r="E797" s="21"/>
      <c r="F797" s="21"/>
      <c r="G797" s="22"/>
      <c r="H797" s="21"/>
      <c r="I797" s="21"/>
      <c r="J797" s="21"/>
      <c r="K797" s="23"/>
      <c r="L797" s="24"/>
      <c r="M797" s="21"/>
      <c r="N797" s="21"/>
      <c r="O797" s="25"/>
      <c r="P797" s="26"/>
      <c r="Q797" s="27" t="str">
        <f aca="false">IF(A797="","",SUMIF(Expenses!$B$2:$B$3000,A797,Expenses!$E$2:$E$3000))</f>
        <v/>
      </c>
      <c r="R797" s="27" t="str">
        <f aca="false">IF(A797="","",N(P797)+N(Q797))</f>
        <v/>
      </c>
      <c r="S797" s="28"/>
      <c r="T797" s="25"/>
      <c r="U797" s="26"/>
      <c r="V797" s="26"/>
      <c r="W797" s="26"/>
      <c r="X797" s="27" t="str">
        <f aca="false">IF(B797&lt;&gt;"SOLD","",IF(C797="Consignment",N(W797)-R797,N(U797)-R797-N(V797)))</f>
        <v/>
      </c>
      <c r="Y797" s="29" t="str">
        <f aca="false">IF(OR(X797="",N(R797)=0),"",X797/R797)</f>
        <v/>
      </c>
      <c r="Z797" s="30" t="str">
        <f aca="true">IF(O797="","",IF(T797="",TODAY(),T797)-O797)</f>
        <v/>
      </c>
      <c r="AA797" s="31" t="str">
        <f aca="false">IF(T797="","",TEXT(T797,"YYYY-MM"))</f>
        <v/>
      </c>
      <c r="AB797" s="27" t="str">
        <f aca="false">IF(X797="","",X797/2)</f>
        <v/>
      </c>
      <c r="AC797" s="21"/>
    </row>
    <row r="798" customFormat="false" ht="15" hidden="false" customHeight="false" outlineLevel="0" collapsed="false">
      <c r="A798" s="20"/>
      <c r="B798" s="21"/>
      <c r="C798" s="21"/>
      <c r="D798" s="21"/>
      <c r="E798" s="21"/>
      <c r="F798" s="21"/>
      <c r="G798" s="22"/>
      <c r="H798" s="21"/>
      <c r="I798" s="21"/>
      <c r="J798" s="21"/>
      <c r="K798" s="23"/>
      <c r="L798" s="24"/>
      <c r="M798" s="21"/>
      <c r="N798" s="21"/>
      <c r="O798" s="25"/>
      <c r="P798" s="26"/>
      <c r="Q798" s="27" t="str">
        <f aca="false">IF(A798="","",SUMIF(Expenses!$B$2:$B$3000,A798,Expenses!$E$2:$E$3000))</f>
        <v/>
      </c>
      <c r="R798" s="27" t="str">
        <f aca="false">IF(A798="","",N(P798)+N(Q798))</f>
        <v/>
      </c>
      <c r="S798" s="28"/>
      <c r="T798" s="25"/>
      <c r="U798" s="26"/>
      <c r="V798" s="26"/>
      <c r="W798" s="26"/>
      <c r="X798" s="27" t="str">
        <f aca="false">IF(B798&lt;&gt;"SOLD","",IF(C798="Consignment",N(W798)-R798,N(U798)-R798-N(V798)))</f>
        <v/>
      </c>
      <c r="Y798" s="29" t="str">
        <f aca="false">IF(OR(X798="",N(R798)=0),"",X798/R798)</f>
        <v/>
      </c>
      <c r="Z798" s="30" t="str">
        <f aca="true">IF(O798="","",IF(T798="",TODAY(),T798)-O798)</f>
        <v/>
      </c>
      <c r="AA798" s="31" t="str">
        <f aca="false">IF(T798="","",TEXT(T798,"YYYY-MM"))</f>
        <v/>
      </c>
      <c r="AB798" s="27" t="str">
        <f aca="false">IF(X798="","",X798/2)</f>
        <v/>
      </c>
      <c r="AC798" s="21"/>
    </row>
    <row r="799" customFormat="false" ht="15" hidden="false" customHeight="false" outlineLevel="0" collapsed="false">
      <c r="A799" s="20"/>
      <c r="B799" s="21"/>
      <c r="C799" s="21"/>
      <c r="D799" s="21"/>
      <c r="E799" s="21"/>
      <c r="F799" s="21"/>
      <c r="G799" s="22"/>
      <c r="H799" s="21"/>
      <c r="I799" s="21"/>
      <c r="J799" s="21"/>
      <c r="K799" s="23"/>
      <c r="L799" s="24"/>
      <c r="M799" s="21"/>
      <c r="N799" s="21"/>
      <c r="O799" s="25"/>
      <c r="P799" s="26"/>
      <c r="Q799" s="27" t="str">
        <f aca="false">IF(A799="","",SUMIF(Expenses!$B$2:$B$3000,A799,Expenses!$E$2:$E$3000))</f>
        <v/>
      </c>
      <c r="R799" s="27" t="str">
        <f aca="false">IF(A799="","",N(P799)+N(Q799))</f>
        <v/>
      </c>
      <c r="S799" s="28"/>
      <c r="T799" s="25"/>
      <c r="U799" s="26"/>
      <c r="V799" s="26"/>
      <c r="W799" s="26"/>
      <c r="X799" s="27" t="str">
        <f aca="false">IF(B799&lt;&gt;"SOLD","",IF(C799="Consignment",N(W799)-R799,N(U799)-R799-N(V799)))</f>
        <v/>
      </c>
      <c r="Y799" s="29" t="str">
        <f aca="false">IF(OR(X799="",N(R799)=0),"",X799/R799)</f>
        <v/>
      </c>
      <c r="Z799" s="30" t="str">
        <f aca="true">IF(O799="","",IF(T799="",TODAY(),T799)-O799)</f>
        <v/>
      </c>
      <c r="AA799" s="31" t="str">
        <f aca="false">IF(T799="","",TEXT(T799,"YYYY-MM"))</f>
        <v/>
      </c>
      <c r="AB799" s="27" t="str">
        <f aca="false">IF(X799="","",X799/2)</f>
        <v/>
      </c>
      <c r="AC799" s="21"/>
    </row>
    <row r="800" customFormat="false" ht="15" hidden="false" customHeight="false" outlineLevel="0" collapsed="false">
      <c r="A800" s="20"/>
      <c r="B800" s="21"/>
      <c r="C800" s="21"/>
      <c r="D800" s="21"/>
      <c r="E800" s="21"/>
      <c r="F800" s="21"/>
      <c r="G800" s="22"/>
      <c r="H800" s="21"/>
      <c r="I800" s="21"/>
      <c r="J800" s="21"/>
      <c r="K800" s="23"/>
      <c r="L800" s="24"/>
      <c r="M800" s="21"/>
      <c r="N800" s="21"/>
      <c r="O800" s="25"/>
      <c r="P800" s="26"/>
      <c r="Q800" s="27" t="str">
        <f aca="false">IF(A800="","",SUMIF(Expenses!$B$2:$B$3000,A800,Expenses!$E$2:$E$3000))</f>
        <v/>
      </c>
      <c r="R800" s="27" t="str">
        <f aca="false">IF(A800="","",N(P800)+N(Q800))</f>
        <v/>
      </c>
      <c r="S800" s="28"/>
      <c r="T800" s="25"/>
      <c r="U800" s="26"/>
      <c r="V800" s="26"/>
      <c r="W800" s="26"/>
      <c r="X800" s="27" t="str">
        <f aca="false">IF(B800&lt;&gt;"SOLD","",IF(C800="Consignment",N(W800)-R800,N(U800)-R800-N(V800)))</f>
        <v/>
      </c>
      <c r="Y800" s="29" t="str">
        <f aca="false">IF(OR(X800="",N(R800)=0),"",X800/R800)</f>
        <v/>
      </c>
      <c r="Z800" s="30" t="str">
        <f aca="true">IF(O800="","",IF(T800="",TODAY(),T800)-O800)</f>
        <v/>
      </c>
      <c r="AA800" s="31" t="str">
        <f aca="false">IF(T800="","",TEXT(T800,"YYYY-MM"))</f>
        <v/>
      </c>
      <c r="AB800" s="27" t="str">
        <f aca="false">IF(X800="","",X800/2)</f>
        <v/>
      </c>
      <c r="AC800" s="21"/>
    </row>
    <row r="801" customFormat="false" ht="15" hidden="false" customHeight="false" outlineLevel="0" collapsed="false">
      <c r="A801" s="20"/>
      <c r="B801" s="21"/>
      <c r="C801" s="21"/>
      <c r="D801" s="21"/>
      <c r="E801" s="21"/>
      <c r="F801" s="21"/>
      <c r="G801" s="22"/>
      <c r="H801" s="21"/>
      <c r="I801" s="21"/>
      <c r="J801" s="21"/>
      <c r="K801" s="23"/>
      <c r="L801" s="24"/>
      <c r="M801" s="21"/>
      <c r="N801" s="21"/>
      <c r="O801" s="25"/>
      <c r="P801" s="26"/>
      <c r="Q801" s="27" t="str">
        <f aca="false">IF(A801="","",SUMIF(Expenses!$B$2:$B$3000,A801,Expenses!$E$2:$E$3000))</f>
        <v/>
      </c>
      <c r="R801" s="27" t="str">
        <f aca="false">IF(A801="","",N(P801)+N(Q801))</f>
        <v/>
      </c>
      <c r="S801" s="28"/>
      <c r="T801" s="25"/>
      <c r="U801" s="26"/>
      <c r="V801" s="26"/>
      <c r="W801" s="26"/>
      <c r="X801" s="27" t="str">
        <f aca="false">IF(B801&lt;&gt;"SOLD","",IF(C801="Consignment",N(W801)-R801,N(U801)-R801-N(V801)))</f>
        <v/>
      </c>
      <c r="Y801" s="29" t="str">
        <f aca="false">IF(OR(X801="",N(R801)=0),"",X801/R801)</f>
        <v/>
      </c>
      <c r="Z801" s="30" t="str">
        <f aca="true">IF(O801="","",IF(T801="",TODAY(),T801)-O801)</f>
        <v/>
      </c>
      <c r="AA801" s="31" t="str">
        <f aca="false">IF(T801="","",TEXT(T801,"YYYY-MM"))</f>
        <v/>
      </c>
      <c r="AB801" s="27" t="str">
        <f aca="false">IF(X801="","",X801/2)</f>
        <v/>
      </c>
      <c r="AC801" s="21"/>
    </row>
    <row r="802" customFormat="false" ht="15" hidden="false" customHeight="false" outlineLevel="0" collapsed="false">
      <c r="A802" s="20"/>
      <c r="B802" s="21"/>
      <c r="C802" s="21"/>
      <c r="D802" s="21"/>
      <c r="E802" s="21"/>
      <c r="F802" s="21"/>
      <c r="G802" s="22"/>
      <c r="H802" s="21"/>
      <c r="I802" s="21"/>
      <c r="J802" s="21"/>
      <c r="K802" s="23"/>
      <c r="L802" s="24"/>
      <c r="M802" s="21"/>
      <c r="N802" s="21"/>
      <c r="O802" s="25"/>
      <c r="P802" s="26"/>
      <c r="Q802" s="27" t="str">
        <f aca="false">IF(A802="","",SUMIF(Expenses!$B$2:$B$3000,A802,Expenses!$E$2:$E$3000))</f>
        <v/>
      </c>
      <c r="R802" s="27" t="str">
        <f aca="false">IF(A802="","",N(P802)+N(Q802))</f>
        <v/>
      </c>
      <c r="S802" s="28"/>
      <c r="T802" s="25"/>
      <c r="U802" s="26"/>
      <c r="V802" s="26"/>
      <c r="W802" s="26"/>
      <c r="X802" s="27" t="str">
        <f aca="false">IF(B802&lt;&gt;"SOLD","",IF(C802="Consignment",N(W802)-R802,N(U802)-R802-N(V802)))</f>
        <v/>
      </c>
      <c r="Y802" s="29" t="str">
        <f aca="false">IF(OR(X802="",N(R802)=0),"",X802/R802)</f>
        <v/>
      </c>
      <c r="Z802" s="30" t="str">
        <f aca="true">IF(O802="","",IF(T802="",TODAY(),T802)-O802)</f>
        <v/>
      </c>
      <c r="AA802" s="31" t="str">
        <f aca="false">IF(T802="","",TEXT(T802,"YYYY-MM"))</f>
        <v/>
      </c>
      <c r="AB802" s="27" t="str">
        <f aca="false">IF(X802="","",X802/2)</f>
        <v/>
      </c>
      <c r="AC802" s="21"/>
    </row>
    <row r="803" customFormat="false" ht="15" hidden="false" customHeight="false" outlineLevel="0" collapsed="false">
      <c r="A803" s="20"/>
      <c r="B803" s="21"/>
      <c r="C803" s="21"/>
      <c r="D803" s="21"/>
      <c r="E803" s="21"/>
      <c r="F803" s="21"/>
      <c r="G803" s="22"/>
      <c r="H803" s="21"/>
      <c r="I803" s="21"/>
      <c r="J803" s="21"/>
      <c r="K803" s="23"/>
      <c r="L803" s="24"/>
      <c r="M803" s="21"/>
      <c r="N803" s="21"/>
      <c r="O803" s="25"/>
      <c r="P803" s="26"/>
      <c r="Q803" s="27" t="str">
        <f aca="false">IF(A803="","",SUMIF(Expenses!$B$2:$B$3000,A803,Expenses!$E$2:$E$3000))</f>
        <v/>
      </c>
      <c r="R803" s="27" t="str">
        <f aca="false">IF(A803="","",N(P803)+N(Q803))</f>
        <v/>
      </c>
      <c r="S803" s="28"/>
      <c r="T803" s="25"/>
      <c r="U803" s="26"/>
      <c r="V803" s="26"/>
      <c r="W803" s="26"/>
      <c r="X803" s="27" t="str">
        <f aca="false">IF(B803&lt;&gt;"SOLD","",IF(C803="Consignment",N(W803)-R803,N(U803)-R803-N(V803)))</f>
        <v/>
      </c>
      <c r="Y803" s="29" t="str">
        <f aca="false">IF(OR(X803="",N(R803)=0),"",X803/R803)</f>
        <v/>
      </c>
      <c r="Z803" s="30" t="str">
        <f aca="true">IF(O803="","",IF(T803="",TODAY(),T803)-O803)</f>
        <v/>
      </c>
      <c r="AA803" s="31" t="str">
        <f aca="false">IF(T803="","",TEXT(T803,"YYYY-MM"))</f>
        <v/>
      </c>
      <c r="AB803" s="27" t="str">
        <f aca="false">IF(X803="","",X803/2)</f>
        <v/>
      </c>
      <c r="AC803" s="21"/>
    </row>
    <row r="804" customFormat="false" ht="15" hidden="false" customHeight="false" outlineLevel="0" collapsed="false">
      <c r="A804" s="20"/>
      <c r="B804" s="21"/>
      <c r="C804" s="21"/>
      <c r="D804" s="21"/>
      <c r="E804" s="21"/>
      <c r="F804" s="21"/>
      <c r="G804" s="22"/>
      <c r="H804" s="21"/>
      <c r="I804" s="21"/>
      <c r="J804" s="21"/>
      <c r="K804" s="23"/>
      <c r="L804" s="24"/>
      <c r="M804" s="21"/>
      <c r="N804" s="21"/>
      <c r="O804" s="25"/>
      <c r="P804" s="26"/>
      <c r="Q804" s="27" t="str">
        <f aca="false">IF(A804="","",SUMIF(Expenses!$B$2:$B$3000,A804,Expenses!$E$2:$E$3000))</f>
        <v/>
      </c>
      <c r="R804" s="27" t="str">
        <f aca="false">IF(A804="","",N(P804)+N(Q804))</f>
        <v/>
      </c>
      <c r="S804" s="28"/>
      <c r="T804" s="25"/>
      <c r="U804" s="26"/>
      <c r="V804" s="26"/>
      <c r="W804" s="26"/>
      <c r="X804" s="27" t="str">
        <f aca="false">IF(B804&lt;&gt;"SOLD","",IF(C804="Consignment",N(W804)-R804,N(U804)-R804-N(V804)))</f>
        <v/>
      </c>
      <c r="Y804" s="29" t="str">
        <f aca="false">IF(OR(X804="",N(R804)=0),"",X804/R804)</f>
        <v/>
      </c>
      <c r="Z804" s="30" t="str">
        <f aca="true">IF(O804="","",IF(T804="",TODAY(),T804)-O804)</f>
        <v/>
      </c>
      <c r="AA804" s="31" t="str">
        <f aca="false">IF(T804="","",TEXT(T804,"YYYY-MM"))</f>
        <v/>
      </c>
      <c r="AB804" s="27" t="str">
        <f aca="false">IF(X804="","",X804/2)</f>
        <v/>
      </c>
      <c r="AC804" s="21"/>
    </row>
    <row r="805" customFormat="false" ht="15" hidden="false" customHeight="false" outlineLevel="0" collapsed="false">
      <c r="A805" s="20"/>
      <c r="B805" s="21"/>
      <c r="C805" s="21"/>
      <c r="D805" s="21"/>
      <c r="E805" s="21"/>
      <c r="F805" s="21"/>
      <c r="G805" s="22"/>
      <c r="H805" s="21"/>
      <c r="I805" s="21"/>
      <c r="J805" s="21"/>
      <c r="K805" s="23"/>
      <c r="L805" s="24"/>
      <c r="M805" s="21"/>
      <c r="N805" s="21"/>
      <c r="O805" s="25"/>
      <c r="P805" s="26"/>
      <c r="Q805" s="27" t="str">
        <f aca="false">IF(A805="","",SUMIF(Expenses!$B$2:$B$3000,A805,Expenses!$E$2:$E$3000))</f>
        <v/>
      </c>
      <c r="R805" s="27" t="str">
        <f aca="false">IF(A805="","",N(P805)+N(Q805))</f>
        <v/>
      </c>
      <c r="S805" s="28"/>
      <c r="T805" s="25"/>
      <c r="U805" s="26"/>
      <c r="V805" s="26"/>
      <c r="W805" s="26"/>
      <c r="X805" s="27" t="str">
        <f aca="false">IF(B805&lt;&gt;"SOLD","",IF(C805="Consignment",N(W805)-R805,N(U805)-R805-N(V805)))</f>
        <v/>
      </c>
      <c r="Y805" s="29" t="str">
        <f aca="false">IF(OR(X805="",N(R805)=0),"",X805/R805)</f>
        <v/>
      </c>
      <c r="Z805" s="30" t="str">
        <f aca="true">IF(O805="","",IF(T805="",TODAY(),T805)-O805)</f>
        <v/>
      </c>
      <c r="AA805" s="31" t="str">
        <f aca="false">IF(T805="","",TEXT(T805,"YYYY-MM"))</f>
        <v/>
      </c>
      <c r="AB805" s="27" t="str">
        <f aca="false">IF(X805="","",X805/2)</f>
        <v/>
      </c>
      <c r="AC805" s="21"/>
    </row>
    <row r="806" customFormat="false" ht="15" hidden="false" customHeight="false" outlineLevel="0" collapsed="false">
      <c r="A806" s="20"/>
      <c r="B806" s="21"/>
      <c r="C806" s="21"/>
      <c r="D806" s="21"/>
      <c r="E806" s="21"/>
      <c r="F806" s="21"/>
      <c r="G806" s="22"/>
      <c r="H806" s="21"/>
      <c r="I806" s="21"/>
      <c r="J806" s="21"/>
      <c r="K806" s="23"/>
      <c r="L806" s="24"/>
      <c r="M806" s="21"/>
      <c r="N806" s="21"/>
      <c r="O806" s="25"/>
      <c r="P806" s="26"/>
      <c r="Q806" s="27" t="str">
        <f aca="false">IF(A806="","",SUMIF(Expenses!$B$2:$B$3000,A806,Expenses!$E$2:$E$3000))</f>
        <v/>
      </c>
      <c r="R806" s="27" t="str">
        <f aca="false">IF(A806="","",N(P806)+N(Q806))</f>
        <v/>
      </c>
      <c r="S806" s="28"/>
      <c r="T806" s="25"/>
      <c r="U806" s="26"/>
      <c r="V806" s="26"/>
      <c r="W806" s="26"/>
      <c r="X806" s="27" t="str">
        <f aca="false">IF(B806&lt;&gt;"SOLD","",IF(C806="Consignment",N(W806)-R806,N(U806)-R806-N(V806)))</f>
        <v/>
      </c>
      <c r="Y806" s="29" t="str">
        <f aca="false">IF(OR(X806="",N(R806)=0),"",X806/R806)</f>
        <v/>
      </c>
      <c r="Z806" s="30" t="str">
        <f aca="true">IF(O806="","",IF(T806="",TODAY(),T806)-O806)</f>
        <v/>
      </c>
      <c r="AA806" s="31" t="str">
        <f aca="false">IF(T806="","",TEXT(T806,"YYYY-MM"))</f>
        <v/>
      </c>
      <c r="AB806" s="27" t="str">
        <f aca="false">IF(X806="","",X806/2)</f>
        <v/>
      </c>
      <c r="AC806" s="21"/>
    </row>
    <row r="807" customFormat="false" ht="15" hidden="false" customHeight="false" outlineLevel="0" collapsed="false">
      <c r="A807" s="20"/>
      <c r="B807" s="21"/>
      <c r="C807" s="21"/>
      <c r="D807" s="21"/>
      <c r="E807" s="21"/>
      <c r="F807" s="21"/>
      <c r="G807" s="22"/>
      <c r="H807" s="21"/>
      <c r="I807" s="21"/>
      <c r="J807" s="21"/>
      <c r="K807" s="23"/>
      <c r="L807" s="24"/>
      <c r="M807" s="21"/>
      <c r="N807" s="21"/>
      <c r="O807" s="25"/>
      <c r="P807" s="26"/>
      <c r="Q807" s="27" t="str">
        <f aca="false">IF(A807="","",SUMIF(Expenses!$B$2:$B$3000,A807,Expenses!$E$2:$E$3000))</f>
        <v/>
      </c>
      <c r="R807" s="27" t="str">
        <f aca="false">IF(A807="","",N(P807)+N(Q807))</f>
        <v/>
      </c>
      <c r="S807" s="28"/>
      <c r="T807" s="25"/>
      <c r="U807" s="26"/>
      <c r="V807" s="26"/>
      <c r="W807" s="26"/>
      <c r="X807" s="27" t="str">
        <f aca="false">IF(B807&lt;&gt;"SOLD","",IF(C807="Consignment",N(W807)-R807,N(U807)-R807-N(V807)))</f>
        <v/>
      </c>
      <c r="Y807" s="29" t="str">
        <f aca="false">IF(OR(X807="",N(R807)=0),"",X807/R807)</f>
        <v/>
      </c>
      <c r="Z807" s="30" t="str">
        <f aca="true">IF(O807="","",IF(T807="",TODAY(),T807)-O807)</f>
        <v/>
      </c>
      <c r="AA807" s="31" t="str">
        <f aca="false">IF(T807="","",TEXT(T807,"YYYY-MM"))</f>
        <v/>
      </c>
      <c r="AB807" s="27" t="str">
        <f aca="false">IF(X807="","",X807/2)</f>
        <v/>
      </c>
      <c r="AC807" s="21"/>
    </row>
    <row r="808" customFormat="false" ht="15" hidden="false" customHeight="false" outlineLevel="0" collapsed="false">
      <c r="A808" s="20"/>
      <c r="B808" s="21"/>
      <c r="C808" s="21"/>
      <c r="D808" s="21"/>
      <c r="E808" s="21"/>
      <c r="F808" s="21"/>
      <c r="G808" s="22"/>
      <c r="H808" s="21"/>
      <c r="I808" s="21"/>
      <c r="J808" s="21"/>
      <c r="K808" s="23"/>
      <c r="L808" s="24"/>
      <c r="M808" s="21"/>
      <c r="N808" s="21"/>
      <c r="O808" s="25"/>
      <c r="P808" s="26"/>
      <c r="Q808" s="27" t="str">
        <f aca="false">IF(A808="","",SUMIF(Expenses!$B$2:$B$3000,A808,Expenses!$E$2:$E$3000))</f>
        <v/>
      </c>
      <c r="R808" s="27" t="str">
        <f aca="false">IF(A808="","",N(P808)+N(Q808))</f>
        <v/>
      </c>
      <c r="S808" s="28"/>
      <c r="T808" s="25"/>
      <c r="U808" s="26"/>
      <c r="V808" s="26"/>
      <c r="W808" s="26"/>
      <c r="X808" s="27" t="str">
        <f aca="false">IF(B808&lt;&gt;"SOLD","",IF(C808="Consignment",N(W808)-R808,N(U808)-R808-N(V808)))</f>
        <v/>
      </c>
      <c r="Y808" s="29" t="str">
        <f aca="false">IF(OR(X808="",N(R808)=0),"",X808/R808)</f>
        <v/>
      </c>
      <c r="Z808" s="30" t="str">
        <f aca="true">IF(O808="","",IF(T808="",TODAY(),T808)-O808)</f>
        <v/>
      </c>
      <c r="AA808" s="31" t="str">
        <f aca="false">IF(T808="","",TEXT(T808,"YYYY-MM"))</f>
        <v/>
      </c>
      <c r="AB808" s="27" t="str">
        <f aca="false">IF(X808="","",X808/2)</f>
        <v/>
      </c>
      <c r="AC808" s="21"/>
    </row>
    <row r="809" customFormat="false" ht="15" hidden="false" customHeight="false" outlineLevel="0" collapsed="false">
      <c r="A809" s="20"/>
      <c r="B809" s="21"/>
      <c r="C809" s="21"/>
      <c r="D809" s="21"/>
      <c r="E809" s="21"/>
      <c r="F809" s="21"/>
      <c r="G809" s="22"/>
      <c r="H809" s="21"/>
      <c r="I809" s="21"/>
      <c r="J809" s="21"/>
      <c r="K809" s="23"/>
      <c r="L809" s="24"/>
      <c r="M809" s="21"/>
      <c r="N809" s="21"/>
      <c r="O809" s="25"/>
      <c r="P809" s="26"/>
      <c r="Q809" s="27" t="str">
        <f aca="false">IF(A809="","",SUMIF(Expenses!$B$2:$B$3000,A809,Expenses!$E$2:$E$3000))</f>
        <v/>
      </c>
      <c r="R809" s="27" t="str">
        <f aca="false">IF(A809="","",N(P809)+N(Q809))</f>
        <v/>
      </c>
      <c r="S809" s="28"/>
      <c r="T809" s="25"/>
      <c r="U809" s="26"/>
      <c r="V809" s="26"/>
      <c r="W809" s="26"/>
      <c r="X809" s="27" t="str">
        <f aca="false">IF(B809&lt;&gt;"SOLD","",IF(C809="Consignment",N(W809)-R809,N(U809)-R809-N(V809)))</f>
        <v/>
      </c>
      <c r="Y809" s="29" t="str">
        <f aca="false">IF(OR(X809="",N(R809)=0),"",X809/R809)</f>
        <v/>
      </c>
      <c r="Z809" s="30" t="str">
        <f aca="true">IF(O809="","",IF(T809="",TODAY(),T809)-O809)</f>
        <v/>
      </c>
      <c r="AA809" s="31" t="str">
        <f aca="false">IF(T809="","",TEXT(T809,"YYYY-MM"))</f>
        <v/>
      </c>
      <c r="AB809" s="27" t="str">
        <f aca="false">IF(X809="","",X809/2)</f>
        <v/>
      </c>
      <c r="AC809" s="21"/>
    </row>
    <row r="810" customFormat="false" ht="15" hidden="false" customHeight="false" outlineLevel="0" collapsed="false">
      <c r="A810" s="20"/>
      <c r="B810" s="21"/>
      <c r="C810" s="21"/>
      <c r="D810" s="21"/>
      <c r="E810" s="21"/>
      <c r="F810" s="21"/>
      <c r="G810" s="22"/>
      <c r="H810" s="21"/>
      <c r="I810" s="21"/>
      <c r="J810" s="21"/>
      <c r="K810" s="23"/>
      <c r="L810" s="24"/>
      <c r="M810" s="21"/>
      <c r="N810" s="21"/>
      <c r="O810" s="25"/>
      <c r="P810" s="26"/>
      <c r="Q810" s="27" t="str">
        <f aca="false">IF(A810="","",SUMIF(Expenses!$B$2:$B$3000,A810,Expenses!$E$2:$E$3000))</f>
        <v/>
      </c>
      <c r="R810" s="27" t="str">
        <f aca="false">IF(A810="","",N(P810)+N(Q810))</f>
        <v/>
      </c>
      <c r="S810" s="28"/>
      <c r="T810" s="25"/>
      <c r="U810" s="26"/>
      <c r="V810" s="26"/>
      <c r="W810" s="26"/>
      <c r="X810" s="27" t="str">
        <f aca="false">IF(B810&lt;&gt;"SOLD","",IF(C810="Consignment",N(W810)-R810,N(U810)-R810-N(V810)))</f>
        <v/>
      </c>
      <c r="Y810" s="29" t="str">
        <f aca="false">IF(OR(X810="",N(R810)=0),"",X810/R810)</f>
        <v/>
      </c>
      <c r="Z810" s="30" t="str">
        <f aca="true">IF(O810="","",IF(T810="",TODAY(),T810)-O810)</f>
        <v/>
      </c>
      <c r="AA810" s="31" t="str">
        <f aca="false">IF(T810="","",TEXT(T810,"YYYY-MM"))</f>
        <v/>
      </c>
      <c r="AB810" s="27" t="str">
        <f aca="false">IF(X810="","",X810/2)</f>
        <v/>
      </c>
      <c r="AC810" s="21"/>
    </row>
    <row r="811" customFormat="false" ht="15" hidden="false" customHeight="false" outlineLevel="0" collapsed="false">
      <c r="A811" s="20"/>
      <c r="B811" s="21"/>
      <c r="C811" s="21"/>
      <c r="D811" s="21"/>
      <c r="E811" s="21"/>
      <c r="F811" s="21"/>
      <c r="G811" s="22"/>
      <c r="H811" s="21"/>
      <c r="I811" s="21"/>
      <c r="J811" s="21"/>
      <c r="K811" s="23"/>
      <c r="L811" s="24"/>
      <c r="M811" s="21"/>
      <c r="N811" s="21"/>
      <c r="O811" s="25"/>
      <c r="P811" s="26"/>
      <c r="Q811" s="27" t="str">
        <f aca="false">IF(A811="","",SUMIF(Expenses!$B$2:$B$3000,A811,Expenses!$E$2:$E$3000))</f>
        <v/>
      </c>
      <c r="R811" s="27" t="str">
        <f aca="false">IF(A811="","",N(P811)+N(Q811))</f>
        <v/>
      </c>
      <c r="S811" s="28"/>
      <c r="T811" s="25"/>
      <c r="U811" s="26"/>
      <c r="V811" s="26"/>
      <c r="W811" s="26"/>
      <c r="X811" s="27" t="str">
        <f aca="false">IF(B811&lt;&gt;"SOLD","",IF(C811="Consignment",N(W811)-R811,N(U811)-R811-N(V811)))</f>
        <v/>
      </c>
      <c r="Y811" s="29" t="str">
        <f aca="false">IF(OR(X811="",N(R811)=0),"",X811/R811)</f>
        <v/>
      </c>
      <c r="Z811" s="30" t="str">
        <f aca="true">IF(O811="","",IF(T811="",TODAY(),T811)-O811)</f>
        <v/>
      </c>
      <c r="AA811" s="31" t="str">
        <f aca="false">IF(T811="","",TEXT(T811,"YYYY-MM"))</f>
        <v/>
      </c>
      <c r="AB811" s="27" t="str">
        <f aca="false">IF(X811="","",X811/2)</f>
        <v/>
      </c>
      <c r="AC811" s="21"/>
    </row>
    <row r="812" customFormat="false" ht="15" hidden="false" customHeight="false" outlineLevel="0" collapsed="false">
      <c r="A812" s="20"/>
      <c r="B812" s="21"/>
      <c r="C812" s="21"/>
      <c r="D812" s="21"/>
      <c r="E812" s="21"/>
      <c r="F812" s="21"/>
      <c r="G812" s="22"/>
      <c r="H812" s="21"/>
      <c r="I812" s="21"/>
      <c r="J812" s="21"/>
      <c r="K812" s="23"/>
      <c r="L812" s="24"/>
      <c r="M812" s="21"/>
      <c r="N812" s="21"/>
      <c r="O812" s="25"/>
      <c r="P812" s="26"/>
      <c r="Q812" s="27" t="str">
        <f aca="false">IF(A812="","",SUMIF(Expenses!$B$2:$B$3000,A812,Expenses!$E$2:$E$3000))</f>
        <v/>
      </c>
      <c r="R812" s="27" t="str">
        <f aca="false">IF(A812="","",N(P812)+N(Q812))</f>
        <v/>
      </c>
      <c r="S812" s="28"/>
      <c r="T812" s="25"/>
      <c r="U812" s="26"/>
      <c r="V812" s="26"/>
      <c r="W812" s="26"/>
      <c r="X812" s="27" t="str">
        <f aca="false">IF(B812&lt;&gt;"SOLD","",IF(C812="Consignment",N(W812)-R812,N(U812)-R812-N(V812)))</f>
        <v/>
      </c>
      <c r="Y812" s="29" t="str">
        <f aca="false">IF(OR(X812="",N(R812)=0),"",X812/R812)</f>
        <v/>
      </c>
      <c r="Z812" s="30" t="str">
        <f aca="true">IF(O812="","",IF(T812="",TODAY(),T812)-O812)</f>
        <v/>
      </c>
      <c r="AA812" s="31" t="str">
        <f aca="false">IF(T812="","",TEXT(T812,"YYYY-MM"))</f>
        <v/>
      </c>
      <c r="AB812" s="27" t="str">
        <f aca="false">IF(X812="","",X812/2)</f>
        <v/>
      </c>
      <c r="AC812" s="21"/>
    </row>
    <row r="813" customFormat="false" ht="15" hidden="false" customHeight="false" outlineLevel="0" collapsed="false">
      <c r="A813" s="20"/>
      <c r="B813" s="21"/>
      <c r="C813" s="21"/>
      <c r="D813" s="21"/>
      <c r="E813" s="21"/>
      <c r="F813" s="21"/>
      <c r="G813" s="22"/>
      <c r="H813" s="21"/>
      <c r="I813" s="21"/>
      <c r="J813" s="21"/>
      <c r="K813" s="23"/>
      <c r="L813" s="24"/>
      <c r="M813" s="21"/>
      <c r="N813" s="21"/>
      <c r="O813" s="25"/>
      <c r="P813" s="26"/>
      <c r="Q813" s="27" t="str">
        <f aca="false">IF(A813="","",SUMIF(Expenses!$B$2:$B$3000,A813,Expenses!$E$2:$E$3000))</f>
        <v/>
      </c>
      <c r="R813" s="27" t="str">
        <f aca="false">IF(A813="","",N(P813)+N(Q813))</f>
        <v/>
      </c>
      <c r="S813" s="28"/>
      <c r="T813" s="25"/>
      <c r="U813" s="26"/>
      <c r="V813" s="26"/>
      <c r="W813" s="26"/>
      <c r="X813" s="27" t="str">
        <f aca="false">IF(B813&lt;&gt;"SOLD","",IF(C813="Consignment",N(W813)-R813,N(U813)-R813-N(V813)))</f>
        <v/>
      </c>
      <c r="Y813" s="29" t="str">
        <f aca="false">IF(OR(X813="",N(R813)=0),"",X813/R813)</f>
        <v/>
      </c>
      <c r="Z813" s="30" t="str">
        <f aca="true">IF(O813="","",IF(T813="",TODAY(),T813)-O813)</f>
        <v/>
      </c>
      <c r="AA813" s="31" t="str">
        <f aca="false">IF(T813="","",TEXT(T813,"YYYY-MM"))</f>
        <v/>
      </c>
      <c r="AB813" s="27" t="str">
        <f aca="false">IF(X813="","",X813/2)</f>
        <v/>
      </c>
      <c r="AC813" s="21"/>
    </row>
    <row r="814" customFormat="false" ht="15" hidden="false" customHeight="false" outlineLevel="0" collapsed="false">
      <c r="A814" s="20"/>
      <c r="B814" s="21"/>
      <c r="C814" s="21"/>
      <c r="D814" s="21"/>
      <c r="E814" s="21"/>
      <c r="F814" s="21"/>
      <c r="G814" s="22"/>
      <c r="H814" s="21"/>
      <c r="I814" s="21"/>
      <c r="J814" s="21"/>
      <c r="K814" s="23"/>
      <c r="L814" s="24"/>
      <c r="M814" s="21"/>
      <c r="N814" s="21"/>
      <c r="O814" s="25"/>
      <c r="P814" s="26"/>
      <c r="Q814" s="27" t="str">
        <f aca="false">IF(A814="","",SUMIF(Expenses!$B$2:$B$3000,A814,Expenses!$E$2:$E$3000))</f>
        <v/>
      </c>
      <c r="R814" s="27" t="str">
        <f aca="false">IF(A814="","",N(P814)+N(Q814))</f>
        <v/>
      </c>
      <c r="S814" s="28"/>
      <c r="T814" s="25"/>
      <c r="U814" s="26"/>
      <c r="V814" s="26"/>
      <c r="W814" s="26"/>
      <c r="X814" s="27" t="str">
        <f aca="false">IF(B814&lt;&gt;"SOLD","",IF(C814="Consignment",N(W814)-R814,N(U814)-R814-N(V814)))</f>
        <v/>
      </c>
      <c r="Y814" s="29" t="str">
        <f aca="false">IF(OR(X814="",N(R814)=0),"",X814/R814)</f>
        <v/>
      </c>
      <c r="Z814" s="30" t="str">
        <f aca="true">IF(O814="","",IF(T814="",TODAY(),T814)-O814)</f>
        <v/>
      </c>
      <c r="AA814" s="31" t="str">
        <f aca="false">IF(T814="","",TEXT(T814,"YYYY-MM"))</f>
        <v/>
      </c>
      <c r="AB814" s="27" t="str">
        <f aca="false">IF(X814="","",X814/2)</f>
        <v/>
      </c>
      <c r="AC814" s="21"/>
    </row>
    <row r="815" customFormat="false" ht="15" hidden="false" customHeight="false" outlineLevel="0" collapsed="false">
      <c r="A815" s="20"/>
      <c r="B815" s="21"/>
      <c r="C815" s="21"/>
      <c r="D815" s="21"/>
      <c r="E815" s="21"/>
      <c r="F815" s="21"/>
      <c r="G815" s="22"/>
      <c r="H815" s="21"/>
      <c r="I815" s="21"/>
      <c r="J815" s="21"/>
      <c r="K815" s="23"/>
      <c r="L815" s="24"/>
      <c r="M815" s="21"/>
      <c r="N815" s="21"/>
      <c r="O815" s="25"/>
      <c r="P815" s="26"/>
      <c r="Q815" s="27" t="str">
        <f aca="false">IF(A815="","",SUMIF(Expenses!$B$2:$B$3000,A815,Expenses!$E$2:$E$3000))</f>
        <v/>
      </c>
      <c r="R815" s="27" t="str">
        <f aca="false">IF(A815="","",N(P815)+N(Q815))</f>
        <v/>
      </c>
      <c r="S815" s="28"/>
      <c r="T815" s="25"/>
      <c r="U815" s="26"/>
      <c r="V815" s="26"/>
      <c r="W815" s="26"/>
      <c r="X815" s="27" t="str">
        <f aca="false">IF(B815&lt;&gt;"SOLD","",IF(C815="Consignment",N(W815)-R815,N(U815)-R815-N(V815)))</f>
        <v/>
      </c>
      <c r="Y815" s="29" t="str">
        <f aca="false">IF(OR(X815="",N(R815)=0),"",X815/R815)</f>
        <v/>
      </c>
      <c r="Z815" s="30" t="str">
        <f aca="true">IF(O815="","",IF(T815="",TODAY(),T815)-O815)</f>
        <v/>
      </c>
      <c r="AA815" s="31" t="str">
        <f aca="false">IF(T815="","",TEXT(T815,"YYYY-MM"))</f>
        <v/>
      </c>
      <c r="AB815" s="27" t="str">
        <f aca="false">IF(X815="","",X815/2)</f>
        <v/>
      </c>
      <c r="AC815" s="21"/>
    </row>
    <row r="816" customFormat="false" ht="15" hidden="false" customHeight="false" outlineLevel="0" collapsed="false">
      <c r="A816" s="20"/>
      <c r="B816" s="21"/>
      <c r="C816" s="21"/>
      <c r="D816" s="21"/>
      <c r="E816" s="21"/>
      <c r="F816" s="21"/>
      <c r="G816" s="22"/>
      <c r="H816" s="21"/>
      <c r="I816" s="21"/>
      <c r="J816" s="21"/>
      <c r="K816" s="23"/>
      <c r="L816" s="24"/>
      <c r="M816" s="21"/>
      <c r="N816" s="21"/>
      <c r="O816" s="25"/>
      <c r="P816" s="26"/>
      <c r="Q816" s="27" t="str">
        <f aca="false">IF(A816="","",SUMIF(Expenses!$B$2:$B$3000,A816,Expenses!$E$2:$E$3000))</f>
        <v/>
      </c>
      <c r="R816" s="27" t="str">
        <f aca="false">IF(A816="","",N(P816)+N(Q816))</f>
        <v/>
      </c>
      <c r="S816" s="28"/>
      <c r="T816" s="25"/>
      <c r="U816" s="26"/>
      <c r="V816" s="26"/>
      <c r="W816" s="26"/>
      <c r="X816" s="27" t="str">
        <f aca="false">IF(B816&lt;&gt;"SOLD","",IF(C816="Consignment",N(W816)-R816,N(U816)-R816-N(V816)))</f>
        <v/>
      </c>
      <c r="Y816" s="29" t="str">
        <f aca="false">IF(OR(X816="",N(R816)=0),"",X816/R816)</f>
        <v/>
      </c>
      <c r="Z816" s="30" t="str">
        <f aca="true">IF(O816="","",IF(T816="",TODAY(),T816)-O816)</f>
        <v/>
      </c>
      <c r="AA816" s="31" t="str">
        <f aca="false">IF(T816="","",TEXT(T816,"YYYY-MM"))</f>
        <v/>
      </c>
      <c r="AB816" s="27" t="str">
        <f aca="false">IF(X816="","",X816/2)</f>
        <v/>
      </c>
      <c r="AC816" s="21"/>
    </row>
    <row r="817" customFormat="false" ht="15" hidden="false" customHeight="false" outlineLevel="0" collapsed="false">
      <c r="A817" s="20"/>
      <c r="B817" s="21"/>
      <c r="C817" s="21"/>
      <c r="D817" s="21"/>
      <c r="E817" s="21"/>
      <c r="F817" s="21"/>
      <c r="G817" s="22"/>
      <c r="H817" s="21"/>
      <c r="I817" s="21"/>
      <c r="J817" s="21"/>
      <c r="K817" s="23"/>
      <c r="L817" s="24"/>
      <c r="M817" s="21"/>
      <c r="N817" s="21"/>
      <c r="O817" s="25"/>
      <c r="P817" s="26"/>
      <c r="Q817" s="27" t="str">
        <f aca="false">IF(A817="","",SUMIF(Expenses!$B$2:$B$3000,A817,Expenses!$E$2:$E$3000))</f>
        <v/>
      </c>
      <c r="R817" s="27" t="str">
        <f aca="false">IF(A817="","",N(P817)+N(Q817))</f>
        <v/>
      </c>
      <c r="S817" s="28"/>
      <c r="T817" s="25"/>
      <c r="U817" s="26"/>
      <c r="V817" s="26"/>
      <c r="W817" s="26"/>
      <c r="X817" s="27" t="str">
        <f aca="false">IF(B817&lt;&gt;"SOLD","",IF(C817="Consignment",N(W817)-R817,N(U817)-R817-N(V817)))</f>
        <v/>
      </c>
      <c r="Y817" s="29" t="str">
        <f aca="false">IF(OR(X817="",N(R817)=0),"",X817/R817)</f>
        <v/>
      </c>
      <c r="Z817" s="30" t="str">
        <f aca="true">IF(O817="","",IF(T817="",TODAY(),T817)-O817)</f>
        <v/>
      </c>
      <c r="AA817" s="31" t="str">
        <f aca="false">IF(T817="","",TEXT(T817,"YYYY-MM"))</f>
        <v/>
      </c>
      <c r="AB817" s="27" t="str">
        <f aca="false">IF(X817="","",X817/2)</f>
        <v/>
      </c>
      <c r="AC817" s="21"/>
    </row>
    <row r="818" customFormat="false" ht="15" hidden="false" customHeight="false" outlineLevel="0" collapsed="false">
      <c r="A818" s="20"/>
      <c r="B818" s="21"/>
      <c r="C818" s="21"/>
      <c r="D818" s="21"/>
      <c r="E818" s="21"/>
      <c r="F818" s="21"/>
      <c r="G818" s="22"/>
      <c r="H818" s="21"/>
      <c r="I818" s="21"/>
      <c r="J818" s="21"/>
      <c r="K818" s="23"/>
      <c r="L818" s="24"/>
      <c r="M818" s="21"/>
      <c r="N818" s="21"/>
      <c r="O818" s="25"/>
      <c r="P818" s="26"/>
      <c r="Q818" s="27" t="str">
        <f aca="false">IF(A818="","",SUMIF(Expenses!$B$2:$B$3000,A818,Expenses!$E$2:$E$3000))</f>
        <v/>
      </c>
      <c r="R818" s="27" t="str">
        <f aca="false">IF(A818="","",N(P818)+N(Q818))</f>
        <v/>
      </c>
      <c r="S818" s="28"/>
      <c r="T818" s="25"/>
      <c r="U818" s="26"/>
      <c r="V818" s="26"/>
      <c r="W818" s="26"/>
      <c r="X818" s="27" t="str">
        <f aca="false">IF(B818&lt;&gt;"SOLD","",IF(C818="Consignment",N(W818)-R818,N(U818)-R818-N(V818)))</f>
        <v/>
      </c>
      <c r="Y818" s="29" t="str">
        <f aca="false">IF(OR(X818="",N(R818)=0),"",X818/R818)</f>
        <v/>
      </c>
      <c r="Z818" s="30" t="str">
        <f aca="true">IF(O818="","",IF(T818="",TODAY(),T818)-O818)</f>
        <v/>
      </c>
      <c r="AA818" s="31" t="str">
        <f aca="false">IF(T818="","",TEXT(T818,"YYYY-MM"))</f>
        <v/>
      </c>
      <c r="AB818" s="27" t="str">
        <f aca="false">IF(X818="","",X818/2)</f>
        <v/>
      </c>
      <c r="AC818" s="21"/>
    </row>
    <row r="819" customFormat="false" ht="15" hidden="false" customHeight="false" outlineLevel="0" collapsed="false">
      <c r="A819" s="20"/>
      <c r="B819" s="21"/>
      <c r="C819" s="21"/>
      <c r="D819" s="21"/>
      <c r="E819" s="21"/>
      <c r="F819" s="21"/>
      <c r="G819" s="22"/>
      <c r="H819" s="21"/>
      <c r="I819" s="21"/>
      <c r="J819" s="21"/>
      <c r="K819" s="23"/>
      <c r="L819" s="24"/>
      <c r="M819" s="21"/>
      <c r="N819" s="21"/>
      <c r="O819" s="25"/>
      <c r="P819" s="26"/>
      <c r="Q819" s="27" t="str">
        <f aca="false">IF(A819="","",SUMIF(Expenses!$B$2:$B$3000,A819,Expenses!$E$2:$E$3000))</f>
        <v/>
      </c>
      <c r="R819" s="27" t="str">
        <f aca="false">IF(A819="","",N(P819)+N(Q819))</f>
        <v/>
      </c>
      <c r="S819" s="28"/>
      <c r="T819" s="25"/>
      <c r="U819" s="26"/>
      <c r="V819" s="26"/>
      <c r="W819" s="26"/>
      <c r="X819" s="27" t="str">
        <f aca="false">IF(B819&lt;&gt;"SOLD","",IF(C819="Consignment",N(W819)-R819,N(U819)-R819-N(V819)))</f>
        <v/>
      </c>
      <c r="Y819" s="29" t="str">
        <f aca="false">IF(OR(X819="",N(R819)=0),"",X819/R819)</f>
        <v/>
      </c>
      <c r="Z819" s="30" t="str">
        <f aca="true">IF(O819="","",IF(T819="",TODAY(),T819)-O819)</f>
        <v/>
      </c>
      <c r="AA819" s="31" t="str">
        <f aca="false">IF(T819="","",TEXT(T819,"YYYY-MM"))</f>
        <v/>
      </c>
      <c r="AB819" s="27" t="str">
        <f aca="false">IF(X819="","",X819/2)</f>
        <v/>
      </c>
      <c r="AC819" s="21"/>
    </row>
    <row r="820" customFormat="false" ht="15" hidden="false" customHeight="false" outlineLevel="0" collapsed="false">
      <c r="A820" s="20"/>
      <c r="B820" s="21"/>
      <c r="C820" s="21"/>
      <c r="D820" s="21"/>
      <c r="E820" s="21"/>
      <c r="F820" s="21"/>
      <c r="G820" s="22"/>
      <c r="H820" s="21"/>
      <c r="I820" s="21"/>
      <c r="J820" s="21"/>
      <c r="K820" s="23"/>
      <c r="L820" s="24"/>
      <c r="M820" s="21"/>
      <c r="N820" s="21"/>
      <c r="O820" s="25"/>
      <c r="P820" s="26"/>
      <c r="Q820" s="27" t="str">
        <f aca="false">IF(A820="","",SUMIF(Expenses!$B$2:$B$3000,A820,Expenses!$E$2:$E$3000))</f>
        <v/>
      </c>
      <c r="R820" s="27" t="str">
        <f aca="false">IF(A820="","",N(P820)+N(Q820))</f>
        <v/>
      </c>
      <c r="S820" s="28"/>
      <c r="T820" s="25"/>
      <c r="U820" s="26"/>
      <c r="V820" s="26"/>
      <c r="W820" s="26"/>
      <c r="X820" s="27" t="str">
        <f aca="false">IF(B820&lt;&gt;"SOLD","",IF(C820="Consignment",N(W820)-R820,N(U820)-R820-N(V820)))</f>
        <v/>
      </c>
      <c r="Y820" s="29" t="str">
        <f aca="false">IF(OR(X820="",N(R820)=0),"",X820/R820)</f>
        <v/>
      </c>
      <c r="Z820" s="30" t="str">
        <f aca="true">IF(O820="","",IF(T820="",TODAY(),T820)-O820)</f>
        <v/>
      </c>
      <c r="AA820" s="31" t="str">
        <f aca="false">IF(T820="","",TEXT(T820,"YYYY-MM"))</f>
        <v/>
      </c>
      <c r="AB820" s="27" t="str">
        <f aca="false">IF(X820="","",X820/2)</f>
        <v/>
      </c>
      <c r="AC820" s="21"/>
    </row>
    <row r="821" customFormat="false" ht="15" hidden="false" customHeight="false" outlineLevel="0" collapsed="false">
      <c r="A821" s="20"/>
      <c r="B821" s="21"/>
      <c r="C821" s="21"/>
      <c r="D821" s="21"/>
      <c r="E821" s="21"/>
      <c r="F821" s="21"/>
      <c r="G821" s="22"/>
      <c r="H821" s="21"/>
      <c r="I821" s="21"/>
      <c r="J821" s="21"/>
      <c r="K821" s="23"/>
      <c r="L821" s="24"/>
      <c r="M821" s="21"/>
      <c r="N821" s="21"/>
      <c r="O821" s="25"/>
      <c r="P821" s="26"/>
      <c r="Q821" s="27" t="str">
        <f aca="false">IF(A821="","",SUMIF(Expenses!$B$2:$B$3000,A821,Expenses!$E$2:$E$3000))</f>
        <v/>
      </c>
      <c r="R821" s="27" t="str">
        <f aca="false">IF(A821="","",N(P821)+N(Q821))</f>
        <v/>
      </c>
      <c r="S821" s="28"/>
      <c r="T821" s="25"/>
      <c r="U821" s="26"/>
      <c r="V821" s="26"/>
      <c r="W821" s="26"/>
      <c r="X821" s="27" t="str">
        <f aca="false">IF(B821&lt;&gt;"SOLD","",IF(C821="Consignment",N(W821)-R821,N(U821)-R821-N(V821)))</f>
        <v/>
      </c>
      <c r="Y821" s="29" t="str">
        <f aca="false">IF(OR(X821="",N(R821)=0),"",X821/R821)</f>
        <v/>
      </c>
      <c r="Z821" s="30" t="str">
        <f aca="true">IF(O821="","",IF(T821="",TODAY(),T821)-O821)</f>
        <v/>
      </c>
      <c r="AA821" s="31" t="str">
        <f aca="false">IF(T821="","",TEXT(T821,"YYYY-MM"))</f>
        <v/>
      </c>
      <c r="AB821" s="27" t="str">
        <f aca="false">IF(X821="","",X821/2)</f>
        <v/>
      </c>
      <c r="AC821" s="21"/>
    </row>
    <row r="822" customFormat="false" ht="15" hidden="false" customHeight="false" outlineLevel="0" collapsed="false">
      <c r="A822" s="20"/>
      <c r="B822" s="21"/>
      <c r="C822" s="21"/>
      <c r="D822" s="21"/>
      <c r="E822" s="21"/>
      <c r="F822" s="21"/>
      <c r="G822" s="22"/>
      <c r="H822" s="21"/>
      <c r="I822" s="21"/>
      <c r="J822" s="21"/>
      <c r="K822" s="23"/>
      <c r="L822" s="24"/>
      <c r="M822" s="21"/>
      <c r="N822" s="21"/>
      <c r="O822" s="25"/>
      <c r="P822" s="26"/>
      <c r="Q822" s="27" t="str">
        <f aca="false">IF(A822="","",SUMIF(Expenses!$B$2:$B$3000,A822,Expenses!$E$2:$E$3000))</f>
        <v/>
      </c>
      <c r="R822" s="27" t="str">
        <f aca="false">IF(A822="","",N(P822)+N(Q822))</f>
        <v/>
      </c>
      <c r="S822" s="28"/>
      <c r="T822" s="25"/>
      <c r="U822" s="26"/>
      <c r="V822" s="26"/>
      <c r="W822" s="26"/>
      <c r="X822" s="27" t="str">
        <f aca="false">IF(B822&lt;&gt;"SOLD","",IF(C822="Consignment",N(W822)-R822,N(U822)-R822-N(V822)))</f>
        <v/>
      </c>
      <c r="Y822" s="29" t="str">
        <f aca="false">IF(OR(X822="",N(R822)=0),"",X822/R822)</f>
        <v/>
      </c>
      <c r="Z822" s="30" t="str">
        <f aca="true">IF(O822="","",IF(T822="",TODAY(),T822)-O822)</f>
        <v/>
      </c>
      <c r="AA822" s="31" t="str">
        <f aca="false">IF(T822="","",TEXT(T822,"YYYY-MM"))</f>
        <v/>
      </c>
      <c r="AB822" s="27" t="str">
        <f aca="false">IF(X822="","",X822/2)</f>
        <v/>
      </c>
      <c r="AC822" s="21"/>
    </row>
    <row r="823" customFormat="false" ht="15" hidden="false" customHeight="false" outlineLevel="0" collapsed="false">
      <c r="A823" s="20"/>
      <c r="B823" s="21"/>
      <c r="C823" s="21"/>
      <c r="D823" s="21"/>
      <c r="E823" s="21"/>
      <c r="F823" s="21"/>
      <c r="G823" s="22"/>
      <c r="H823" s="21"/>
      <c r="I823" s="21"/>
      <c r="J823" s="21"/>
      <c r="K823" s="23"/>
      <c r="L823" s="24"/>
      <c r="M823" s="21"/>
      <c r="N823" s="21"/>
      <c r="O823" s="25"/>
      <c r="P823" s="26"/>
      <c r="Q823" s="27" t="str">
        <f aca="false">IF(A823="","",SUMIF(Expenses!$B$2:$B$3000,A823,Expenses!$E$2:$E$3000))</f>
        <v/>
      </c>
      <c r="R823" s="27" t="str">
        <f aca="false">IF(A823="","",N(P823)+N(Q823))</f>
        <v/>
      </c>
      <c r="S823" s="28"/>
      <c r="T823" s="25"/>
      <c r="U823" s="26"/>
      <c r="V823" s="26"/>
      <c r="W823" s="26"/>
      <c r="X823" s="27" t="str">
        <f aca="false">IF(B823&lt;&gt;"SOLD","",IF(C823="Consignment",N(W823)-R823,N(U823)-R823-N(V823)))</f>
        <v/>
      </c>
      <c r="Y823" s="29" t="str">
        <f aca="false">IF(OR(X823="",N(R823)=0),"",X823/R823)</f>
        <v/>
      </c>
      <c r="Z823" s="30" t="str">
        <f aca="true">IF(O823="","",IF(T823="",TODAY(),T823)-O823)</f>
        <v/>
      </c>
      <c r="AA823" s="31" t="str">
        <f aca="false">IF(T823="","",TEXT(T823,"YYYY-MM"))</f>
        <v/>
      </c>
      <c r="AB823" s="27" t="str">
        <f aca="false">IF(X823="","",X823/2)</f>
        <v/>
      </c>
      <c r="AC823" s="21"/>
    </row>
    <row r="824" customFormat="false" ht="15" hidden="false" customHeight="false" outlineLevel="0" collapsed="false">
      <c r="A824" s="20"/>
      <c r="B824" s="21"/>
      <c r="C824" s="21"/>
      <c r="D824" s="21"/>
      <c r="E824" s="21"/>
      <c r="F824" s="21"/>
      <c r="G824" s="22"/>
      <c r="H824" s="21"/>
      <c r="I824" s="21"/>
      <c r="J824" s="21"/>
      <c r="K824" s="23"/>
      <c r="L824" s="24"/>
      <c r="M824" s="21"/>
      <c r="N824" s="21"/>
      <c r="O824" s="25"/>
      <c r="P824" s="26"/>
      <c r="Q824" s="27" t="str">
        <f aca="false">IF(A824="","",SUMIF(Expenses!$B$2:$B$3000,A824,Expenses!$E$2:$E$3000))</f>
        <v/>
      </c>
      <c r="R824" s="27" t="str">
        <f aca="false">IF(A824="","",N(P824)+N(Q824))</f>
        <v/>
      </c>
      <c r="S824" s="28"/>
      <c r="T824" s="25"/>
      <c r="U824" s="26"/>
      <c r="V824" s="26"/>
      <c r="W824" s="26"/>
      <c r="X824" s="27" t="str">
        <f aca="false">IF(B824&lt;&gt;"SOLD","",IF(C824="Consignment",N(W824)-R824,N(U824)-R824-N(V824)))</f>
        <v/>
      </c>
      <c r="Y824" s="29" t="str">
        <f aca="false">IF(OR(X824="",N(R824)=0),"",X824/R824)</f>
        <v/>
      </c>
      <c r="Z824" s="30" t="str">
        <f aca="true">IF(O824="","",IF(T824="",TODAY(),T824)-O824)</f>
        <v/>
      </c>
      <c r="AA824" s="31" t="str">
        <f aca="false">IF(T824="","",TEXT(T824,"YYYY-MM"))</f>
        <v/>
      </c>
      <c r="AB824" s="27" t="str">
        <f aca="false">IF(X824="","",X824/2)</f>
        <v/>
      </c>
      <c r="AC824" s="21"/>
    </row>
    <row r="825" customFormat="false" ht="15" hidden="false" customHeight="false" outlineLevel="0" collapsed="false">
      <c r="A825" s="20"/>
      <c r="B825" s="21"/>
      <c r="C825" s="21"/>
      <c r="D825" s="21"/>
      <c r="E825" s="21"/>
      <c r="F825" s="21"/>
      <c r="G825" s="22"/>
      <c r="H825" s="21"/>
      <c r="I825" s="21"/>
      <c r="J825" s="21"/>
      <c r="K825" s="23"/>
      <c r="L825" s="24"/>
      <c r="M825" s="21"/>
      <c r="N825" s="21"/>
      <c r="O825" s="25"/>
      <c r="P825" s="26"/>
      <c r="Q825" s="27" t="str">
        <f aca="false">IF(A825="","",SUMIF(Expenses!$B$2:$B$3000,A825,Expenses!$E$2:$E$3000))</f>
        <v/>
      </c>
      <c r="R825" s="27" t="str">
        <f aca="false">IF(A825="","",N(P825)+N(Q825))</f>
        <v/>
      </c>
      <c r="S825" s="28"/>
      <c r="T825" s="25"/>
      <c r="U825" s="26"/>
      <c r="V825" s="26"/>
      <c r="W825" s="26"/>
      <c r="X825" s="27" t="str">
        <f aca="false">IF(B825&lt;&gt;"SOLD","",IF(C825="Consignment",N(W825)-R825,N(U825)-R825-N(V825)))</f>
        <v/>
      </c>
      <c r="Y825" s="29" t="str">
        <f aca="false">IF(OR(X825="",N(R825)=0),"",X825/R825)</f>
        <v/>
      </c>
      <c r="Z825" s="30" t="str">
        <f aca="true">IF(O825="","",IF(T825="",TODAY(),T825)-O825)</f>
        <v/>
      </c>
      <c r="AA825" s="31" t="str">
        <f aca="false">IF(T825="","",TEXT(T825,"YYYY-MM"))</f>
        <v/>
      </c>
      <c r="AB825" s="27" t="str">
        <f aca="false">IF(X825="","",X825/2)</f>
        <v/>
      </c>
      <c r="AC825" s="21"/>
    </row>
    <row r="826" customFormat="false" ht="15" hidden="false" customHeight="false" outlineLevel="0" collapsed="false">
      <c r="A826" s="20"/>
      <c r="B826" s="21"/>
      <c r="C826" s="21"/>
      <c r="D826" s="21"/>
      <c r="E826" s="21"/>
      <c r="F826" s="21"/>
      <c r="G826" s="22"/>
      <c r="H826" s="21"/>
      <c r="I826" s="21"/>
      <c r="J826" s="21"/>
      <c r="K826" s="23"/>
      <c r="L826" s="24"/>
      <c r="M826" s="21"/>
      <c r="N826" s="21"/>
      <c r="O826" s="25"/>
      <c r="P826" s="26"/>
      <c r="Q826" s="27" t="str">
        <f aca="false">IF(A826="","",SUMIF(Expenses!$B$2:$B$3000,A826,Expenses!$E$2:$E$3000))</f>
        <v/>
      </c>
      <c r="R826" s="27" t="str">
        <f aca="false">IF(A826="","",N(P826)+N(Q826))</f>
        <v/>
      </c>
      <c r="S826" s="28"/>
      <c r="T826" s="25"/>
      <c r="U826" s="26"/>
      <c r="V826" s="26"/>
      <c r="W826" s="26"/>
      <c r="X826" s="27" t="str">
        <f aca="false">IF(B826&lt;&gt;"SOLD","",IF(C826="Consignment",N(W826)-R826,N(U826)-R826-N(V826)))</f>
        <v/>
      </c>
      <c r="Y826" s="29" t="str">
        <f aca="false">IF(OR(X826="",N(R826)=0),"",X826/R826)</f>
        <v/>
      </c>
      <c r="Z826" s="30" t="str">
        <f aca="true">IF(O826="","",IF(T826="",TODAY(),T826)-O826)</f>
        <v/>
      </c>
      <c r="AA826" s="31" t="str">
        <f aca="false">IF(T826="","",TEXT(T826,"YYYY-MM"))</f>
        <v/>
      </c>
      <c r="AB826" s="27" t="str">
        <f aca="false">IF(X826="","",X826/2)</f>
        <v/>
      </c>
      <c r="AC826" s="21"/>
    </row>
    <row r="827" customFormat="false" ht="15" hidden="false" customHeight="false" outlineLevel="0" collapsed="false">
      <c r="A827" s="20"/>
      <c r="B827" s="21"/>
      <c r="C827" s="21"/>
      <c r="D827" s="21"/>
      <c r="E827" s="21"/>
      <c r="F827" s="21"/>
      <c r="G827" s="22"/>
      <c r="H827" s="21"/>
      <c r="I827" s="21"/>
      <c r="J827" s="21"/>
      <c r="K827" s="23"/>
      <c r="L827" s="24"/>
      <c r="M827" s="21"/>
      <c r="N827" s="21"/>
      <c r="O827" s="25"/>
      <c r="P827" s="26"/>
      <c r="Q827" s="27" t="str">
        <f aca="false">IF(A827="","",SUMIF(Expenses!$B$2:$B$3000,A827,Expenses!$E$2:$E$3000))</f>
        <v/>
      </c>
      <c r="R827" s="27" t="str">
        <f aca="false">IF(A827="","",N(P827)+N(Q827))</f>
        <v/>
      </c>
      <c r="S827" s="28"/>
      <c r="T827" s="25"/>
      <c r="U827" s="26"/>
      <c r="V827" s="26"/>
      <c r="W827" s="26"/>
      <c r="X827" s="27" t="str">
        <f aca="false">IF(B827&lt;&gt;"SOLD","",IF(C827="Consignment",N(W827)-R827,N(U827)-R827-N(V827)))</f>
        <v/>
      </c>
      <c r="Y827" s="29" t="str">
        <f aca="false">IF(OR(X827="",N(R827)=0),"",X827/R827)</f>
        <v/>
      </c>
      <c r="Z827" s="30" t="str">
        <f aca="true">IF(O827="","",IF(T827="",TODAY(),T827)-O827)</f>
        <v/>
      </c>
      <c r="AA827" s="31" t="str">
        <f aca="false">IF(T827="","",TEXT(T827,"YYYY-MM"))</f>
        <v/>
      </c>
      <c r="AB827" s="27" t="str">
        <f aca="false">IF(X827="","",X827/2)</f>
        <v/>
      </c>
      <c r="AC827" s="21"/>
    </row>
    <row r="828" customFormat="false" ht="15" hidden="false" customHeight="false" outlineLevel="0" collapsed="false">
      <c r="A828" s="20"/>
      <c r="B828" s="21"/>
      <c r="C828" s="21"/>
      <c r="D828" s="21"/>
      <c r="E828" s="21"/>
      <c r="F828" s="21"/>
      <c r="G828" s="22"/>
      <c r="H828" s="21"/>
      <c r="I828" s="21"/>
      <c r="J828" s="21"/>
      <c r="K828" s="23"/>
      <c r="L828" s="24"/>
      <c r="M828" s="21"/>
      <c r="N828" s="21"/>
      <c r="O828" s="25"/>
      <c r="P828" s="26"/>
      <c r="Q828" s="27" t="str">
        <f aca="false">IF(A828="","",SUMIF(Expenses!$B$2:$B$3000,A828,Expenses!$E$2:$E$3000))</f>
        <v/>
      </c>
      <c r="R828" s="27" t="str">
        <f aca="false">IF(A828="","",N(P828)+N(Q828))</f>
        <v/>
      </c>
      <c r="S828" s="28"/>
      <c r="T828" s="25"/>
      <c r="U828" s="26"/>
      <c r="V828" s="26"/>
      <c r="W828" s="26"/>
      <c r="X828" s="27" t="str">
        <f aca="false">IF(B828&lt;&gt;"SOLD","",IF(C828="Consignment",N(W828)-R828,N(U828)-R828-N(V828)))</f>
        <v/>
      </c>
      <c r="Y828" s="29" t="str">
        <f aca="false">IF(OR(X828="",N(R828)=0),"",X828/R828)</f>
        <v/>
      </c>
      <c r="Z828" s="30" t="str">
        <f aca="true">IF(O828="","",IF(T828="",TODAY(),T828)-O828)</f>
        <v/>
      </c>
      <c r="AA828" s="31" t="str">
        <f aca="false">IF(T828="","",TEXT(T828,"YYYY-MM"))</f>
        <v/>
      </c>
      <c r="AB828" s="27" t="str">
        <f aca="false">IF(X828="","",X828/2)</f>
        <v/>
      </c>
      <c r="AC828" s="21"/>
    </row>
    <row r="829" customFormat="false" ht="15" hidden="false" customHeight="false" outlineLevel="0" collapsed="false">
      <c r="A829" s="20"/>
      <c r="B829" s="21"/>
      <c r="C829" s="21"/>
      <c r="D829" s="21"/>
      <c r="E829" s="21"/>
      <c r="F829" s="21"/>
      <c r="G829" s="22"/>
      <c r="H829" s="21"/>
      <c r="I829" s="21"/>
      <c r="J829" s="21"/>
      <c r="K829" s="23"/>
      <c r="L829" s="24"/>
      <c r="M829" s="21"/>
      <c r="N829" s="21"/>
      <c r="O829" s="25"/>
      <c r="P829" s="26"/>
      <c r="Q829" s="27" t="str">
        <f aca="false">IF(A829="","",SUMIF(Expenses!$B$2:$B$3000,A829,Expenses!$E$2:$E$3000))</f>
        <v/>
      </c>
      <c r="R829" s="27" t="str">
        <f aca="false">IF(A829="","",N(P829)+N(Q829))</f>
        <v/>
      </c>
      <c r="S829" s="28"/>
      <c r="T829" s="25"/>
      <c r="U829" s="26"/>
      <c r="V829" s="26"/>
      <c r="W829" s="26"/>
      <c r="X829" s="27" t="str">
        <f aca="false">IF(B829&lt;&gt;"SOLD","",IF(C829="Consignment",N(W829)-R829,N(U829)-R829-N(V829)))</f>
        <v/>
      </c>
      <c r="Y829" s="29" t="str">
        <f aca="false">IF(OR(X829="",N(R829)=0),"",X829/R829)</f>
        <v/>
      </c>
      <c r="Z829" s="30" t="str">
        <f aca="true">IF(O829="","",IF(T829="",TODAY(),T829)-O829)</f>
        <v/>
      </c>
      <c r="AA829" s="31" t="str">
        <f aca="false">IF(T829="","",TEXT(T829,"YYYY-MM"))</f>
        <v/>
      </c>
      <c r="AB829" s="27" t="str">
        <f aca="false">IF(X829="","",X829/2)</f>
        <v/>
      </c>
      <c r="AC829" s="21"/>
    </row>
    <row r="830" customFormat="false" ht="15" hidden="false" customHeight="false" outlineLevel="0" collapsed="false">
      <c r="A830" s="20"/>
      <c r="B830" s="21"/>
      <c r="C830" s="21"/>
      <c r="D830" s="21"/>
      <c r="E830" s="21"/>
      <c r="F830" s="21"/>
      <c r="G830" s="22"/>
      <c r="H830" s="21"/>
      <c r="I830" s="21"/>
      <c r="J830" s="21"/>
      <c r="K830" s="23"/>
      <c r="L830" s="24"/>
      <c r="M830" s="21"/>
      <c r="N830" s="21"/>
      <c r="O830" s="25"/>
      <c r="P830" s="26"/>
      <c r="Q830" s="27" t="str">
        <f aca="false">IF(A830="","",SUMIF(Expenses!$B$2:$B$3000,A830,Expenses!$E$2:$E$3000))</f>
        <v/>
      </c>
      <c r="R830" s="27" t="str">
        <f aca="false">IF(A830="","",N(P830)+N(Q830))</f>
        <v/>
      </c>
      <c r="S830" s="28"/>
      <c r="T830" s="25"/>
      <c r="U830" s="26"/>
      <c r="V830" s="26"/>
      <c r="W830" s="26"/>
      <c r="X830" s="27" t="str">
        <f aca="false">IF(B830&lt;&gt;"SOLD","",IF(C830="Consignment",N(W830)-R830,N(U830)-R830-N(V830)))</f>
        <v/>
      </c>
      <c r="Y830" s="29" t="str">
        <f aca="false">IF(OR(X830="",N(R830)=0),"",X830/R830)</f>
        <v/>
      </c>
      <c r="Z830" s="30" t="str">
        <f aca="true">IF(O830="","",IF(T830="",TODAY(),T830)-O830)</f>
        <v/>
      </c>
      <c r="AA830" s="31" t="str">
        <f aca="false">IF(T830="","",TEXT(T830,"YYYY-MM"))</f>
        <v/>
      </c>
      <c r="AB830" s="27" t="str">
        <f aca="false">IF(X830="","",X830/2)</f>
        <v/>
      </c>
      <c r="AC830" s="21"/>
    </row>
    <row r="831" customFormat="false" ht="15" hidden="false" customHeight="false" outlineLevel="0" collapsed="false">
      <c r="A831" s="20"/>
      <c r="B831" s="21"/>
      <c r="C831" s="21"/>
      <c r="D831" s="21"/>
      <c r="E831" s="21"/>
      <c r="F831" s="21"/>
      <c r="G831" s="22"/>
      <c r="H831" s="21"/>
      <c r="I831" s="21"/>
      <c r="J831" s="21"/>
      <c r="K831" s="23"/>
      <c r="L831" s="24"/>
      <c r="M831" s="21"/>
      <c r="N831" s="21"/>
      <c r="O831" s="25"/>
      <c r="P831" s="26"/>
      <c r="Q831" s="27" t="str">
        <f aca="false">IF(A831="","",SUMIF(Expenses!$B$2:$B$3000,A831,Expenses!$E$2:$E$3000))</f>
        <v/>
      </c>
      <c r="R831" s="27" t="str">
        <f aca="false">IF(A831="","",N(P831)+N(Q831))</f>
        <v/>
      </c>
      <c r="S831" s="28"/>
      <c r="T831" s="25"/>
      <c r="U831" s="26"/>
      <c r="V831" s="26"/>
      <c r="W831" s="26"/>
      <c r="X831" s="27" t="str">
        <f aca="false">IF(B831&lt;&gt;"SOLD","",IF(C831="Consignment",N(W831)-R831,N(U831)-R831-N(V831)))</f>
        <v/>
      </c>
      <c r="Y831" s="29" t="str">
        <f aca="false">IF(OR(X831="",N(R831)=0),"",X831/R831)</f>
        <v/>
      </c>
      <c r="Z831" s="30" t="str">
        <f aca="true">IF(O831="","",IF(T831="",TODAY(),T831)-O831)</f>
        <v/>
      </c>
      <c r="AA831" s="31" t="str">
        <f aca="false">IF(T831="","",TEXT(T831,"YYYY-MM"))</f>
        <v/>
      </c>
      <c r="AB831" s="27" t="str">
        <f aca="false">IF(X831="","",X831/2)</f>
        <v/>
      </c>
      <c r="AC831" s="21"/>
    </row>
    <row r="832" customFormat="false" ht="15" hidden="false" customHeight="false" outlineLevel="0" collapsed="false">
      <c r="A832" s="20"/>
      <c r="B832" s="21"/>
      <c r="C832" s="21"/>
      <c r="D832" s="21"/>
      <c r="E832" s="21"/>
      <c r="F832" s="21"/>
      <c r="G832" s="22"/>
      <c r="H832" s="21"/>
      <c r="I832" s="21"/>
      <c r="J832" s="21"/>
      <c r="K832" s="23"/>
      <c r="L832" s="24"/>
      <c r="M832" s="21"/>
      <c r="N832" s="21"/>
      <c r="O832" s="25"/>
      <c r="P832" s="26"/>
      <c r="Q832" s="27" t="str">
        <f aca="false">IF(A832="","",SUMIF(Expenses!$B$2:$B$3000,A832,Expenses!$E$2:$E$3000))</f>
        <v/>
      </c>
      <c r="R832" s="27" t="str">
        <f aca="false">IF(A832="","",N(P832)+N(Q832))</f>
        <v/>
      </c>
      <c r="S832" s="28"/>
      <c r="T832" s="25"/>
      <c r="U832" s="26"/>
      <c r="V832" s="26"/>
      <c r="W832" s="26"/>
      <c r="X832" s="27" t="str">
        <f aca="false">IF(B832&lt;&gt;"SOLD","",IF(C832="Consignment",N(W832)-R832,N(U832)-R832-N(V832)))</f>
        <v/>
      </c>
      <c r="Y832" s="29" t="str">
        <f aca="false">IF(OR(X832="",N(R832)=0),"",X832/R832)</f>
        <v/>
      </c>
      <c r="Z832" s="30" t="str">
        <f aca="true">IF(O832="","",IF(T832="",TODAY(),T832)-O832)</f>
        <v/>
      </c>
      <c r="AA832" s="31" t="str">
        <f aca="false">IF(T832="","",TEXT(T832,"YYYY-MM"))</f>
        <v/>
      </c>
      <c r="AB832" s="27" t="str">
        <f aca="false">IF(X832="","",X832/2)</f>
        <v/>
      </c>
      <c r="AC832" s="21"/>
    </row>
    <row r="833" customFormat="false" ht="15" hidden="false" customHeight="false" outlineLevel="0" collapsed="false">
      <c r="A833" s="20"/>
      <c r="B833" s="21"/>
      <c r="C833" s="21"/>
      <c r="D833" s="21"/>
      <c r="E833" s="21"/>
      <c r="F833" s="21"/>
      <c r="G833" s="22"/>
      <c r="H833" s="21"/>
      <c r="I833" s="21"/>
      <c r="J833" s="21"/>
      <c r="K833" s="23"/>
      <c r="L833" s="24"/>
      <c r="M833" s="21"/>
      <c r="N833" s="21"/>
      <c r="O833" s="25"/>
      <c r="P833" s="26"/>
      <c r="Q833" s="27" t="str">
        <f aca="false">IF(A833="","",SUMIF(Expenses!$B$2:$B$3000,A833,Expenses!$E$2:$E$3000))</f>
        <v/>
      </c>
      <c r="R833" s="27" t="str">
        <f aca="false">IF(A833="","",N(P833)+N(Q833))</f>
        <v/>
      </c>
      <c r="S833" s="28"/>
      <c r="T833" s="25"/>
      <c r="U833" s="26"/>
      <c r="V833" s="26"/>
      <c r="W833" s="26"/>
      <c r="X833" s="27" t="str">
        <f aca="false">IF(B833&lt;&gt;"SOLD","",IF(C833="Consignment",N(W833)-R833,N(U833)-R833-N(V833)))</f>
        <v/>
      </c>
      <c r="Y833" s="29" t="str">
        <f aca="false">IF(OR(X833="",N(R833)=0),"",X833/R833)</f>
        <v/>
      </c>
      <c r="Z833" s="30" t="str">
        <f aca="true">IF(O833="","",IF(T833="",TODAY(),T833)-O833)</f>
        <v/>
      </c>
      <c r="AA833" s="31" t="str">
        <f aca="false">IF(T833="","",TEXT(T833,"YYYY-MM"))</f>
        <v/>
      </c>
      <c r="AB833" s="27" t="str">
        <f aca="false">IF(X833="","",X833/2)</f>
        <v/>
      </c>
      <c r="AC833" s="21"/>
    </row>
    <row r="834" customFormat="false" ht="15" hidden="false" customHeight="false" outlineLevel="0" collapsed="false">
      <c r="A834" s="20"/>
      <c r="B834" s="21"/>
      <c r="C834" s="21"/>
      <c r="D834" s="21"/>
      <c r="E834" s="21"/>
      <c r="F834" s="21"/>
      <c r="G834" s="22"/>
      <c r="H834" s="21"/>
      <c r="I834" s="21"/>
      <c r="J834" s="21"/>
      <c r="K834" s="23"/>
      <c r="L834" s="24"/>
      <c r="M834" s="21"/>
      <c r="N834" s="21"/>
      <c r="O834" s="25"/>
      <c r="P834" s="26"/>
      <c r="Q834" s="27" t="str">
        <f aca="false">IF(A834="","",SUMIF(Expenses!$B$2:$B$3000,A834,Expenses!$E$2:$E$3000))</f>
        <v/>
      </c>
      <c r="R834" s="27" t="str">
        <f aca="false">IF(A834="","",N(P834)+N(Q834))</f>
        <v/>
      </c>
      <c r="S834" s="28"/>
      <c r="T834" s="25"/>
      <c r="U834" s="26"/>
      <c r="V834" s="26"/>
      <c r="W834" s="26"/>
      <c r="X834" s="27" t="str">
        <f aca="false">IF(B834&lt;&gt;"SOLD","",IF(C834="Consignment",N(W834)-R834,N(U834)-R834-N(V834)))</f>
        <v/>
      </c>
      <c r="Y834" s="29" t="str">
        <f aca="false">IF(OR(X834="",N(R834)=0),"",X834/R834)</f>
        <v/>
      </c>
      <c r="Z834" s="30" t="str">
        <f aca="true">IF(O834="","",IF(T834="",TODAY(),T834)-O834)</f>
        <v/>
      </c>
      <c r="AA834" s="31" t="str">
        <f aca="false">IF(T834="","",TEXT(T834,"YYYY-MM"))</f>
        <v/>
      </c>
      <c r="AB834" s="27" t="str">
        <f aca="false">IF(X834="","",X834/2)</f>
        <v/>
      </c>
      <c r="AC834" s="21"/>
    </row>
    <row r="835" customFormat="false" ht="15" hidden="false" customHeight="false" outlineLevel="0" collapsed="false">
      <c r="A835" s="20"/>
      <c r="B835" s="21"/>
      <c r="C835" s="21"/>
      <c r="D835" s="21"/>
      <c r="E835" s="21"/>
      <c r="F835" s="21"/>
      <c r="G835" s="22"/>
      <c r="H835" s="21"/>
      <c r="I835" s="21"/>
      <c r="J835" s="21"/>
      <c r="K835" s="23"/>
      <c r="L835" s="24"/>
      <c r="M835" s="21"/>
      <c r="N835" s="21"/>
      <c r="O835" s="25"/>
      <c r="P835" s="26"/>
      <c r="Q835" s="27" t="str">
        <f aca="false">IF(A835="","",SUMIF(Expenses!$B$2:$B$3000,A835,Expenses!$E$2:$E$3000))</f>
        <v/>
      </c>
      <c r="R835" s="27" t="str">
        <f aca="false">IF(A835="","",N(P835)+N(Q835))</f>
        <v/>
      </c>
      <c r="S835" s="28"/>
      <c r="T835" s="25"/>
      <c r="U835" s="26"/>
      <c r="V835" s="26"/>
      <c r="W835" s="26"/>
      <c r="X835" s="27" t="str">
        <f aca="false">IF(B835&lt;&gt;"SOLD","",IF(C835="Consignment",N(W835)-R835,N(U835)-R835-N(V835)))</f>
        <v/>
      </c>
      <c r="Y835" s="29" t="str">
        <f aca="false">IF(OR(X835="",N(R835)=0),"",X835/R835)</f>
        <v/>
      </c>
      <c r="Z835" s="30" t="str">
        <f aca="true">IF(O835="","",IF(T835="",TODAY(),T835)-O835)</f>
        <v/>
      </c>
      <c r="AA835" s="31" t="str">
        <f aca="false">IF(T835="","",TEXT(T835,"YYYY-MM"))</f>
        <v/>
      </c>
      <c r="AB835" s="27" t="str">
        <f aca="false">IF(X835="","",X835/2)</f>
        <v/>
      </c>
      <c r="AC835" s="21"/>
    </row>
    <row r="836" customFormat="false" ht="15" hidden="false" customHeight="false" outlineLevel="0" collapsed="false">
      <c r="A836" s="20"/>
      <c r="B836" s="21"/>
      <c r="C836" s="21"/>
      <c r="D836" s="21"/>
      <c r="E836" s="21"/>
      <c r="F836" s="21"/>
      <c r="G836" s="22"/>
      <c r="H836" s="21"/>
      <c r="I836" s="21"/>
      <c r="J836" s="21"/>
      <c r="K836" s="23"/>
      <c r="L836" s="24"/>
      <c r="M836" s="21"/>
      <c r="N836" s="21"/>
      <c r="O836" s="25"/>
      <c r="P836" s="26"/>
      <c r="Q836" s="27" t="str">
        <f aca="false">IF(A836="","",SUMIF(Expenses!$B$2:$B$3000,A836,Expenses!$E$2:$E$3000))</f>
        <v/>
      </c>
      <c r="R836" s="27" t="str">
        <f aca="false">IF(A836="","",N(P836)+N(Q836))</f>
        <v/>
      </c>
      <c r="S836" s="28"/>
      <c r="T836" s="25"/>
      <c r="U836" s="26"/>
      <c r="V836" s="26"/>
      <c r="W836" s="26"/>
      <c r="X836" s="27" t="str">
        <f aca="false">IF(B836&lt;&gt;"SOLD","",IF(C836="Consignment",N(W836)-R836,N(U836)-R836-N(V836)))</f>
        <v/>
      </c>
      <c r="Y836" s="29" t="str">
        <f aca="false">IF(OR(X836="",N(R836)=0),"",X836/R836)</f>
        <v/>
      </c>
      <c r="Z836" s="30" t="str">
        <f aca="true">IF(O836="","",IF(T836="",TODAY(),T836)-O836)</f>
        <v/>
      </c>
      <c r="AA836" s="31" t="str">
        <f aca="false">IF(T836="","",TEXT(T836,"YYYY-MM"))</f>
        <v/>
      </c>
      <c r="AB836" s="27" t="str">
        <f aca="false">IF(X836="","",X836/2)</f>
        <v/>
      </c>
      <c r="AC836" s="21"/>
    </row>
    <row r="837" customFormat="false" ht="15" hidden="false" customHeight="false" outlineLevel="0" collapsed="false">
      <c r="A837" s="20"/>
      <c r="B837" s="21"/>
      <c r="C837" s="21"/>
      <c r="D837" s="21"/>
      <c r="E837" s="21"/>
      <c r="F837" s="21"/>
      <c r="G837" s="22"/>
      <c r="H837" s="21"/>
      <c r="I837" s="21"/>
      <c r="J837" s="21"/>
      <c r="K837" s="23"/>
      <c r="L837" s="24"/>
      <c r="M837" s="21"/>
      <c r="N837" s="21"/>
      <c r="O837" s="25"/>
      <c r="P837" s="26"/>
      <c r="Q837" s="27" t="str">
        <f aca="false">IF(A837="","",SUMIF(Expenses!$B$2:$B$3000,A837,Expenses!$E$2:$E$3000))</f>
        <v/>
      </c>
      <c r="R837" s="27" t="str">
        <f aca="false">IF(A837="","",N(P837)+N(Q837))</f>
        <v/>
      </c>
      <c r="S837" s="28"/>
      <c r="T837" s="25"/>
      <c r="U837" s="26"/>
      <c r="V837" s="26"/>
      <c r="W837" s="26"/>
      <c r="X837" s="27" t="str">
        <f aca="false">IF(B837&lt;&gt;"SOLD","",IF(C837="Consignment",N(W837)-R837,N(U837)-R837-N(V837)))</f>
        <v/>
      </c>
      <c r="Y837" s="29" t="str">
        <f aca="false">IF(OR(X837="",N(R837)=0),"",X837/R837)</f>
        <v/>
      </c>
      <c r="Z837" s="30" t="str">
        <f aca="true">IF(O837="","",IF(T837="",TODAY(),T837)-O837)</f>
        <v/>
      </c>
      <c r="AA837" s="31" t="str">
        <f aca="false">IF(T837="","",TEXT(T837,"YYYY-MM"))</f>
        <v/>
      </c>
      <c r="AB837" s="27" t="str">
        <f aca="false">IF(X837="","",X837/2)</f>
        <v/>
      </c>
      <c r="AC837" s="21"/>
    </row>
    <row r="838" customFormat="false" ht="15" hidden="false" customHeight="false" outlineLevel="0" collapsed="false">
      <c r="A838" s="20"/>
      <c r="B838" s="21"/>
      <c r="C838" s="21"/>
      <c r="D838" s="21"/>
      <c r="E838" s="21"/>
      <c r="F838" s="21"/>
      <c r="G838" s="22"/>
      <c r="H838" s="21"/>
      <c r="I838" s="21"/>
      <c r="J838" s="21"/>
      <c r="K838" s="23"/>
      <c r="L838" s="24"/>
      <c r="M838" s="21"/>
      <c r="N838" s="21"/>
      <c r="O838" s="25"/>
      <c r="P838" s="26"/>
      <c r="Q838" s="27" t="str">
        <f aca="false">IF(A838="","",SUMIF(Expenses!$B$2:$B$3000,A838,Expenses!$E$2:$E$3000))</f>
        <v/>
      </c>
      <c r="R838" s="27" t="str">
        <f aca="false">IF(A838="","",N(P838)+N(Q838))</f>
        <v/>
      </c>
      <c r="S838" s="28"/>
      <c r="T838" s="25"/>
      <c r="U838" s="26"/>
      <c r="V838" s="26"/>
      <c r="W838" s="26"/>
      <c r="X838" s="27" t="str">
        <f aca="false">IF(B838&lt;&gt;"SOLD","",IF(C838="Consignment",N(W838)-R838,N(U838)-R838-N(V838)))</f>
        <v/>
      </c>
      <c r="Y838" s="29" t="str">
        <f aca="false">IF(OR(X838="",N(R838)=0),"",X838/R838)</f>
        <v/>
      </c>
      <c r="Z838" s="30" t="str">
        <f aca="true">IF(O838="","",IF(T838="",TODAY(),T838)-O838)</f>
        <v/>
      </c>
      <c r="AA838" s="31" t="str">
        <f aca="false">IF(T838="","",TEXT(T838,"YYYY-MM"))</f>
        <v/>
      </c>
      <c r="AB838" s="27" t="str">
        <f aca="false">IF(X838="","",X838/2)</f>
        <v/>
      </c>
      <c r="AC838" s="21"/>
    </row>
    <row r="839" customFormat="false" ht="15" hidden="false" customHeight="false" outlineLevel="0" collapsed="false">
      <c r="A839" s="20"/>
      <c r="B839" s="21"/>
      <c r="C839" s="21"/>
      <c r="D839" s="21"/>
      <c r="E839" s="21"/>
      <c r="F839" s="21"/>
      <c r="G839" s="22"/>
      <c r="H839" s="21"/>
      <c r="I839" s="21"/>
      <c r="J839" s="21"/>
      <c r="K839" s="23"/>
      <c r="L839" s="24"/>
      <c r="M839" s="21"/>
      <c r="N839" s="21"/>
      <c r="O839" s="25"/>
      <c r="P839" s="26"/>
      <c r="Q839" s="27" t="str">
        <f aca="false">IF(A839="","",SUMIF(Expenses!$B$2:$B$3000,A839,Expenses!$E$2:$E$3000))</f>
        <v/>
      </c>
      <c r="R839" s="27" t="str">
        <f aca="false">IF(A839="","",N(P839)+N(Q839))</f>
        <v/>
      </c>
      <c r="S839" s="28"/>
      <c r="T839" s="25"/>
      <c r="U839" s="26"/>
      <c r="V839" s="26"/>
      <c r="W839" s="26"/>
      <c r="X839" s="27" t="str">
        <f aca="false">IF(B839&lt;&gt;"SOLD","",IF(C839="Consignment",N(W839)-R839,N(U839)-R839-N(V839)))</f>
        <v/>
      </c>
      <c r="Y839" s="29" t="str">
        <f aca="false">IF(OR(X839="",N(R839)=0),"",X839/R839)</f>
        <v/>
      </c>
      <c r="Z839" s="30" t="str">
        <f aca="true">IF(O839="","",IF(T839="",TODAY(),T839)-O839)</f>
        <v/>
      </c>
      <c r="AA839" s="31" t="str">
        <f aca="false">IF(T839="","",TEXT(T839,"YYYY-MM"))</f>
        <v/>
      </c>
      <c r="AB839" s="27" t="str">
        <f aca="false">IF(X839="","",X839/2)</f>
        <v/>
      </c>
      <c r="AC839" s="21"/>
    </row>
    <row r="840" customFormat="false" ht="15" hidden="false" customHeight="false" outlineLevel="0" collapsed="false">
      <c r="A840" s="20"/>
      <c r="B840" s="21"/>
      <c r="C840" s="21"/>
      <c r="D840" s="21"/>
      <c r="E840" s="21"/>
      <c r="F840" s="21"/>
      <c r="G840" s="22"/>
      <c r="H840" s="21"/>
      <c r="I840" s="21"/>
      <c r="J840" s="21"/>
      <c r="K840" s="23"/>
      <c r="L840" s="24"/>
      <c r="M840" s="21"/>
      <c r="N840" s="21"/>
      <c r="O840" s="25"/>
      <c r="P840" s="26"/>
      <c r="Q840" s="27" t="str">
        <f aca="false">IF(A840="","",SUMIF(Expenses!$B$2:$B$3000,A840,Expenses!$E$2:$E$3000))</f>
        <v/>
      </c>
      <c r="R840" s="27" t="str">
        <f aca="false">IF(A840="","",N(P840)+N(Q840))</f>
        <v/>
      </c>
      <c r="S840" s="28"/>
      <c r="T840" s="25"/>
      <c r="U840" s="26"/>
      <c r="V840" s="26"/>
      <c r="W840" s="26"/>
      <c r="X840" s="27" t="str">
        <f aca="false">IF(B840&lt;&gt;"SOLD","",IF(C840="Consignment",N(W840)-R840,N(U840)-R840-N(V840)))</f>
        <v/>
      </c>
      <c r="Y840" s="29" t="str">
        <f aca="false">IF(OR(X840="",N(R840)=0),"",X840/R840)</f>
        <v/>
      </c>
      <c r="Z840" s="30" t="str">
        <f aca="true">IF(O840="","",IF(T840="",TODAY(),T840)-O840)</f>
        <v/>
      </c>
      <c r="AA840" s="31" t="str">
        <f aca="false">IF(T840="","",TEXT(T840,"YYYY-MM"))</f>
        <v/>
      </c>
      <c r="AB840" s="27" t="str">
        <f aca="false">IF(X840="","",X840/2)</f>
        <v/>
      </c>
      <c r="AC840" s="21"/>
    </row>
    <row r="841" customFormat="false" ht="15" hidden="false" customHeight="false" outlineLevel="0" collapsed="false">
      <c r="A841" s="20"/>
      <c r="B841" s="21"/>
      <c r="C841" s="21"/>
      <c r="D841" s="21"/>
      <c r="E841" s="21"/>
      <c r="F841" s="21"/>
      <c r="G841" s="22"/>
      <c r="H841" s="21"/>
      <c r="I841" s="21"/>
      <c r="J841" s="21"/>
      <c r="K841" s="23"/>
      <c r="L841" s="24"/>
      <c r="M841" s="21"/>
      <c r="N841" s="21"/>
      <c r="O841" s="25"/>
      <c r="P841" s="26"/>
      <c r="Q841" s="27" t="str">
        <f aca="false">IF(A841="","",SUMIF(Expenses!$B$2:$B$3000,A841,Expenses!$E$2:$E$3000))</f>
        <v/>
      </c>
      <c r="R841" s="27" t="str">
        <f aca="false">IF(A841="","",N(P841)+N(Q841))</f>
        <v/>
      </c>
      <c r="S841" s="28"/>
      <c r="T841" s="25"/>
      <c r="U841" s="26"/>
      <c r="V841" s="26"/>
      <c r="W841" s="26"/>
      <c r="X841" s="27" t="str">
        <f aca="false">IF(B841&lt;&gt;"SOLD","",IF(C841="Consignment",N(W841)-R841,N(U841)-R841-N(V841)))</f>
        <v/>
      </c>
      <c r="Y841" s="29" t="str">
        <f aca="false">IF(OR(X841="",N(R841)=0),"",X841/R841)</f>
        <v/>
      </c>
      <c r="Z841" s="30" t="str">
        <f aca="true">IF(O841="","",IF(T841="",TODAY(),T841)-O841)</f>
        <v/>
      </c>
      <c r="AA841" s="31" t="str">
        <f aca="false">IF(T841="","",TEXT(T841,"YYYY-MM"))</f>
        <v/>
      </c>
      <c r="AB841" s="27" t="str">
        <f aca="false">IF(X841="","",X841/2)</f>
        <v/>
      </c>
      <c r="AC841" s="21"/>
    </row>
    <row r="842" customFormat="false" ht="15" hidden="false" customHeight="false" outlineLevel="0" collapsed="false">
      <c r="A842" s="20"/>
      <c r="B842" s="21"/>
      <c r="C842" s="21"/>
      <c r="D842" s="21"/>
      <c r="E842" s="21"/>
      <c r="F842" s="21"/>
      <c r="G842" s="22"/>
      <c r="H842" s="21"/>
      <c r="I842" s="21"/>
      <c r="J842" s="21"/>
      <c r="K842" s="23"/>
      <c r="L842" s="24"/>
      <c r="M842" s="21"/>
      <c r="N842" s="21"/>
      <c r="O842" s="25"/>
      <c r="P842" s="26"/>
      <c r="Q842" s="27" t="str">
        <f aca="false">IF(A842="","",SUMIF(Expenses!$B$2:$B$3000,A842,Expenses!$E$2:$E$3000))</f>
        <v/>
      </c>
      <c r="R842" s="27" t="str">
        <f aca="false">IF(A842="","",N(P842)+N(Q842))</f>
        <v/>
      </c>
      <c r="S842" s="28"/>
      <c r="T842" s="25"/>
      <c r="U842" s="26"/>
      <c r="V842" s="26"/>
      <c r="W842" s="26"/>
      <c r="X842" s="27" t="str">
        <f aca="false">IF(B842&lt;&gt;"SOLD","",IF(C842="Consignment",N(W842)-R842,N(U842)-R842-N(V842)))</f>
        <v/>
      </c>
      <c r="Y842" s="29" t="str">
        <f aca="false">IF(OR(X842="",N(R842)=0),"",X842/R842)</f>
        <v/>
      </c>
      <c r="Z842" s="30" t="str">
        <f aca="true">IF(O842="","",IF(T842="",TODAY(),T842)-O842)</f>
        <v/>
      </c>
      <c r="AA842" s="31" t="str">
        <f aca="false">IF(T842="","",TEXT(T842,"YYYY-MM"))</f>
        <v/>
      </c>
      <c r="AB842" s="27" t="str">
        <f aca="false">IF(X842="","",X842/2)</f>
        <v/>
      </c>
      <c r="AC842" s="21"/>
    </row>
    <row r="843" customFormat="false" ht="15" hidden="false" customHeight="false" outlineLevel="0" collapsed="false">
      <c r="A843" s="20"/>
      <c r="B843" s="21"/>
      <c r="C843" s="21"/>
      <c r="D843" s="21"/>
      <c r="E843" s="21"/>
      <c r="F843" s="21"/>
      <c r="G843" s="22"/>
      <c r="H843" s="21"/>
      <c r="I843" s="21"/>
      <c r="J843" s="21"/>
      <c r="K843" s="23"/>
      <c r="L843" s="24"/>
      <c r="M843" s="21"/>
      <c r="N843" s="21"/>
      <c r="O843" s="25"/>
      <c r="P843" s="26"/>
      <c r="Q843" s="27" t="str">
        <f aca="false">IF(A843="","",SUMIF(Expenses!$B$2:$B$3000,A843,Expenses!$E$2:$E$3000))</f>
        <v/>
      </c>
      <c r="R843" s="27" t="str">
        <f aca="false">IF(A843="","",N(P843)+N(Q843))</f>
        <v/>
      </c>
      <c r="S843" s="28"/>
      <c r="T843" s="25"/>
      <c r="U843" s="26"/>
      <c r="V843" s="26"/>
      <c r="W843" s="26"/>
      <c r="X843" s="27" t="str">
        <f aca="false">IF(B843&lt;&gt;"SOLD","",IF(C843="Consignment",N(W843)-R843,N(U843)-R843-N(V843)))</f>
        <v/>
      </c>
      <c r="Y843" s="29" t="str">
        <f aca="false">IF(OR(X843="",N(R843)=0),"",X843/R843)</f>
        <v/>
      </c>
      <c r="Z843" s="30" t="str">
        <f aca="true">IF(O843="","",IF(T843="",TODAY(),T843)-O843)</f>
        <v/>
      </c>
      <c r="AA843" s="31" t="str">
        <f aca="false">IF(T843="","",TEXT(T843,"YYYY-MM"))</f>
        <v/>
      </c>
      <c r="AB843" s="27" t="str">
        <f aca="false">IF(X843="","",X843/2)</f>
        <v/>
      </c>
      <c r="AC843" s="21"/>
    </row>
    <row r="844" customFormat="false" ht="15" hidden="false" customHeight="false" outlineLevel="0" collapsed="false">
      <c r="A844" s="20"/>
      <c r="B844" s="21"/>
      <c r="C844" s="21"/>
      <c r="D844" s="21"/>
      <c r="E844" s="21"/>
      <c r="F844" s="21"/>
      <c r="G844" s="22"/>
      <c r="H844" s="21"/>
      <c r="I844" s="21"/>
      <c r="J844" s="21"/>
      <c r="K844" s="23"/>
      <c r="L844" s="24"/>
      <c r="M844" s="21"/>
      <c r="N844" s="21"/>
      <c r="O844" s="25"/>
      <c r="P844" s="26"/>
      <c r="Q844" s="27" t="str">
        <f aca="false">IF(A844="","",SUMIF(Expenses!$B$2:$B$3000,A844,Expenses!$E$2:$E$3000))</f>
        <v/>
      </c>
      <c r="R844" s="27" t="str">
        <f aca="false">IF(A844="","",N(P844)+N(Q844))</f>
        <v/>
      </c>
      <c r="S844" s="28"/>
      <c r="T844" s="25"/>
      <c r="U844" s="26"/>
      <c r="V844" s="26"/>
      <c r="W844" s="26"/>
      <c r="X844" s="27" t="str">
        <f aca="false">IF(B844&lt;&gt;"SOLD","",IF(C844="Consignment",N(W844)-R844,N(U844)-R844-N(V844)))</f>
        <v/>
      </c>
      <c r="Y844" s="29" t="str">
        <f aca="false">IF(OR(X844="",N(R844)=0),"",X844/R844)</f>
        <v/>
      </c>
      <c r="Z844" s="30" t="str">
        <f aca="true">IF(O844="","",IF(T844="",TODAY(),T844)-O844)</f>
        <v/>
      </c>
      <c r="AA844" s="31" t="str">
        <f aca="false">IF(T844="","",TEXT(T844,"YYYY-MM"))</f>
        <v/>
      </c>
      <c r="AB844" s="27" t="str">
        <f aca="false">IF(X844="","",X844/2)</f>
        <v/>
      </c>
      <c r="AC844" s="21"/>
    </row>
    <row r="845" customFormat="false" ht="15" hidden="false" customHeight="false" outlineLevel="0" collapsed="false">
      <c r="A845" s="20"/>
      <c r="B845" s="21"/>
      <c r="C845" s="21"/>
      <c r="D845" s="21"/>
      <c r="E845" s="21"/>
      <c r="F845" s="21"/>
      <c r="G845" s="22"/>
      <c r="H845" s="21"/>
      <c r="I845" s="21"/>
      <c r="J845" s="21"/>
      <c r="K845" s="23"/>
      <c r="L845" s="24"/>
      <c r="M845" s="21"/>
      <c r="N845" s="21"/>
      <c r="O845" s="25"/>
      <c r="P845" s="26"/>
      <c r="Q845" s="27" t="str">
        <f aca="false">IF(A845="","",SUMIF(Expenses!$B$2:$B$3000,A845,Expenses!$E$2:$E$3000))</f>
        <v/>
      </c>
      <c r="R845" s="27" t="str">
        <f aca="false">IF(A845="","",N(P845)+N(Q845))</f>
        <v/>
      </c>
      <c r="S845" s="28"/>
      <c r="T845" s="25"/>
      <c r="U845" s="26"/>
      <c r="V845" s="26"/>
      <c r="W845" s="26"/>
      <c r="X845" s="27" t="str">
        <f aca="false">IF(B845&lt;&gt;"SOLD","",IF(C845="Consignment",N(W845)-R845,N(U845)-R845-N(V845)))</f>
        <v/>
      </c>
      <c r="Y845" s="29" t="str">
        <f aca="false">IF(OR(X845="",N(R845)=0),"",X845/R845)</f>
        <v/>
      </c>
      <c r="Z845" s="30" t="str">
        <f aca="true">IF(O845="","",IF(T845="",TODAY(),T845)-O845)</f>
        <v/>
      </c>
      <c r="AA845" s="31" t="str">
        <f aca="false">IF(T845="","",TEXT(T845,"YYYY-MM"))</f>
        <v/>
      </c>
      <c r="AB845" s="27" t="str">
        <f aca="false">IF(X845="","",X845/2)</f>
        <v/>
      </c>
      <c r="AC845" s="21"/>
    </row>
    <row r="846" customFormat="false" ht="15" hidden="false" customHeight="false" outlineLevel="0" collapsed="false">
      <c r="A846" s="20"/>
      <c r="B846" s="21"/>
      <c r="C846" s="21"/>
      <c r="D846" s="21"/>
      <c r="E846" s="21"/>
      <c r="F846" s="21"/>
      <c r="G846" s="22"/>
      <c r="H846" s="21"/>
      <c r="I846" s="21"/>
      <c r="J846" s="21"/>
      <c r="K846" s="23"/>
      <c r="L846" s="24"/>
      <c r="M846" s="21"/>
      <c r="N846" s="21"/>
      <c r="O846" s="25"/>
      <c r="P846" s="26"/>
      <c r="Q846" s="27" t="str">
        <f aca="false">IF(A846="","",SUMIF(Expenses!$B$2:$B$3000,A846,Expenses!$E$2:$E$3000))</f>
        <v/>
      </c>
      <c r="R846" s="27" t="str">
        <f aca="false">IF(A846="","",N(P846)+N(Q846))</f>
        <v/>
      </c>
      <c r="S846" s="28"/>
      <c r="T846" s="25"/>
      <c r="U846" s="26"/>
      <c r="V846" s="26"/>
      <c r="W846" s="26"/>
      <c r="X846" s="27" t="str">
        <f aca="false">IF(B846&lt;&gt;"SOLD","",IF(C846="Consignment",N(W846)-R846,N(U846)-R846-N(V846)))</f>
        <v/>
      </c>
      <c r="Y846" s="29" t="str">
        <f aca="false">IF(OR(X846="",N(R846)=0),"",X846/R846)</f>
        <v/>
      </c>
      <c r="Z846" s="30" t="str">
        <f aca="true">IF(O846="","",IF(T846="",TODAY(),T846)-O846)</f>
        <v/>
      </c>
      <c r="AA846" s="31" t="str">
        <f aca="false">IF(T846="","",TEXT(T846,"YYYY-MM"))</f>
        <v/>
      </c>
      <c r="AB846" s="27" t="str">
        <f aca="false">IF(X846="","",X846/2)</f>
        <v/>
      </c>
      <c r="AC846" s="21"/>
    </row>
    <row r="847" customFormat="false" ht="15" hidden="false" customHeight="false" outlineLevel="0" collapsed="false">
      <c r="A847" s="20"/>
      <c r="B847" s="21"/>
      <c r="C847" s="21"/>
      <c r="D847" s="21"/>
      <c r="E847" s="21"/>
      <c r="F847" s="21"/>
      <c r="G847" s="22"/>
      <c r="H847" s="21"/>
      <c r="I847" s="21"/>
      <c r="J847" s="21"/>
      <c r="K847" s="23"/>
      <c r="L847" s="24"/>
      <c r="M847" s="21"/>
      <c r="N847" s="21"/>
      <c r="O847" s="25"/>
      <c r="P847" s="26"/>
      <c r="Q847" s="27" t="str">
        <f aca="false">IF(A847="","",SUMIF(Expenses!$B$2:$B$3000,A847,Expenses!$E$2:$E$3000))</f>
        <v/>
      </c>
      <c r="R847" s="27" t="str">
        <f aca="false">IF(A847="","",N(P847)+N(Q847))</f>
        <v/>
      </c>
      <c r="S847" s="28"/>
      <c r="T847" s="25"/>
      <c r="U847" s="26"/>
      <c r="V847" s="26"/>
      <c r="W847" s="26"/>
      <c r="X847" s="27" t="str">
        <f aca="false">IF(B847&lt;&gt;"SOLD","",IF(C847="Consignment",N(W847)-R847,N(U847)-R847-N(V847)))</f>
        <v/>
      </c>
      <c r="Y847" s="29" t="str">
        <f aca="false">IF(OR(X847="",N(R847)=0),"",X847/R847)</f>
        <v/>
      </c>
      <c r="Z847" s="30" t="str">
        <f aca="true">IF(O847="","",IF(T847="",TODAY(),T847)-O847)</f>
        <v/>
      </c>
      <c r="AA847" s="31" t="str">
        <f aca="false">IF(T847="","",TEXT(T847,"YYYY-MM"))</f>
        <v/>
      </c>
      <c r="AB847" s="27" t="str">
        <f aca="false">IF(X847="","",X847/2)</f>
        <v/>
      </c>
      <c r="AC847" s="21"/>
    </row>
    <row r="848" customFormat="false" ht="15" hidden="false" customHeight="false" outlineLevel="0" collapsed="false">
      <c r="A848" s="20"/>
      <c r="B848" s="21"/>
      <c r="C848" s="21"/>
      <c r="D848" s="21"/>
      <c r="E848" s="21"/>
      <c r="F848" s="21"/>
      <c r="G848" s="22"/>
      <c r="H848" s="21"/>
      <c r="I848" s="21"/>
      <c r="J848" s="21"/>
      <c r="K848" s="23"/>
      <c r="L848" s="24"/>
      <c r="M848" s="21"/>
      <c r="N848" s="21"/>
      <c r="O848" s="25"/>
      <c r="P848" s="26"/>
      <c r="Q848" s="27" t="str">
        <f aca="false">IF(A848="","",SUMIF(Expenses!$B$2:$B$3000,A848,Expenses!$E$2:$E$3000))</f>
        <v/>
      </c>
      <c r="R848" s="27" t="str">
        <f aca="false">IF(A848="","",N(P848)+N(Q848))</f>
        <v/>
      </c>
      <c r="S848" s="28"/>
      <c r="T848" s="25"/>
      <c r="U848" s="26"/>
      <c r="V848" s="26"/>
      <c r="W848" s="26"/>
      <c r="X848" s="27" t="str">
        <f aca="false">IF(B848&lt;&gt;"SOLD","",IF(C848="Consignment",N(W848)-R848,N(U848)-R848-N(V848)))</f>
        <v/>
      </c>
      <c r="Y848" s="29" t="str">
        <f aca="false">IF(OR(X848="",N(R848)=0),"",X848/R848)</f>
        <v/>
      </c>
      <c r="Z848" s="30" t="str">
        <f aca="true">IF(O848="","",IF(T848="",TODAY(),T848)-O848)</f>
        <v/>
      </c>
      <c r="AA848" s="31" t="str">
        <f aca="false">IF(T848="","",TEXT(T848,"YYYY-MM"))</f>
        <v/>
      </c>
      <c r="AB848" s="27" t="str">
        <f aca="false">IF(X848="","",X848/2)</f>
        <v/>
      </c>
      <c r="AC848" s="21"/>
    </row>
    <row r="849" customFormat="false" ht="15" hidden="false" customHeight="false" outlineLevel="0" collapsed="false">
      <c r="A849" s="20"/>
      <c r="B849" s="21"/>
      <c r="C849" s="21"/>
      <c r="D849" s="21"/>
      <c r="E849" s="21"/>
      <c r="F849" s="21"/>
      <c r="G849" s="22"/>
      <c r="H849" s="21"/>
      <c r="I849" s="21"/>
      <c r="J849" s="21"/>
      <c r="K849" s="23"/>
      <c r="L849" s="24"/>
      <c r="M849" s="21"/>
      <c r="N849" s="21"/>
      <c r="O849" s="25"/>
      <c r="P849" s="26"/>
      <c r="Q849" s="27" t="str">
        <f aca="false">IF(A849="","",SUMIF(Expenses!$B$2:$B$3000,A849,Expenses!$E$2:$E$3000))</f>
        <v/>
      </c>
      <c r="R849" s="27" t="str">
        <f aca="false">IF(A849="","",N(P849)+N(Q849))</f>
        <v/>
      </c>
      <c r="S849" s="28"/>
      <c r="T849" s="25"/>
      <c r="U849" s="26"/>
      <c r="V849" s="26"/>
      <c r="W849" s="26"/>
      <c r="X849" s="27" t="str">
        <f aca="false">IF(B849&lt;&gt;"SOLD","",IF(C849="Consignment",N(W849)-R849,N(U849)-R849-N(V849)))</f>
        <v/>
      </c>
      <c r="Y849" s="29" t="str">
        <f aca="false">IF(OR(X849="",N(R849)=0),"",X849/R849)</f>
        <v/>
      </c>
      <c r="Z849" s="30" t="str">
        <f aca="true">IF(O849="","",IF(T849="",TODAY(),T849)-O849)</f>
        <v/>
      </c>
      <c r="AA849" s="31" t="str">
        <f aca="false">IF(T849="","",TEXT(T849,"YYYY-MM"))</f>
        <v/>
      </c>
      <c r="AB849" s="27" t="str">
        <f aca="false">IF(X849="","",X849/2)</f>
        <v/>
      </c>
      <c r="AC849" s="21"/>
    </row>
    <row r="850" customFormat="false" ht="15" hidden="false" customHeight="false" outlineLevel="0" collapsed="false">
      <c r="A850" s="20"/>
      <c r="B850" s="21"/>
      <c r="C850" s="21"/>
      <c r="D850" s="21"/>
      <c r="E850" s="21"/>
      <c r="F850" s="21"/>
      <c r="G850" s="22"/>
      <c r="H850" s="21"/>
      <c r="I850" s="21"/>
      <c r="J850" s="21"/>
      <c r="K850" s="23"/>
      <c r="L850" s="24"/>
      <c r="M850" s="21"/>
      <c r="N850" s="21"/>
      <c r="O850" s="25"/>
      <c r="P850" s="26"/>
      <c r="Q850" s="27" t="str">
        <f aca="false">IF(A850="","",SUMIF(Expenses!$B$2:$B$3000,A850,Expenses!$E$2:$E$3000))</f>
        <v/>
      </c>
      <c r="R850" s="27" t="str">
        <f aca="false">IF(A850="","",N(P850)+N(Q850))</f>
        <v/>
      </c>
      <c r="S850" s="28"/>
      <c r="T850" s="25"/>
      <c r="U850" s="26"/>
      <c r="V850" s="26"/>
      <c r="W850" s="26"/>
      <c r="X850" s="27" t="str">
        <f aca="false">IF(B850&lt;&gt;"SOLD","",IF(C850="Consignment",N(W850)-R850,N(U850)-R850-N(V850)))</f>
        <v/>
      </c>
      <c r="Y850" s="29" t="str">
        <f aca="false">IF(OR(X850="",N(R850)=0),"",X850/R850)</f>
        <v/>
      </c>
      <c r="Z850" s="30" t="str">
        <f aca="true">IF(O850="","",IF(T850="",TODAY(),T850)-O850)</f>
        <v/>
      </c>
      <c r="AA850" s="31" t="str">
        <f aca="false">IF(T850="","",TEXT(T850,"YYYY-MM"))</f>
        <v/>
      </c>
      <c r="AB850" s="27" t="str">
        <f aca="false">IF(X850="","",X850/2)</f>
        <v/>
      </c>
      <c r="AC850" s="21"/>
    </row>
    <row r="851" customFormat="false" ht="15" hidden="false" customHeight="false" outlineLevel="0" collapsed="false">
      <c r="A851" s="20"/>
      <c r="B851" s="21"/>
      <c r="C851" s="21"/>
      <c r="D851" s="21"/>
      <c r="E851" s="21"/>
      <c r="F851" s="21"/>
      <c r="G851" s="22"/>
      <c r="H851" s="21"/>
      <c r="I851" s="21"/>
      <c r="J851" s="21"/>
      <c r="K851" s="23"/>
      <c r="L851" s="24"/>
      <c r="M851" s="21"/>
      <c r="N851" s="21"/>
      <c r="O851" s="25"/>
      <c r="P851" s="26"/>
      <c r="Q851" s="27" t="str">
        <f aca="false">IF(A851="","",SUMIF(Expenses!$B$2:$B$3000,A851,Expenses!$E$2:$E$3000))</f>
        <v/>
      </c>
      <c r="R851" s="27" t="str">
        <f aca="false">IF(A851="","",N(P851)+N(Q851))</f>
        <v/>
      </c>
      <c r="S851" s="28"/>
      <c r="T851" s="25"/>
      <c r="U851" s="26"/>
      <c r="V851" s="26"/>
      <c r="W851" s="26"/>
      <c r="X851" s="27" t="str">
        <f aca="false">IF(B851&lt;&gt;"SOLD","",IF(C851="Consignment",N(W851)-R851,N(U851)-R851-N(V851)))</f>
        <v/>
      </c>
      <c r="Y851" s="29" t="str">
        <f aca="false">IF(OR(X851="",N(R851)=0),"",X851/R851)</f>
        <v/>
      </c>
      <c r="Z851" s="30" t="str">
        <f aca="true">IF(O851="","",IF(T851="",TODAY(),T851)-O851)</f>
        <v/>
      </c>
      <c r="AA851" s="31" t="str">
        <f aca="false">IF(T851="","",TEXT(T851,"YYYY-MM"))</f>
        <v/>
      </c>
      <c r="AB851" s="27" t="str">
        <f aca="false">IF(X851="","",X851/2)</f>
        <v/>
      </c>
      <c r="AC851" s="21"/>
    </row>
    <row r="852" customFormat="false" ht="15" hidden="false" customHeight="false" outlineLevel="0" collapsed="false">
      <c r="A852" s="20"/>
      <c r="B852" s="21"/>
      <c r="C852" s="21"/>
      <c r="D852" s="21"/>
      <c r="E852" s="21"/>
      <c r="F852" s="21"/>
      <c r="G852" s="22"/>
      <c r="H852" s="21"/>
      <c r="I852" s="21"/>
      <c r="J852" s="21"/>
      <c r="K852" s="23"/>
      <c r="L852" s="24"/>
      <c r="M852" s="21"/>
      <c r="N852" s="21"/>
      <c r="O852" s="25"/>
      <c r="P852" s="26"/>
      <c r="Q852" s="27" t="str">
        <f aca="false">IF(A852="","",SUMIF(Expenses!$B$2:$B$3000,A852,Expenses!$E$2:$E$3000))</f>
        <v/>
      </c>
      <c r="R852" s="27" t="str">
        <f aca="false">IF(A852="","",N(P852)+N(Q852))</f>
        <v/>
      </c>
      <c r="S852" s="28"/>
      <c r="T852" s="25"/>
      <c r="U852" s="26"/>
      <c r="V852" s="26"/>
      <c r="W852" s="26"/>
      <c r="X852" s="27" t="str">
        <f aca="false">IF(B852&lt;&gt;"SOLD","",IF(C852="Consignment",N(W852)-R852,N(U852)-R852-N(V852)))</f>
        <v/>
      </c>
      <c r="Y852" s="29" t="str">
        <f aca="false">IF(OR(X852="",N(R852)=0),"",X852/R852)</f>
        <v/>
      </c>
      <c r="Z852" s="30" t="str">
        <f aca="true">IF(O852="","",IF(T852="",TODAY(),T852)-O852)</f>
        <v/>
      </c>
      <c r="AA852" s="31" t="str">
        <f aca="false">IF(T852="","",TEXT(T852,"YYYY-MM"))</f>
        <v/>
      </c>
      <c r="AB852" s="27" t="str">
        <f aca="false">IF(X852="","",X852/2)</f>
        <v/>
      </c>
      <c r="AC852" s="21"/>
    </row>
    <row r="853" customFormat="false" ht="15" hidden="false" customHeight="false" outlineLevel="0" collapsed="false">
      <c r="A853" s="20"/>
      <c r="B853" s="21"/>
      <c r="C853" s="21"/>
      <c r="D853" s="21"/>
      <c r="E853" s="21"/>
      <c r="F853" s="21"/>
      <c r="G853" s="22"/>
      <c r="H853" s="21"/>
      <c r="I853" s="21"/>
      <c r="J853" s="21"/>
      <c r="K853" s="23"/>
      <c r="L853" s="24"/>
      <c r="M853" s="21"/>
      <c r="N853" s="21"/>
      <c r="O853" s="25"/>
      <c r="P853" s="26"/>
      <c r="Q853" s="27" t="str">
        <f aca="false">IF(A853="","",SUMIF(Expenses!$B$2:$B$3000,A853,Expenses!$E$2:$E$3000))</f>
        <v/>
      </c>
      <c r="R853" s="27" t="str">
        <f aca="false">IF(A853="","",N(P853)+N(Q853))</f>
        <v/>
      </c>
      <c r="S853" s="28"/>
      <c r="T853" s="25"/>
      <c r="U853" s="26"/>
      <c r="V853" s="26"/>
      <c r="W853" s="26"/>
      <c r="X853" s="27" t="str">
        <f aca="false">IF(B853&lt;&gt;"SOLD","",IF(C853="Consignment",N(W853)-R853,N(U853)-R853-N(V853)))</f>
        <v/>
      </c>
      <c r="Y853" s="29" t="str">
        <f aca="false">IF(OR(X853="",N(R853)=0),"",X853/R853)</f>
        <v/>
      </c>
      <c r="Z853" s="30" t="str">
        <f aca="true">IF(O853="","",IF(T853="",TODAY(),T853)-O853)</f>
        <v/>
      </c>
      <c r="AA853" s="31" t="str">
        <f aca="false">IF(T853="","",TEXT(T853,"YYYY-MM"))</f>
        <v/>
      </c>
      <c r="AB853" s="27" t="str">
        <f aca="false">IF(X853="","",X853/2)</f>
        <v/>
      </c>
      <c r="AC853" s="21"/>
    </row>
    <row r="854" customFormat="false" ht="15" hidden="false" customHeight="false" outlineLevel="0" collapsed="false">
      <c r="A854" s="20"/>
      <c r="B854" s="21"/>
      <c r="C854" s="21"/>
      <c r="D854" s="21"/>
      <c r="E854" s="21"/>
      <c r="F854" s="21"/>
      <c r="G854" s="22"/>
      <c r="H854" s="21"/>
      <c r="I854" s="21"/>
      <c r="J854" s="21"/>
      <c r="K854" s="23"/>
      <c r="L854" s="24"/>
      <c r="M854" s="21"/>
      <c r="N854" s="21"/>
      <c r="O854" s="25"/>
      <c r="P854" s="26"/>
      <c r="Q854" s="27" t="str">
        <f aca="false">IF(A854="","",SUMIF(Expenses!$B$2:$B$3000,A854,Expenses!$E$2:$E$3000))</f>
        <v/>
      </c>
      <c r="R854" s="27" t="str">
        <f aca="false">IF(A854="","",N(P854)+N(Q854))</f>
        <v/>
      </c>
      <c r="S854" s="28"/>
      <c r="T854" s="25"/>
      <c r="U854" s="26"/>
      <c r="V854" s="26"/>
      <c r="W854" s="26"/>
      <c r="X854" s="27" t="str">
        <f aca="false">IF(B854&lt;&gt;"SOLD","",IF(C854="Consignment",N(W854)-R854,N(U854)-R854-N(V854)))</f>
        <v/>
      </c>
      <c r="Y854" s="29" t="str">
        <f aca="false">IF(OR(X854="",N(R854)=0),"",X854/R854)</f>
        <v/>
      </c>
      <c r="Z854" s="30" t="str">
        <f aca="true">IF(O854="","",IF(T854="",TODAY(),T854)-O854)</f>
        <v/>
      </c>
      <c r="AA854" s="31" t="str">
        <f aca="false">IF(T854="","",TEXT(T854,"YYYY-MM"))</f>
        <v/>
      </c>
      <c r="AB854" s="27" t="str">
        <f aca="false">IF(X854="","",X854/2)</f>
        <v/>
      </c>
      <c r="AC854" s="21"/>
    </row>
    <row r="855" customFormat="false" ht="15" hidden="false" customHeight="false" outlineLevel="0" collapsed="false">
      <c r="A855" s="20"/>
      <c r="B855" s="21"/>
      <c r="C855" s="21"/>
      <c r="D855" s="21"/>
      <c r="E855" s="21"/>
      <c r="F855" s="21"/>
      <c r="G855" s="22"/>
      <c r="H855" s="21"/>
      <c r="I855" s="21"/>
      <c r="J855" s="21"/>
      <c r="K855" s="23"/>
      <c r="L855" s="24"/>
      <c r="M855" s="21"/>
      <c r="N855" s="21"/>
      <c r="O855" s="25"/>
      <c r="P855" s="26"/>
      <c r="Q855" s="27" t="str">
        <f aca="false">IF(A855="","",SUMIF(Expenses!$B$2:$B$3000,A855,Expenses!$E$2:$E$3000))</f>
        <v/>
      </c>
      <c r="R855" s="27" t="str">
        <f aca="false">IF(A855="","",N(P855)+N(Q855))</f>
        <v/>
      </c>
      <c r="S855" s="28"/>
      <c r="T855" s="25"/>
      <c r="U855" s="26"/>
      <c r="V855" s="26"/>
      <c r="W855" s="26"/>
      <c r="X855" s="27" t="str">
        <f aca="false">IF(B855&lt;&gt;"SOLD","",IF(C855="Consignment",N(W855)-R855,N(U855)-R855-N(V855)))</f>
        <v/>
      </c>
      <c r="Y855" s="29" t="str">
        <f aca="false">IF(OR(X855="",N(R855)=0),"",X855/R855)</f>
        <v/>
      </c>
      <c r="Z855" s="30" t="str">
        <f aca="true">IF(O855="","",IF(T855="",TODAY(),T855)-O855)</f>
        <v/>
      </c>
      <c r="AA855" s="31" t="str">
        <f aca="false">IF(T855="","",TEXT(T855,"YYYY-MM"))</f>
        <v/>
      </c>
      <c r="AB855" s="27" t="str">
        <f aca="false">IF(X855="","",X855/2)</f>
        <v/>
      </c>
      <c r="AC855" s="21"/>
    </row>
    <row r="856" customFormat="false" ht="15" hidden="false" customHeight="false" outlineLevel="0" collapsed="false">
      <c r="A856" s="20"/>
      <c r="B856" s="21"/>
      <c r="C856" s="21"/>
      <c r="D856" s="21"/>
      <c r="E856" s="21"/>
      <c r="F856" s="21"/>
      <c r="G856" s="22"/>
      <c r="H856" s="21"/>
      <c r="I856" s="21"/>
      <c r="J856" s="21"/>
      <c r="K856" s="23"/>
      <c r="L856" s="24"/>
      <c r="M856" s="21"/>
      <c r="N856" s="21"/>
      <c r="O856" s="25"/>
      <c r="P856" s="26"/>
      <c r="Q856" s="27" t="str">
        <f aca="false">IF(A856="","",SUMIF(Expenses!$B$2:$B$3000,A856,Expenses!$E$2:$E$3000))</f>
        <v/>
      </c>
      <c r="R856" s="27" t="str">
        <f aca="false">IF(A856="","",N(P856)+N(Q856))</f>
        <v/>
      </c>
      <c r="S856" s="28"/>
      <c r="T856" s="25"/>
      <c r="U856" s="26"/>
      <c r="V856" s="26"/>
      <c r="W856" s="26"/>
      <c r="X856" s="27" t="str">
        <f aca="false">IF(B856&lt;&gt;"SOLD","",IF(C856="Consignment",N(W856)-R856,N(U856)-R856-N(V856)))</f>
        <v/>
      </c>
      <c r="Y856" s="29" t="str">
        <f aca="false">IF(OR(X856="",N(R856)=0),"",X856/R856)</f>
        <v/>
      </c>
      <c r="Z856" s="30" t="str">
        <f aca="true">IF(O856="","",IF(T856="",TODAY(),T856)-O856)</f>
        <v/>
      </c>
      <c r="AA856" s="31" t="str">
        <f aca="false">IF(T856="","",TEXT(T856,"YYYY-MM"))</f>
        <v/>
      </c>
      <c r="AB856" s="27" t="str">
        <f aca="false">IF(X856="","",X856/2)</f>
        <v/>
      </c>
      <c r="AC856" s="21"/>
    </row>
    <row r="857" customFormat="false" ht="15" hidden="false" customHeight="false" outlineLevel="0" collapsed="false">
      <c r="A857" s="20"/>
      <c r="B857" s="21"/>
      <c r="C857" s="21"/>
      <c r="D857" s="21"/>
      <c r="E857" s="21"/>
      <c r="F857" s="21"/>
      <c r="G857" s="22"/>
      <c r="H857" s="21"/>
      <c r="I857" s="21"/>
      <c r="J857" s="21"/>
      <c r="K857" s="23"/>
      <c r="L857" s="24"/>
      <c r="M857" s="21"/>
      <c r="N857" s="21"/>
      <c r="O857" s="25"/>
      <c r="P857" s="26"/>
      <c r="Q857" s="27" t="str">
        <f aca="false">IF(A857="","",SUMIF(Expenses!$B$2:$B$3000,A857,Expenses!$E$2:$E$3000))</f>
        <v/>
      </c>
      <c r="R857" s="27" t="str">
        <f aca="false">IF(A857="","",N(P857)+N(Q857))</f>
        <v/>
      </c>
      <c r="S857" s="28"/>
      <c r="T857" s="25"/>
      <c r="U857" s="26"/>
      <c r="V857" s="26"/>
      <c r="W857" s="26"/>
      <c r="X857" s="27" t="str">
        <f aca="false">IF(B857&lt;&gt;"SOLD","",IF(C857="Consignment",N(W857)-R857,N(U857)-R857-N(V857)))</f>
        <v/>
      </c>
      <c r="Y857" s="29" t="str">
        <f aca="false">IF(OR(X857="",N(R857)=0),"",X857/R857)</f>
        <v/>
      </c>
      <c r="Z857" s="30" t="str">
        <f aca="true">IF(O857="","",IF(T857="",TODAY(),T857)-O857)</f>
        <v/>
      </c>
      <c r="AA857" s="31" t="str">
        <f aca="false">IF(T857="","",TEXT(T857,"YYYY-MM"))</f>
        <v/>
      </c>
      <c r="AB857" s="27" t="str">
        <f aca="false">IF(X857="","",X857/2)</f>
        <v/>
      </c>
      <c r="AC857" s="21"/>
    </row>
    <row r="858" customFormat="false" ht="15" hidden="false" customHeight="false" outlineLevel="0" collapsed="false">
      <c r="A858" s="20"/>
      <c r="B858" s="21"/>
      <c r="C858" s="21"/>
      <c r="D858" s="21"/>
      <c r="E858" s="21"/>
      <c r="F858" s="21"/>
      <c r="G858" s="22"/>
      <c r="H858" s="21"/>
      <c r="I858" s="21"/>
      <c r="J858" s="21"/>
      <c r="K858" s="23"/>
      <c r="L858" s="24"/>
      <c r="M858" s="21"/>
      <c r="N858" s="21"/>
      <c r="O858" s="25"/>
      <c r="P858" s="26"/>
      <c r="Q858" s="27" t="str">
        <f aca="false">IF(A858="","",SUMIF(Expenses!$B$2:$B$3000,A858,Expenses!$E$2:$E$3000))</f>
        <v/>
      </c>
      <c r="R858" s="27" t="str">
        <f aca="false">IF(A858="","",N(P858)+N(Q858))</f>
        <v/>
      </c>
      <c r="S858" s="28"/>
      <c r="T858" s="25"/>
      <c r="U858" s="26"/>
      <c r="V858" s="26"/>
      <c r="W858" s="26"/>
      <c r="X858" s="27" t="str">
        <f aca="false">IF(B858&lt;&gt;"SOLD","",IF(C858="Consignment",N(W858)-R858,N(U858)-R858-N(V858)))</f>
        <v/>
      </c>
      <c r="Y858" s="29" t="str">
        <f aca="false">IF(OR(X858="",N(R858)=0),"",X858/R858)</f>
        <v/>
      </c>
      <c r="Z858" s="30" t="str">
        <f aca="true">IF(O858="","",IF(T858="",TODAY(),T858)-O858)</f>
        <v/>
      </c>
      <c r="AA858" s="31" t="str">
        <f aca="false">IF(T858="","",TEXT(T858,"YYYY-MM"))</f>
        <v/>
      </c>
      <c r="AB858" s="27" t="str">
        <f aca="false">IF(X858="","",X858/2)</f>
        <v/>
      </c>
      <c r="AC858" s="21"/>
    </row>
    <row r="859" customFormat="false" ht="15" hidden="false" customHeight="false" outlineLevel="0" collapsed="false">
      <c r="A859" s="20"/>
      <c r="B859" s="21"/>
      <c r="C859" s="21"/>
      <c r="D859" s="21"/>
      <c r="E859" s="21"/>
      <c r="F859" s="21"/>
      <c r="G859" s="22"/>
      <c r="H859" s="21"/>
      <c r="I859" s="21"/>
      <c r="J859" s="21"/>
      <c r="K859" s="23"/>
      <c r="L859" s="24"/>
      <c r="M859" s="21"/>
      <c r="N859" s="21"/>
      <c r="O859" s="25"/>
      <c r="P859" s="26"/>
      <c r="Q859" s="27" t="str">
        <f aca="false">IF(A859="","",SUMIF(Expenses!$B$2:$B$3000,A859,Expenses!$E$2:$E$3000))</f>
        <v/>
      </c>
      <c r="R859" s="27" t="str">
        <f aca="false">IF(A859="","",N(P859)+N(Q859))</f>
        <v/>
      </c>
      <c r="S859" s="28"/>
      <c r="T859" s="25"/>
      <c r="U859" s="26"/>
      <c r="V859" s="26"/>
      <c r="W859" s="26"/>
      <c r="X859" s="27" t="str">
        <f aca="false">IF(B859&lt;&gt;"SOLD","",IF(C859="Consignment",N(W859)-R859,N(U859)-R859-N(V859)))</f>
        <v/>
      </c>
      <c r="Y859" s="29" t="str">
        <f aca="false">IF(OR(X859="",N(R859)=0),"",X859/R859)</f>
        <v/>
      </c>
      <c r="Z859" s="30" t="str">
        <f aca="true">IF(O859="","",IF(T859="",TODAY(),T859)-O859)</f>
        <v/>
      </c>
      <c r="AA859" s="31" t="str">
        <f aca="false">IF(T859="","",TEXT(T859,"YYYY-MM"))</f>
        <v/>
      </c>
      <c r="AB859" s="27" t="str">
        <f aca="false">IF(X859="","",X859/2)</f>
        <v/>
      </c>
      <c r="AC859" s="21"/>
    </row>
    <row r="860" customFormat="false" ht="15" hidden="false" customHeight="false" outlineLevel="0" collapsed="false">
      <c r="A860" s="20"/>
      <c r="B860" s="21"/>
      <c r="C860" s="21"/>
      <c r="D860" s="21"/>
      <c r="E860" s="21"/>
      <c r="F860" s="21"/>
      <c r="G860" s="22"/>
      <c r="H860" s="21"/>
      <c r="I860" s="21"/>
      <c r="J860" s="21"/>
      <c r="K860" s="23"/>
      <c r="L860" s="24"/>
      <c r="M860" s="21"/>
      <c r="N860" s="21"/>
      <c r="O860" s="25"/>
      <c r="P860" s="26"/>
      <c r="Q860" s="27" t="str">
        <f aca="false">IF(A860="","",SUMIF(Expenses!$B$2:$B$3000,A860,Expenses!$E$2:$E$3000))</f>
        <v/>
      </c>
      <c r="R860" s="27" t="str">
        <f aca="false">IF(A860="","",N(P860)+N(Q860))</f>
        <v/>
      </c>
      <c r="S860" s="28"/>
      <c r="T860" s="25"/>
      <c r="U860" s="26"/>
      <c r="V860" s="26"/>
      <c r="W860" s="26"/>
      <c r="X860" s="27" t="str">
        <f aca="false">IF(B860&lt;&gt;"SOLD","",IF(C860="Consignment",N(W860)-R860,N(U860)-R860-N(V860)))</f>
        <v/>
      </c>
      <c r="Y860" s="29" t="str">
        <f aca="false">IF(OR(X860="",N(R860)=0),"",X860/R860)</f>
        <v/>
      </c>
      <c r="Z860" s="30" t="str">
        <f aca="true">IF(O860="","",IF(T860="",TODAY(),T860)-O860)</f>
        <v/>
      </c>
      <c r="AA860" s="31" t="str">
        <f aca="false">IF(T860="","",TEXT(T860,"YYYY-MM"))</f>
        <v/>
      </c>
      <c r="AB860" s="27" t="str">
        <f aca="false">IF(X860="","",X860/2)</f>
        <v/>
      </c>
      <c r="AC860" s="21"/>
    </row>
    <row r="861" customFormat="false" ht="15" hidden="false" customHeight="false" outlineLevel="0" collapsed="false">
      <c r="A861" s="20"/>
      <c r="B861" s="21"/>
      <c r="C861" s="21"/>
      <c r="D861" s="21"/>
      <c r="E861" s="21"/>
      <c r="F861" s="21"/>
      <c r="G861" s="22"/>
      <c r="H861" s="21"/>
      <c r="I861" s="21"/>
      <c r="J861" s="21"/>
      <c r="K861" s="23"/>
      <c r="L861" s="24"/>
      <c r="M861" s="21"/>
      <c r="N861" s="21"/>
      <c r="O861" s="25"/>
      <c r="P861" s="26"/>
      <c r="Q861" s="27" t="str">
        <f aca="false">IF(A861="","",SUMIF(Expenses!$B$2:$B$3000,A861,Expenses!$E$2:$E$3000))</f>
        <v/>
      </c>
      <c r="R861" s="27" t="str">
        <f aca="false">IF(A861="","",N(P861)+N(Q861))</f>
        <v/>
      </c>
      <c r="S861" s="28"/>
      <c r="T861" s="25"/>
      <c r="U861" s="26"/>
      <c r="V861" s="26"/>
      <c r="W861" s="26"/>
      <c r="X861" s="27" t="str">
        <f aca="false">IF(B861&lt;&gt;"SOLD","",IF(C861="Consignment",N(W861)-R861,N(U861)-R861-N(V861)))</f>
        <v/>
      </c>
      <c r="Y861" s="29" t="str">
        <f aca="false">IF(OR(X861="",N(R861)=0),"",X861/R861)</f>
        <v/>
      </c>
      <c r="Z861" s="30" t="str">
        <f aca="true">IF(O861="","",IF(T861="",TODAY(),T861)-O861)</f>
        <v/>
      </c>
      <c r="AA861" s="31" t="str">
        <f aca="false">IF(T861="","",TEXT(T861,"YYYY-MM"))</f>
        <v/>
      </c>
      <c r="AB861" s="27" t="str">
        <f aca="false">IF(X861="","",X861/2)</f>
        <v/>
      </c>
      <c r="AC861" s="21"/>
    </row>
    <row r="862" customFormat="false" ht="15" hidden="false" customHeight="false" outlineLevel="0" collapsed="false">
      <c r="A862" s="20"/>
      <c r="B862" s="21"/>
      <c r="C862" s="21"/>
      <c r="D862" s="21"/>
      <c r="E862" s="21"/>
      <c r="F862" s="21"/>
      <c r="G862" s="22"/>
      <c r="H862" s="21"/>
      <c r="I862" s="21"/>
      <c r="J862" s="21"/>
      <c r="K862" s="23"/>
      <c r="L862" s="24"/>
      <c r="M862" s="21"/>
      <c r="N862" s="21"/>
      <c r="O862" s="25"/>
      <c r="P862" s="26"/>
      <c r="Q862" s="27" t="str">
        <f aca="false">IF(A862="","",SUMIF(Expenses!$B$2:$B$3000,A862,Expenses!$E$2:$E$3000))</f>
        <v/>
      </c>
      <c r="R862" s="27" t="str">
        <f aca="false">IF(A862="","",N(P862)+N(Q862))</f>
        <v/>
      </c>
      <c r="S862" s="28"/>
      <c r="T862" s="25"/>
      <c r="U862" s="26"/>
      <c r="V862" s="26"/>
      <c r="W862" s="26"/>
      <c r="X862" s="27" t="str">
        <f aca="false">IF(B862&lt;&gt;"SOLD","",IF(C862="Consignment",N(W862)-R862,N(U862)-R862-N(V862)))</f>
        <v/>
      </c>
      <c r="Y862" s="29" t="str">
        <f aca="false">IF(OR(X862="",N(R862)=0),"",X862/R862)</f>
        <v/>
      </c>
      <c r="Z862" s="30" t="str">
        <f aca="true">IF(O862="","",IF(T862="",TODAY(),T862)-O862)</f>
        <v/>
      </c>
      <c r="AA862" s="31" t="str">
        <f aca="false">IF(T862="","",TEXT(T862,"YYYY-MM"))</f>
        <v/>
      </c>
      <c r="AB862" s="27" t="str">
        <f aca="false">IF(X862="","",X862/2)</f>
        <v/>
      </c>
      <c r="AC862" s="21"/>
    </row>
    <row r="863" customFormat="false" ht="15" hidden="false" customHeight="false" outlineLevel="0" collapsed="false">
      <c r="A863" s="20"/>
      <c r="B863" s="21"/>
      <c r="C863" s="21"/>
      <c r="D863" s="21"/>
      <c r="E863" s="21"/>
      <c r="F863" s="21"/>
      <c r="G863" s="22"/>
      <c r="H863" s="21"/>
      <c r="I863" s="21"/>
      <c r="J863" s="21"/>
      <c r="K863" s="23"/>
      <c r="L863" s="24"/>
      <c r="M863" s="21"/>
      <c r="N863" s="21"/>
      <c r="O863" s="25"/>
      <c r="P863" s="26"/>
      <c r="Q863" s="27" t="str">
        <f aca="false">IF(A863="","",SUMIF(Expenses!$B$2:$B$3000,A863,Expenses!$E$2:$E$3000))</f>
        <v/>
      </c>
      <c r="R863" s="27" t="str">
        <f aca="false">IF(A863="","",N(P863)+N(Q863))</f>
        <v/>
      </c>
      <c r="S863" s="28"/>
      <c r="T863" s="25"/>
      <c r="U863" s="26"/>
      <c r="V863" s="26"/>
      <c r="W863" s="26"/>
      <c r="X863" s="27" t="str">
        <f aca="false">IF(B863&lt;&gt;"SOLD","",IF(C863="Consignment",N(W863)-R863,N(U863)-R863-N(V863)))</f>
        <v/>
      </c>
      <c r="Y863" s="29" t="str">
        <f aca="false">IF(OR(X863="",N(R863)=0),"",X863/R863)</f>
        <v/>
      </c>
      <c r="Z863" s="30" t="str">
        <f aca="true">IF(O863="","",IF(T863="",TODAY(),T863)-O863)</f>
        <v/>
      </c>
      <c r="AA863" s="31" t="str">
        <f aca="false">IF(T863="","",TEXT(T863,"YYYY-MM"))</f>
        <v/>
      </c>
      <c r="AB863" s="27" t="str">
        <f aca="false">IF(X863="","",X863/2)</f>
        <v/>
      </c>
      <c r="AC863" s="21"/>
    </row>
    <row r="864" customFormat="false" ht="15" hidden="false" customHeight="false" outlineLevel="0" collapsed="false">
      <c r="A864" s="20"/>
      <c r="B864" s="21"/>
      <c r="C864" s="21"/>
      <c r="D864" s="21"/>
      <c r="E864" s="21"/>
      <c r="F864" s="21"/>
      <c r="G864" s="22"/>
      <c r="H864" s="21"/>
      <c r="I864" s="21"/>
      <c r="J864" s="21"/>
      <c r="K864" s="23"/>
      <c r="L864" s="24"/>
      <c r="M864" s="21"/>
      <c r="N864" s="21"/>
      <c r="O864" s="25"/>
      <c r="P864" s="26"/>
      <c r="Q864" s="27" t="str">
        <f aca="false">IF(A864="","",SUMIF(Expenses!$B$2:$B$3000,A864,Expenses!$E$2:$E$3000))</f>
        <v/>
      </c>
      <c r="R864" s="27" t="str">
        <f aca="false">IF(A864="","",N(P864)+N(Q864))</f>
        <v/>
      </c>
      <c r="S864" s="28"/>
      <c r="T864" s="25"/>
      <c r="U864" s="26"/>
      <c r="V864" s="26"/>
      <c r="W864" s="26"/>
      <c r="X864" s="27" t="str">
        <f aca="false">IF(B864&lt;&gt;"SOLD","",IF(C864="Consignment",N(W864)-R864,N(U864)-R864-N(V864)))</f>
        <v/>
      </c>
      <c r="Y864" s="29" t="str">
        <f aca="false">IF(OR(X864="",N(R864)=0),"",X864/R864)</f>
        <v/>
      </c>
      <c r="Z864" s="30" t="str">
        <f aca="true">IF(O864="","",IF(T864="",TODAY(),T864)-O864)</f>
        <v/>
      </c>
      <c r="AA864" s="31" t="str">
        <f aca="false">IF(T864="","",TEXT(T864,"YYYY-MM"))</f>
        <v/>
      </c>
      <c r="AB864" s="27" t="str">
        <f aca="false">IF(X864="","",X864/2)</f>
        <v/>
      </c>
      <c r="AC864" s="21"/>
    </row>
    <row r="865" customFormat="false" ht="15" hidden="false" customHeight="false" outlineLevel="0" collapsed="false">
      <c r="A865" s="20"/>
      <c r="B865" s="21"/>
      <c r="C865" s="21"/>
      <c r="D865" s="21"/>
      <c r="E865" s="21"/>
      <c r="F865" s="21"/>
      <c r="G865" s="22"/>
      <c r="H865" s="21"/>
      <c r="I865" s="21"/>
      <c r="J865" s="21"/>
      <c r="K865" s="23"/>
      <c r="L865" s="24"/>
      <c r="M865" s="21"/>
      <c r="N865" s="21"/>
      <c r="O865" s="25"/>
      <c r="P865" s="26"/>
      <c r="Q865" s="27" t="str">
        <f aca="false">IF(A865="","",SUMIF(Expenses!$B$2:$B$3000,A865,Expenses!$E$2:$E$3000))</f>
        <v/>
      </c>
      <c r="R865" s="27" t="str">
        <f aca="false">IF(A865="","",N(P865)+N(Q865))</f>
        <v/>
      </c>
      <c r="S865" s="28"/>
      <c r="T865" s="25"/>
      <c r="U865" s="26"/>
      <c r="V865" s="26"/>
      <c r="W865" s="26"/>
      <c r="X865" s="27" t="str">
        <f aca="false">IF(B865&lt;&gt;"SOLD","",IF(C865="Consignment",N(W865)-R865,N(U865)-R865-N(V865)))</f>
        <v/>
      </c>
      <c r="Y865" s="29" t="str">
        <f aca="false">IF(OR(X865="",N(R865)=0),"",X865/R865)</f>
        <v/>
      </c>
      <c r="Z865" s="30" t="str">
        <f aca="true">IF(O865="","",IF(T865="",TODAY(),T865)-O865)</f>
        <v/>
      </c>
      <c r="AA865" s="31" t="str">
        <f aca="false">IF(T865="","",TEXT(T865,"YYYY-MM"))</f>
        <v/>
      </c>
      <c r="AB865" s="27" t="str">
        <f aca="false">IF(X865="","",X865/2)</f>
        <v/>
      </c>
      <c r="AC865" s="21"/>
    </row>
    <row r="866" customFormat="false" ht="15" hidden="false" customHeight="false" outlineLevel="0" collapsed="false">
      <c r="A866" s="20"/>
      <c r="B866" s="21"/>
      <c r="C866" s="21"/>
      <c r="D866" s="21"/>
      <c r="E866" s="21"/>
      <c r="F866" s="21"/>
      <c r="G866" s="22"/>
      <c r="H866" s="21"/>
      <c r="I866" s="21"/>
      <c r="J866" s="21"/>
      <c r="K866" s="23"/>
      <c r="L866" s="24"/>
      <c r="M866" s="21"/>
      <c r="N866" s="21"/>
      <c r="O866" s="25"/>
      <c r="P866" s="26"/>
      <c r="Q866" s="27" t="str">
        <f aca="false">IF(A866="","",SUMIF(Expenses!$B$2:$B$3000,A866,Expenses!$E$2:$E$3000))</f>
        <v/>
      </c>
      <c r="R866" s="27" t="str">
        <f aca="false">IF(A866="","",N(P866)+N(Q866))</f>
        <v/>
      </c>
      <c r="S866" s="28"/>
      <c r="T866" s="25"/>
      <c r="U866" s="26"/>
      <c r="V866" s="26"/>
      <c r="W866" s="26"/>
      <c r="X866" s="27" t="str">
        <f aca="false">IF(B866&lt;&gt;"SOLD","",IF(C866="Consignment",N(W866)-R866,N(U866)-R866-N(V866)))</f>
        <v/>
      </c>
      <c r="Y866" s="29" t="str">
        <f aca="false">IF(OR(X866="",N(R866)=0),"",X866/R866)</f>
        <v/>
      </c>
      <c r="Z866" s="30" t="str">
        <f aca="true">IF(O866="","",IF(T866="",TODAY(),T866)-O866)</f>
        <v/>
      </c>
      <c r="AA866" s="31" t="str">
        <f aca="false">IF(T866="","",TEXT(T866,"YYYY-MM"))</f>
        <v/>
      </c>
      <c r="AB866" s="27" t="str">
        <f aca="false">IF(X866="","",X866/2)</f>
        <v/>
      </c>
      <c r="AC866" s="21"/>
    </row>
    <row r="867" customFormat="false" ht="15" hidden="false" customHeight="false" outlineLevel="0" collapsed="false">
      <c r="A867" s="20"/>
      <c r="B867" s="21"/>
      <c r="C867" s="21"/>
      <c r="D867" s="21"/>
      <c r="E867" s="21"/>
      <c r="F867" s="21"/>
      <c r="G867" s="22"/>
      <c r="H867" s="21"/>
      <c r="I867" s="21"/>
      <c r="J867" s="21"/>
      <c r="K867" s="23"/>
      <c r="L867" s="24"/>
      <c r="M867" s="21"/>
      <c r="N867" s="21"/>
      <c r="O867" s="25"/>
      <c r="P867" s="26"/>
      <c r="Q867" s="27" t="str">
        <f aca="false">IF(A867="","",SUMIF(Expenses!$B$2:$B$3000,A867,Expenses!$E$2:$E$3000))</f>
        <v/>
      </c>
      <c r="R867" s="27" t="str">
        <f aca="false">IF(A867="","",N(P867)+N(Q867))</f>
        <v/>
      </c>
      <c r="S867" s="28"/>
      <c r="T867" s="25"/>
      <c r="U867" s="26"/>
      <c r="V867" s="26"/>
      <c r="W867" s="26"/>
      <c r="X867" s="27" t="str">
        <f aca="false">IF(B867&lt;&gt;"SOLD","",IF(C867="Consignment",N(W867)-R867,N(U867)-R867-N(V867)))</f>
        <v/>
      </c>
      <c r="Y867" s="29" t="str">
        <f aca="false">IF(OR(X867="",N(R867)=0),"",X867/R867)</f>
        <v/>
      </c>
      <c r="Z867" s="30" t="str">
        <f aca="true">IF(O867="","",IF(T867="",TODAY(),T867)-O867)</f>
        <v/>
      </c>
      <c r="AA867" s="31" t="str">
        <f aca="false">IF(T867="","",TEXT(T867,"YYYY-MM"))</f>
        <v/>
      </c>
      <c r="AB867" s="27" t="str">
        <f aca="false">IF(X867="","",X867/2)</f>
        <v/>
      </c>
      <c r="AC867" s="21"/>
    </row>
    <row r="868" customFormat="false" ht="15" hidden="false" customHeight="false" outlineLevel="0" collapsed="false">
      <c r="A868" s="20"/>
      <c r="B868" s="21"/>
      <c r="C868" s="21"/>
      <c r="D868" s="21"/>
      <c r="E868" s="21"/>
      <c r="F868" s="21"/>
      <c r="G868" s="22"/>
      <c r="H868" s="21"/>
      <c r="I868" s="21"/>
      <c r="J868" s="21"/>
      <c r="K868" s="23"/>
      <c r="L868" s="24"/>
      <c r="M868" s="21"/>
      <c r="N868" s="21"/>
      <c r="O868" s="25"/>
      <c r="P868" s="26"/>
      <c r="Q868" s="27" t="str">
        <f aca="false">IF(A868="","",SUMIF(Expenses!$B$2:$B$3000,A868,Expenses!$E$2:$E$3000))</f>
        <v/>
      </c>
      <c r="R868" s="27" t="str">
        <f aca="false">IF(A868="","",N(P868)+N(Q868))</f>
        <v/>
      </c>
      <c r="S868" s="28"/>
      <c r="T868" s="25"/>
      <c r="U868" s="26"/>
      <c r="V868" s="26"/>
      <c r="W868" s="26"/>
      <c r="X868" s="27" t="str">
        <f aca="false">IF(B868&lt;&gt;"SOLD","",IF(C868="Consignment",N(W868)-R868,N(U868)-R868-N(V868)))</f>
        <v/>
      </c>
      <c r="Y868" s="29" t="str">
        <f aca="false">IF(OR(X868="",N(R868)=0),"",X868/R868)</f>
        <v/>
      </c>
      <c r="Z868" s="30" t="str">
        <f aca="true">IF(O868="","",IF(T868="",TODAY(),T868)-O868)</f>
        <v/>
      </c>
      <c r="AA868" s="31" t="str">
        <f aca="false">IF(T868="","",TEXT(T868,"YYYY-MM"))</f>
        <v/>
      </c>
      <c r="AB868" s="27" t="str">
        <f aca="false">IF(X868="","",X868/2)</f>
        <v/>
      </c>
      <c r="AC868" s="21"/>
    </row>
    <row r="869" customFormat="false" ht="15" hidden="false" customHeight="false" outlineLevel="0" collapsed="false">
      <c r="A869" s="20"/>
      <c r="B869" s="21"/>
      <c r="C869" s="21"/>
      <c r="D869" s="21"/>
      <c r="E869" s="21"/>
      <c r="F869" s="21"/>
      <c r="G869" s="22"/>
      <c r="H869" s="21"/>
      <c r="I869" s="21"/>
      <c r="J869" s="21"/>
      <c r="K869" s="23"/>
      <c r="L869" s="24"/>
      <c r="M869" s="21"/>
      <c r="N869" s="21"/>
      <c r="O869" s="25"/>
      <c r="P869" s="26"/>
      <c r="Q869" s="27" t="str">
        <f aca="false">IF(A869="","",SUMIF(Expenses!$B$2:$B$3000,A869,Expenses!$E$2:$E$3000))</f>
        <v/>
      </c>
      <c r="R869" s="27" t="str">
        <f aca="false">IF(A869="","",N(P869)+N(Q869))</f>
        <v/>
      </c>
      <c r="S869" s="28"/>
      <c r="T869" s="25"/>
      <c r="U869" s="26"/>
      <c r="V869" s="26"/>
      <c r="W869" s="26"/>
      <c r="X869" s="27" t="str">
        <f aca="false">IF(B869&lt;&gt;"SOLD","",IF(C869="Consignment",N(W869)-R869,N(U869)-R869-N(V869)))</f>
        <v/>
      </c>
      <c r="Y869" s="29" t="str">
        <f aca="false">IF(OR(X869="",N(R869)=0),"",X869/R869)</f>
        <v/>
      </c>
      <c r="Z869" s="30" t="str">
        <f aca="true">IF(O869="","",IF(T869="",TODAY(),T869)-O869)</f>
        <v/>
      </c>
      <c r="AA869" s="31" t="str">
        <f aca="false">IF(T869="","",TEXT(T869,"YYYY-MM"))</f>
        <v/>
      </c>
      <c r="AB869" s="27" t="str">
        <f aca="false">IF(X869="","",X869/2)</f>
        <v/>
      </c>
      <c r="AC869" s="21"/>
    </row>
    <row r="870" customFormat="false" ht="15" hidden="false" customHeight="false" outlineLevel="0" collapsed="false">
      <c r="A870" s="20"/>
      <c r="B870" s="21"/>
      <c r="C870" s="21"/>
      <c r="D870" s="21"/>
      <c r="E870" s="21"/>
      <c r="F870" s="21"/>
      <c r="G870" s="22"/>
      <c r="H870" s="21"/>
      <c r="I870" s="21"/>
      <c r="J870" s="21"/>
      <c r="K870" s="23"/>
      <c r="L870" s="24"/>
      <c r="M870" s="21"/>
      <c r="N870" s="21"/>
      <c r="O870" s="25"/>
      <c r="P870" s="26"/>
      <c r="Q870" s="27" t="str">
        <f aca="false">IF(A870="","",SUMIF(Expenses!$B$2:$B$3000,A870,Expenses!$E$2:$E$3000))</f>
        <v/>
      </c>
      <c r="R870" s="27" t="str">
        <f aca="false">IF(A870="","",N(P870)+N(Q870))</f>
        <v/>
      </c>
      <c r="S870" s="28"/>
      <c r="T870" s="25"/>
      <c r="U870" s="26"/>
      <c r="V870" s="26"/>
      <c r="W870" s="26"/>
      <c r="X870" s="27" t="str">
        <f aca="false">IF(B870&lt;&gt;"SOLD","",IF(C870="Consignment",N(W870)-R870,N(U870)-R870-N(V870)))</f>
        <v/>
      </c>
      <c r="Y870" s="29" t="str">
        <f aca="false">IF(OR(X870="",N(R870)=0),"",X870/R870)</f>
        <v/>
      </c>
      <c r="Z870" s="30" t="str">
        <f aca="true">IF(O870="","",IF(T870="",TODAY(),T870)-O870)</f>
        <v/>
      </c>
      <c r="AA870" s="31" t="str">
        <f aca="false">IF(T870="","",TEXT(T870,"YYYY-MM"))</f>
        <v/>
      </c>
      <c r="AB870" s="27" t="str">
        <f aca="false">IF(X870="","",X870/2)</f>
        <v/>
      </c>
      <c r="AC870" s="21"/>
    </row>
    <row r="871" customFormat="false" ht="15" hidden="false" customHeight="false" outlineLevel="0" collapsed="false">
      <c r="A871" s="20"/>
      <c r="B871" s="21"/>
      <c r="C871" s="21"/>
      <c r="D871" s="21"/>
      <c r="E871" s="21"/>
      <c r="F871" s="21"/>
      <c r="G871" s="22"/>
      <c r="H871" s="21"/>
      <c r="I871" s="21"/>
      <c r="J871" s="21"/>
      <c r="K871" s="23"/>
      <c r="L871" s="24"/>
      <c r="M871" s="21"/>
      <c r="N871" s="21"/>
      <c r="O871" s="25"/>
      <c r="P871" s="26"/>
      <c r="Q871" s="27" t="str">
        <f aca="false">IF(A871="","",SUMIF(Expenses!$B$2:$B$3000,A871,Expenses!$E$2:$E$3000))</f>
        <v/>
      </c>
      <c r="R871" s="27" t="str">
        <f aca="false">IF(A871="","",N(P871)+N(Q871))</f>
        <v/>
      </c>
      <c r="S871" s="28"/>
      <c r="T871" s="25"/>
      <c r="U871" s="26"/>
      <c r="V871" s="26"/>
      <c r="W871" s="26"/>
      <c r="X871" s="27" t="str">
        <f aca="false">IF(B871&lt;&gt;"SOLD","",IF(C871="Consignment",N(W871)-R871,N(U871)-R871-N(V871)))</f>
        <v/>
      </c>
      <c r="Y871" s="29" t="str">
        <f aca="false">IF(OR(X871="",N(R871)=0),"",X871/R871)</f>
        <v/>
      </c>
      <c r="Z871" s="30" t="str">
        <f aca="true">IF(O871="","",IF(T871="",TODAY(),T871)-O871)</f>
        <v/>
      </c>
      <c r="AA871" s="31" t="str">
        <f aca="false">IF(T871="","",TEXT(T871,"YYYY-MM"))</f>
        <v/>
      </c>
      <c r="AB871" s="27" t="str">
        <f aca="false">IF(X871="","",X871/2)</f>
        <v/>
      </c>
      <c r="AC871" s="21"/>
    </row>
    <row r="872" customFormat="false" ht="15" hidden="false" customHeight="false" outlineLevel="0" collapsed="false">
      <c r="A872" s="20"/>
      <c r="B872" s="21"/>
      <c r="C872" s="21"/>
      <c r="D872" s="21"/>
      <c r="E872" s="21"/>
      <c r="F872" s="21"/>
      <c r="G872" s="22"/>
      <c r="H872" s="21"/>
      <c r="I872" s="21"/>
      <c r="J872" s="21"/>
      <c r="K872" s="23"/>
      <c r="L872" s="24"/>
      <c r="M872" s="21"/>
      <c r="N872" s="21"/>
      <c r="O872" s="25"/>
      <c r="P872" s="26"/>
      <c r="Q872" s="27" t="str">
        <f aca="false">IF(A872="","",SUMIF(Expenses!$B$2:$B$3000,A872,Expenses!$E$2:$E$3000))</f>
        <v/>
      </c>
      <c r="R872" s="27" t="str">
        <f aca="false">IF(A872="","",N(P872)+N(Q872))</f>
        <v/>
      </c>
      <c r="S872" s="28"/>
      <c r="T872" s="25"/>
      <c r="U872" s="26"/>
      <c r="V872" s="26"/>
      <c r="W872" s="26"/>
      <c r="X872" s="27" t="str">
        <f aca="false">IF(B872&lt;&gt;"SOLD","",IF(C872="Consignment",N(W872)-R872,N(U872)-R872-N(V872)))</f>
        <v/>
      </c>
      <c r="Y872" s="29" t="str">
        <f aca="false">IF(OR(X872="",N(R872)=0),"",X872/R872)</f>
        <v/>
      </c>
      <c r="Z872" s="30" t="str">
        <f aca="true">IF(O872="","",IF(T872="",TODAY(),T872)-O872)</f>
        <v/>
      </c>
      <c r="AA872" s="31" t="str">
        <f aca="false">IF(T872="","",TEXT(T872,"YYYY-MM"))</f>
        <v/>
      </c>
      <c r="AB872" s="27" t="str">
        <f aca="false">IF(X872="","",X872/2)</f>
        <v/>
      </c>
      <c r="AC872" s="21"/>
    </row>
    <row r="873" customFormat="false" ht="15" hidden="false" customHeight="false" outlineLevel="0" collapsed="false">
      <c r="A873" s="20"/>
      <c r="B873" s="21"/>
      <c r="C873" s="21"/>
      <c r="D873" s="21"/>
      <c r="E873" s="21"/>
      <c r="F873" s="21"/>
      <c r="G873" s="22"/>
      <c r="H873" s="21"/>
      <c r="I873" s="21"/>
      <c r="J873" s="21"/>
      <c r="K873" s="23"/>
      <c r="L873" s="24"/>
      <c r="M873" s="21"/>
      <c r="N873" s="21"/>
      <c r="O873" s="25"/>
      <c r="P873" s="26"/>
      <c r="Q873" s="27" t="str">
        <f aca="false">IF(A873="","",SUMIF(Expenses!$B$2:$B$3000,A873,Expenses!$E$2:$E$3000))</f>
        <v/>
      </c>
      <c r="R873" s="27" t="str">
        <f aca="false">IF(A873="","",N(P873)+N(Q873))</f>
        <v/>
      </c>
      <c r="S873" s="28"/>
      <c r="T873" s="25"/>
      <c r="U873" s="26"/>
      <c r="V873" s="26"/>
      <c r="W873" s="26"/>
      <c r="X873" s="27" t="str">
        <f aca="false">IF(B873&lt;&gt;"SOLD","",IF(C873="Consignment",N(W873)-R873,N(U873)-R873-N(V873)))</f>
        <v/>
      </c>
      <c r="Y873" s="29" t="str">
        <f aca="false">IF(OR(X873="",N(R873)=0),"",X873/R873)</f>
        <v/>
      </c>
      <c r="Z873" s="30" t="str">
        <f aca="true">IF(O873="","",IF(T873="",TODAY(),T873)-O873)</f>
        <v/>
      </c>
      <c r="AA873" s="31" t="str">
        <f aca="false">IF(T873="","",TEXT(T873,"YYYY-MM"))</f>
        <v/>
      </c>
      <c r="AB873" s="27" t="str">
        <f aca="false">IF(X873="","",X873/2)</f>
        <v/>
      </c>
      <c r="AC873" s="21"/>
    </row>
    <row r="874" customFormat="false" ht="15" hidden="false" customHeight="false" outlineLevel="0" collapsed="false">
      <c r="A874" s="20"/>
      <c r="B874" s="21"/>
      <c r="C874" s="21"/>
      <c r="D874" s="21"/>
      <c r="E874" s="21"/>
      <c r="F874" s="21"/>
      <c r="G874" s="22"/>
      <c r="H874" s="21"/>
      <c r="I874" s="21"/>
      <c r="J874" s="21"/>
      <c r="K874" s="23"/>
      <c r="L874" s="24"/>
      <c r="M874" s="21"/>
      <c r="N874" s="21"/>
      <c r="O874" s="25"/>
      <c r="P874" s="26"/>
      <c r="Q874" s="27" t="str">
        <f aca="false">IF(A874="","",SUMIF(Expenses!$B$2:$B$3000,A874,Expenses!$E$2:$E$3000))</f>
        <v/>
      </c>
      <c r="R874" s="27" t="str">
        <f aca="false">IF(A874="","",N(P874)+N(Q874))</f>
        <v/>
      </c>
      <c r="S874" s="28"/>
      <c r="T874" s="25"/>
      <c r="U874" s="26"/>
      <c r="V874" s="26"/>
      <c r="W874" s="26"/>
      <c r="X874" s="27" t="str">
        <f aca="false">IF(B874&lt;&gt;"SOLD","",IF(C874="Consignment",N(W874)-R874,N(U874)-R874-N(V874)))</f>
        <v/>
      </c>
      <c r="Y874" s="29" t="str">
        <f aca="false">IF(OR(X874="",N(R874)=0),"",X874/R874)</f>
        <v/>
      </c>
      <c r="Z874" s="30" t="str">
        <f aca="true">IF(O874="","",IF(T874="",TODAY(),T874)-O874)</f>
        <v/>
      </c>
      <c r="AA874" s="31" t="str">
        <f aca="false">IF(T874="","",TEXT(T874,"YYYY-MM"))</f>
        <v/>
      </c>
      <c r="AB874" s="27" t="str">
        <f aca="false">IF(X874="","",X874/2)</f>
        <v/>
      </c>
      <c r="AC874" s="21"/>
    </row>
    <row r="875" customFormat="false" ht="15" hidden="false" customHeight="false" outlineLevel="0" collapsed="false">
      <c r="A875" s="20"/>
      <c r="B875" s="21"/>
      <c r="C875" s="21"/>
      <c r="D875" s="21"/>
      <c r="E875" s="21"/>
      <c r="F875" s="21"/>
      <c r="G875" s="22"/>
      <c r="H875" s="21"/>
      <c r="I875" s="21"/>
      <c r="J875" s="21"/>
      <c r="K875" s="23"/>
      <c r="L875" s="24"/>
      <c r="M875" s="21"/>
      <c r="N875" s="21"/>
      <c r="O875" s="25"/>
      <c r="P875" s="26"/>
      <c r="Q875" s="27" t="str">
        <f aca="false">IF(A875="","",SUMIF(Expenses!$B$2:$B$3000,A875,Expenses!$E$2:$E$3000))</f>
        <v/>
      </c>
      <c r="R875" s="27" t="str">
        <f aca="false">IF(A875="","",N(P875)+N(Q875))</f>
        <v/>
      </c>
      <c r="S875" s="28"/>
      <c r="T875" s="25"/>
      <c r="U875" s="26"/>
      <c r="V875" s="26"/>
      <c r="W875" s="26"/>
      <c r="X875" s="27" t="str">
        <f aca="false">IF(B875&lt;&gt;"SOLD","",IF(C875="Consignment",N(W875)-R875,N(U875)-R875-N(V875)))</f>
        <v/>
      </c>
      <c r="Y875" s="29" t="str">
        <f aca="false">IF(OR(X875="",N(R875)=0),"",X875/R875)</f>
        <v/>
      </c>
      <c r="Z875" s="30" t="str">
        <f aca="true">IF(O875="","",IF(T875="",TODAY(),T875)-O875)</f>
        <v/>
      </c>
      <c r="AA875" s="31" t="str">
        <f aca="false">IF(T875="","",TEXT(T875,"YYYY-MM"))</f>
        <v/>
      </c>
      <c r="AB875" s="27" t="str">
        <f aca="false">IF(X875="","",X875/2)</f>
        <v/>
      </c>
      <c r="AC875" s="21"/>
    </row>
    <row r="876" customFormat="false" ht="15" hidden="false" customHeight="false" outlineLevel="0" collapsed="false">
      <c r="A876" s="20"/>
      <c r="B876" s="21"/>
      <c r="C876" s="21"/>
      <c r="D876" s="21"/>
      <c r="E876" s="21"/>
      <c r="F876" s="21"/>
      <c r="G876" s="22"/>
      <c r="H876" s="21"/>
      <c r="I876" s="21"/>
      <c r="J876" s="21"/>
      <c r="K876" s="23"/>
      <c r="L876" s="24"/>
      <c r="M876" s="21"/>
      <c r="N876" s="21"/>
      <c r="O876" s="25"/>
      <c r="P876" s="26"/>
      <c r="Q876" s="27" t="str">
        <f aca="false">IF(A876="","",SUMIF(Expenses!$B$2:$B$3000,A876,Expenses!$E$2:$E$3000))</f>
        <v/>
      </c>
      <c r="R876" s="27" t="str">
        <f aca="false">IF(A876="","",N(P876)+N(Q876))</f>
        <v/>
      </c>
      <c r="S876" s="28"/>
      <c r="T876" s="25"/>
      <c r="U876" s="26"/>
      <c r="V876" s="26"/>
      <c r="W876" s="26"/>
      <c r="X876" s="27" t="str">
        <f aca="false">IF(B876&lt;&gt;"SOLD","",IF(C876="Consignment",N(W876)-R876,N(U876)-R876-N(V876)))</f>
        <v/>
      </c>
      <c r="Y876" s="29" t="str">
        <f aca="false">IF(OR(X876="",N(R876)=0),"",X876/R876)</f>
        <v/>
      </c>
      <c r="Z876" s="30" t="str">
        <f aca="true">IF(O876="","",IF(T876="",TODAY(),T876)-O876)</f>
        <v/>
      </c>
      <c r="AA876" s="31" t="str">
        <f aca="false">IF(T876="","",TEXT(T876,"YYYY-MM"))</f>
        <v/>
      </c>
      <c r="AB876" s="27" t="str">
        <f aca="false">IF(X876="","",X876/2)</f>
        <v/>
      </c>
      <c r="AC876" s="21"/>
    </row>
    <row r="877" customFormat="false" ht="15" hidden="false" customHeight="false" outlineLevel="0" collapsed="false">
      <c r="A877" s="20"/>
      <c r="B877" s="21"/>
      <c r="C877" s="21"/>
      <c r="D877" s="21"/>
      <c r="E877" s="21"/>
      <c r="F877" s="21"/>
      <c r="G877" s="22"/>
      <c r="H877" s="21"/>
      <c r="I877" s="21"/>
      <c r="J877" s="21"/>
      <c r="K877" s="23"/>
      <c r="L877" s="24"/>
      <c r="M877" s="21"/>
      <c r="N877" s="21"/>
      <c r="O877" s="25"/>
      <c r="P877" s="26"/>
      <c r="Q877" s="27" t="str">
        <f aca="false">IF(A877="","",SUMIF(Expenses!$B$2:$B$3000,A877,Expenses!$E$2:$E$3000))</f>
        <v/>
      </c>
      <c r="R877" s="27" t="str">
        <f aca="false">IF(A877="","",N(P877)+N(Q877))</f>
        <v/>
      </c>
      <c r="S877" s="28"/>
      <c r="T877" s="25"/>
      <c r="U877" s="26"/>
      <c r="V877" s="26"/>
      <c r="W877" s="26"/>
      <c r="X877" s="27" t="str">
        <f aca="false">IF(B877&lt;&gt;"SOLD","",IF(C877="Consignment",N(W877)-R877,N(U877)-R877-N(V877)))</f>
        <v/>
      </c>
      <c r="Y877" s="29" t="str">
        <f aca="false">IF(OR(X877="",N(R877)=0),"",X877/R877)</f>
        <v/>
      </c>
      <c r="Z877" s="30" t="str">
        <f aca="true">IF(O877="","",IF(T877="",TODAY(),T877)-O877)</f>
        <v/>
      </c>
      <c r="AA877" s="31" t="str">
        <f aca="false">IF(T877="","",TEXT(T877,"YYYY-MM"))</f>
        <v/>
      </c>
      <c r="AB877" s="27" t="str">
        <f aca="false">IF(X877="","",X877/2)</f>
        <v/>
      </c>
      <c r="AC877" s="21"/>
    </row>
    <row r="878" customFormat="false" ht="15" hidden="false" customHeight="false" outlineLevel="0" collapsed="false">
      <c r="A878" s="20"/>
      <c r="B878" s="21"/>
      <c r="C878" s="21"/>
      <c r="D878" s="21"/>
      <c r="E878" s="21"/>
      <c r="F878" s="21"/>
      <c r="G878" s="22"/>
      <c r="H878" s="21"/>
      <c r="I878" s="21"/>
      <c r="J878" s="21"/>
      <c r="K878" s="23"/>
      <c r="L878" s="24"/>
      <c r="M878" s="21"/>
      <c r="N878" s="21"/>
      <c r="O878" s="25"/>
      <c r="P878" s="26"/>
      <c r="Q878" s="27" t="str">
        <f aca="false">IF(A878="","",SUMIF(Expenses!$B$2:$B$3000,A878,Expenses!$E$2:$E$3000))</f>
        <v/>
      </c>
      <c r="R878" s="27" t="str">
        <f aca="false">IF(A878="","",N(P878)+N(Q878))</f>
        <v/>
      </c>
      <c r="S878" s="28"/>
      <c r="T878" s="25"/>
      <c r="U878" s="26"/>
      <c r="V878" s="26"/>
      <c r="W878" s="26"/>
      <c r="X878" s="27" t="str">
        <f aca="false">IF(B878&lt;&gt;"SOLD","",IF(C878="Consignment",N(W878)-R878,N(U878)-R878-N(V878)))</f>
        <v/>
      </c>
      <c r="Y878" s="29" t="str">
        <f aca="false">IF(OR(X878="",N(R878)=0),"",X878/R878)</f>
        <v/>
      </c>
      <c r="Z878" s="30" t="str">
        <f aca="true">IF(O878="","",IF(T878="",TODAY(),T878)-O878)</f>
        <v/>
      </c>
      <c r="AA878" s="31" t="str">
        <f aca="false">IF(T878="","",TEXT(T878,"YYYY-MM"))</f>
        <v/>
      </c>
      <c r="AB878" s="27" t="str">
        <f aca="false">IF(X878="","",X878/2)</f>
        <v/>
      </c>
      <c r="AC878" s="21"/>
    </row>
    <row r="879" customFormat="false" ht="15" hidden="false" customHeight="false" outlineLevel="0" collapsed="false">
      <c r="A879" s="20"/>
      <c r="B879" s="21"/>
      <c r="C879" s="21"/>
      <c r="D879" s="21"/>
      <c r="E879" s="21"/>
      <c r="F879" s="21"/>
      <c r="G879" s="22"/>
      <c r="H879" s="21"/>
      <c r="I879" s="21"/>
      <c r="J879" s="21"/>
      <c r="K879" s="23"/>
      <c r="L879" s="24"/>
      <c r="M879" s="21"/>
      <c r="N879" s="21"/>
      <c r="O879" s="25"/>
      <c r="P879" s="26"/>
      <c r="Q879" s="27" t="str">
        <f aca="false">IF(A879="","",SUMIF(Expenses!$B$2:$B$3000,A879,Expenses!$E$2:$E$3000))</f>
        <v/>
      </c>
      <c r="R879" s="27" t="str">
        <f aca="false">IF(A879="","",N(P879)+N(Q879))</f>
        <v/>
      </c>
      <c r="S879" s="28"/>
      <c r="T879" s="25"/>
      <c r="U879" s="26"/>
      <c r="V879" s="26"/>
      <c r="W879" s="26"/>
      <c r="X879" s="27" t="str">
        <f aca="false">IF(B879&lt;&gt;"SOLD","",IF(C879="Consignment",N(W879)-R879,N(U879)-R879-N(V879)))</f>
        <v/>
      </c>
      <c r="Y879" s="29" t="str">
        <f aca="false">IF(OR(X879="",N(R879)=0),"",X879/R879)</f>
        <v/>
      </c>
      <c r="Z879" s="30" t="str">
        <f aca="true">IF(O879="","",IF(T879="",TODAY(),T879)-O879)</f>
        <v/>
      </c>
      <c r="AA879" s="31" t="str">
        <f aca="false">IF(T879="","",TEXT(T879,"YYYY-MM"))</f>
        <v/>
      </c>
      <c r="AB879" s="27" t="str">
        <f aca="false">IF(X879="","",X879/2)</f>
        <v/>
      </c>
      <c r="AC879" s="21"/>
    </row>
    <row r="880" customFormat="false" ht="15" hidden="false" customHeight="false" outlineLevel="0" collapsed="false">
      <c r="A880" s="20"/>
      <c r="B880" s="21"/>
      <c r="C880" s="21"/>
      <c r="D880" s="21"/>
      <c r="E880" s="21"/>
      <c r="F880" s="21"/>
      <c r="G880" s="22"/>
      <c r="H880" s="21"/>
      <c r="I880" s="21"/>
      <c r="J880" s="21"/>
      <c r="K880" s="23"/>
      <c r="L880" s="24"/>
      <c r="M880" s="21"/>
      <c r="N880" s="21"/>
      <c r="O880" s="25"/>
      <c r="P880" s="26"/>
      <c r="Q880" s="27" t="str">
        <f aca="false">IF(A880="","",SUMIF(Expenses!$B$2:$B$3000,A880,Expenses!$E$2:$E$3000))</f>
        <v/>
      </c>
      <c r="R880" s="27" t="str">
        <f aca="false">IF(A880="","",N(P880)+N(Q880))</f>
        <v/>
      </c>
      <c r="S880" s="28"/>
      <c r="T880" s="25"/>
      <c r="U880" s="26"/>
      <c r="V880" s="26"/>
      <c r="W880" s="26"/>
      <c r="X880" s="27" t="str">
        <f aca="false">IF(B880&lt;&gt;"SOLD","",IF(C880="Consignment",N(W880)-R880,N(U880)-R880-N(V880)))</f>
        <v/>
      </c>
      <c r="Y880" s="29" t="str">
        <f aca="false">IF(OR(X880="",N(R880)=0),"",X880/R880)</f>
        <v/>
      </c>
      <c r="Z880" s="30" t="str">
        <f aca="true">IF(O880="","",IF(T880="",TODAY(),T880)-O880)</f>
        <v/>
      </c>
      <c r="AA880" s="31" t="str">
        <f aca="false">IF(T880="","",TEXT(T880,"YYYY-MM"))</f>
        <v/>
      </c>
      <c r="AB880" s="27" t="str">
        <f aca="false">IF(X880="","",X880/2)</f>
        <v/>
      </c>
      <c r="AC880" s="21"/>
    </row>
    <row r="881" customFormat="false" ht="15" hidden="false" customHeight="false" outlineLevel="0" collapsed="false">
      <c r="A881" s="20"/>
      <c r="B881" s="21"/>
      <c r="C881" s="21"/>
      <c r="D881" s="21"/>
      <c r="E881" s="21"/>
      <c r="F881" s="21"/>
      <c r="G881" s="22"/>
      <c r="H881" s="21"/>
      <c r="I881" s="21"/>
      <c r="J881" s="21"/>
      <c r="K881" s="23"/>
      <c r="L881" s="24"/>
      <c r="M881" s="21"/>
      <c r="N881" s="21"/>
      <c r="O881" s="25"/>
      <c r="P881" s="26"/>
      <c r="Q881" s="27" t="str">
        <f aca="false">IF(A881="","",SUMIF(Expenses!$B$2:$B$3000,A881,Expenses!$E$2:$E$3000))</f>
        <v/>
      </c>
      <c r="R881" s="27" t="str">
        <f aca="false">IF(A881="","",N(P881)+N(Q881))</f>
        <v/>
      </c>
      <c r="S881" s="28"/>
      <c r="T881" s="25"/>
      <c r="U881" s="26"/>
      <c r="V881" s="26"/>
      <c r="W881" s="26"/>
      <c r="X881" s="27" t="str">
        <f aca="false">IF(B881&lt;&gt;"SOLD","",IF(C881="Consignment",N(W881)-R881,N(U881)-R881-N(V881)))</f>
        <v/>
      </c>
      <c r="Y881" s="29" t="str">
        <f aca="false">IF(OR(X881="",N(R881)=0),"",X881/R881)</f>
        <v/>
      </c>
      <c r="Z881" s="30" t="str">
        <f aca="true">IF(O881="","",IF(T881="",TODAY(),T881)-O881)</f>
        <v/>
      </c>
      <c r="AA881" s="31" t="str">
        <f aca="false">IF(T881="","",TEXT(T881,"YYYY-MM"))</f>
        <v/>
      </c>
      <c r="AB881" s="27" t="str">
        <f aca="false">IF(X881="","",X881/2)</f>
        <v/>
      </c>
      <c r="AC881" s="21"/>
    </row>
    <row r="882" customFormat="false" ht="15" hidden="false" customHeight="false" outlineLevel="0" collapsed="false">
      <c r="A882" s="20"/>
      <c r="B882" s="21"/>
      <c r="C882" s="21"/>
      <c r="D882" s="21"/>
      <c r="E882" s="21"/>
      <c r="F882" s="21"/>
      <c r="G882" s="22"/>
      <c r="H882" s="21"/>
      <c r="I882" s="21"/>
      <c r="J882" s="21"/>
      <c r="K882" s="23"/>
      <c r="L882" s="24"/>
      <c r="M882" s="21"/>
      <c r="N882" s="21"/>
      <c r="O882" s="25"/>
      <c r="P882" s="26"/>
      <c r="Q882" s="27" t="str">
        <f aca="false">IF(A882="","",SUMIF(Expenses!$B$2:$B$3000,A882,Expenses!$E$2:$E$3000))</f>
        <v/>
      </c>
      <c r="R882" s="27" t="str">
        <f aca="false">IF(A882="","",N(P882)+N(Q882))</f>
        <v/>
      </c>
      <c r="S882" s="28"/>
      <c r="T882" s="25"/>
      <c r="U882" s="26"/>
      <c r="V882" s="26"/>
      <c r="W882" s="26"/>
      <c r="X882" s="27" t="str">
        <f aca="false">IF(B882&lt;&gt;"SOLD","",IF(C882="Consignment",N(W882)-R882,N(U882)-R882-N(V882)))</f>
        <v/>
      </c>
      <c r="Y882" s="29" t="str">
        <f aca="false">IF(OR(X882="",N(R882)=0),"",X882/R882)</f>
        <v/>
      </c>
      <c r="Z882" s="30" t="str">
        <f aca="true">IF(O882="","",IF(T882="",TODAY(),T882)-O882)</f>
        <v/>
      </c>
      <c r="AA882" s="31" t="str">
        <f aca="false">IF(T882="","",TEXT(T882,"YYYY-MM"))</f>
        <v/>
      </c>
      <c r="AB882" s="27" t="str">
        <f aca="false">IF(X882="","",X882/2)</f>
        <v/>
      </c>
      <c r="AC882" s="21"/>
    </row>
    <row r="883" customFormat="false" ht="15" hidden="false" customHeight="false" outlineLevel="0" collapsed="false">
      <c r="A883" s="20"/>
      <c r="B883" s="21"/>
      <c r="C883" s="21"/>
      <c r="D883" s="21"/>
      <c r="E883" s="21"/>
      <c r="F883" s="21"/>
      <c r="G883" s="22"/>
      <c r="H883" s="21"/>
      <c r="I883" s="21"/>
      <c r="J883" s="21"/>
      <c r="K883" s="23"/>
      <c r="L883" s="24"/>
      <c r="M883" s="21"/>
      <c r="N883" s="21"/>
      <c r="O883" s="25"/>
      <c r="P883" s="26"/>
      <c r="Q883" s="27" t="str">
        <f aca="false">IF(A883="","",SUMIF(Expenses!$B$2:$B$3000,A883,Expenses!$E$2:$E$3000))</f>
        <v/>
      </c>
      <c r="R883" s="27" t="str">
        <f aca="false">IF(A883="","",N(P883)+N(Q883))</f>
        <v/>
      </c>
      <c r="S883" s="28"/>
      <c r="T883" s="25"/>
      <c r="U883" s="26"/>
      <c r="V883" s="26"/>
      <c r="W883" s="26"/>
      <c r="X883" s="27" t="str">
        <f aca="false">IF(B883&lt;&gt;"SOLD","",IF(C883="Consignment",N(W883)-R883,N(U883)-R883-N(V883)))</f>
        <v/>
      </c>
      <c r="Y883" s="29" t="str">
        <f aca="false">IF(OR(X883="",N(R883)=0),"",X883/R883)</f>
        <v/>
      </c>
      <c r="Z883" s="30" t="str">
        <f aca="true">IF(O883="","",IF(T883="",TODAY(),T883)-O883)</f>
        <v/>
      </c>
      <c r="AA883" s="31" t="str">
        <f aca="false">IF(T883="","",TEXT(T883,"YYYY-MM"))</f>
        <v/>
      </c>
      <c r="AB883" s="27" t="str">
        <f aca="false">IF(X883="","",X883/2)</f>
        <v/>
      </c>
      <c r="AC883" s="21"/>
    </row>
    <row r="884" customFormat="false" ht="15" hidden="false" customHeight="false" outlineLevel="0" collapsed="false">
      <c r="A884" s="20"/>
      <c r="B884" s="21"/>
      <c r="C884" s="21"/>
      <c r="D884" s="21"/>
      <c r="E884" s="21"/>
      <c r="F884" s="21"/>
      <c r="G884" s="22"/>
      <c r="H884" s="21"/>
      <c r="I884" s="21"/>
      <c r="J884" s="21"/>
      <c r="K884" s="23"/>
      <c r="L884" s="24"/>
      <c r="M884" s="21"/>
      <c r="N884" s="21"/>
      <c r="O884" s="25"/>
      <c r="P884" s="26"/>
      <c r="Q884" s="27" t="str">
        <f aca="false">IF(A884="","",SUMIF(Expenses!$B$2:$B$3000,A884,Expenses!$E$2:$E$3000))</f>
        <v/>
      </c>
      <c r="R884" s="27" t="str">
        <f aca="false">IF(A884="","",N(P884)+N(Q884))</f>
        <v/>
      </c>
      <c r="S884" s="28"/>
      <c r="T884" s="25"/>
      <c r="U884" s="26"/>
      <c r="V884" s="26"/>
      <c r="W884" s="26"/>
      <c r="X884" s="27" t="str">
        <f aca="false">IF(B884&lt;&gt;"SOLD","",IF(C884="Consignment",N(W884)-R884,N(U884)-R884-N(V884)))</f>
        <v/>
      </c>
      <c r="Y884" s="29" t="str">
        <f aca="false">IF(OR(X884="",N(R884)=0),"",X884/R884)</f>
        <v/>
      </c>
      <c r="Z884" s="30" t="str">
        <f aca="true">IF(O884="","",IF(T884="",TODAY(),T884)-O884)</f>
        <v/>
      </c>
      <c r="AA884" s="31" t="str">
        <f aca="false">IF(T884="","",TEXT(T884,"YYYY-MM"))</f>
        <v/>
      </c>
      <c r="AB884" s="27" t="str">
        <f aca="false">IF(X884="","",X884/2)</f>
        <v/>
      </c>
      <c r="AC884" s="21"/>
    </row>
    <row r="885" customFormat="false" ht="15" hidden="false" customHeight="false" outlineLevel="0" collapsed="false">
      <c r="A885" s="20"/>
      <c r="B885" s="21"/>
      <c r="C885" s="21"/>
      <c r="D885" s="21"/>
      <c r="E885" s="21"/>
      <c r="F885" s="21"/>
      <c r="G885" s="22"/>
      <c r="H885" s="21"/>
      <c r="I885" s="21"/>
      <c r="J885" s="21"/>
      <c r="K885" s="23"/>
      <c r="L885" s="24"/>
      <c r="M885" s="21"/>
      <c r="N885" s="21"/>
      <c r="O885" s="25"/>
      <c r="P885" s="26"/>
      <c r="Q885" s="27" t="str">
        <f aca="false">IF(A885="","",SUMIF(Expenses!$B$2:$B$3000,A885,Expenses!$E$2:$E$3000))</f>
        <v/>
      </c>
      <c r="R885" s="27" t="str">
        <f aca="false">IF(A885="","",N(P885)+N(Q885))</f>
        <v/>
      </c>
      <c r="S885" s="28"/>
      <c r="T885" s="25"/>
      <c r="U885" s="26"/>
      <c r="V885" s="26"/>
      <c r="W885" s="26"/>
      <c r="X885" s="27" t="str">
        <f aca="false">IF(B885&lt;&gt;"SOLD","",IF(C885="Consignment",N(W885)-R885,N(U885)-R885-N(V885)))</f>
        <v/>
      </c>
      <c r="Y885" s="29" t="str">
        <f aca="false">IF(OR(X885="",N(R885)=0),"",X885/R885)</f>
        <v/>
      </c>
      <c r="Z885" s="30" t="str">
        <f aca="true">IF(O885="","",IF(T885="",TODAY(),T885)-O885)</f>
        <v/>
      </c>
      <c r="AA885" s="31" t="str">
        <f aca="false">IF(T885="","",TEXT(T885,"YYYY-MM"))</f>
        <v/>
      </c>
      <c r="AB885" s="27" t="str">
        <f aca="false">IF(X885="","",X885/2)</f>
        <v/>
      </c>
      <c r="AC885" s="21"/>
    </row>
    <row r="886" customFormat="false" ht="15" hidden="false" customHeight="false" outlineLevel="0" collapsed="false">
      <c r="A886" s="20"/>
      <c r="B886" s="21"/>
      <c r="C886" s="21"/>
      <c r="D886" s="21"/>
      <c r="E886" s="21"/>
      <c r="F886" s="21"/>
      <c r="G886" s="22"/>
      <c r="H886" s="21"/>
      <c r="I886" s="21"/>
      <c r="J886" s="21"/>
      <c r="K886" s="23"/>
      <c r="L886" s="24"/>
      <c r="M886" s="21"/>
      <c r="N886" s="21"/>
      <c r="O886" s="25"/>
      <c r="P886" s="26"/>
      <c r="Q886" s="27" t="str">
        <f aca="false">IF(A886="","",SUMIF(Expenses!$B$2:$B$3000,A886,Expenses!$E$2:$E$3000))</f>
        <v/>
      </c>
      <c r="R886" s="27" t="str">
        <f aca="false">IF(A886="","",N(P886)+N(Q886))</f>
        <v/>
      </c>
      <c r="S886" s="28"/>
      <c r="T886" s="25"/>
      <c r="U886" s="26"/>
      <c r="V886" s="26"/>
      <c r="W886" s="26"/>
      <c r="X886" s="27" t="str">
        <f aca="false">IF(B886&lt;&gt;"SOLD","",IF(C886="Consignment",N(W886)-R886,N(U886)-R886-N(V886)))</f>
        <v/>
      </c>
      <c r="Y886" s="29" t="str">
        <f aca="false">IF(OR(X886="",N(R886)=0),"",X886/R886)</f>
        <v/>
      </c>
      <c r="Z886" s="30" t="str">
        <f aca="true">IF(O886="","",IF(T886="",TODAY(),T886)-O886)</f>
        <v/>
      </c>
      <c r="AA886" s="31" t="str">
        <f aca="false">IF(T886="","",TEXT(T886,"YYYY-MM"))</f>
        <v/>
      </c>
      <c r="AB886" s="27" t="str">
        <f aca="false">IF(X886="","",X886/2)</f>
        <v/>
      </c>
      <c r="AC886" s="21"/>
    </row>
    <row r="887" customFormat="false" ht="15" hidden="false" customHeight="false" outlineLevel="0" collapsed="false">
      <c r="A887" s="20"/>
      <c r="B887" s="21"/>
      <c r="C887" s="21"/>
      <c r="D887" s="21"/>
      <c r="E887" s="21"/>
      <c r="F887" s="21"/>
      <c r="G887" s="22"/>
      <c r="H887" s="21"/>
      <c r="I887" s="21"/>
      <c r="J887" s="21"/>
      <c r="K887" s="23"/>
      <c r="L887" s="24"/>
      <c r="M887" s="21"/>
      <c r="N887" s="21"/>
      <c r="O887" s="25"/>
      <c r="P887" s="26"/>
      <c r="Q887" s="27" t="str">
        <f aca="false">IF(A887="","",SUMIF(Expenses!$B$2:$B$3000,A887,Expenses!$E$2:$E$3000))</f>
        <v/>
      </c>
      <c r="R887" s="27" t="str">
        <f aca="false">IF(A887="","",N(P887)+N(Q887))</f>
        <v/>
      </c>
      <c r="S887" s="28"/>
      <c r="T887" s="25"/>
      <c r="U887" s="26"/>
      <c r="V887" s="26"/>
      <c r="W887" s="26"/>
      <c r="X887" s="27" t="str">
        <f aca="false">IF(B887&lt;&gt;"SOLD","",IF(C887="Consignment",N(W887)-R887,N(U887)-R887-N(V887)))</f>
        <v/>
      </c>
      <c r="Y887" s="29" t="str">
        <f aca="false">IF(OR(X887="",N(R887)=0),"",X887/R887)</f>
        <v/>
      </c>
      <c r="Z887" s="30" t="str">
        <f aca="true">IF(O887="","",IF(T887="",TODAY(),T887)-O887)</f>
        <v/>
      </c>
      <c r="AA887" s="31" t="str">
        <f aca="false">IF(T887="","",TEXT(T887,"YYYY-MM"))</f>
        <v/>
      </c>
      <c r="AB887" s="27" t="str">
        <f aca="false">IF(X887="","",X887/2)</f>
        <v/>
      </c>
      <c r="AC887" s="21"/>
    </row>
    <row r="888" customFormat="false" ht="15" hidden="false" customHeight="false" outlineLevel="0" collapsed="false">
      <c r="A888" s="20"/>
      <c r="B888" s="21"/>
      <c r="C888" s="21"/>
      <c r="D888" s="21"/>
      <c r="E888" s="21"/>
      <c r="F888" s="21"/>
      <c r="G888" s="22"/>
      <c r="H888" s="21"/>
      <c r="I888" s="21"/>
      <c r="J888" s="21"/>
      <c r="K888" s="23"/>
      <c r="L888" s="24"/>
      <c r="M888" s="21"/>
      <c r="N888" s="21"/>
      <c r="O888" s="25"/>
      <c r="P888" s="26"/>
      <c r="Q888" s="27" t="str">
        <f aca="false">IF(A888="","",SUMIF(Expenses!$B$2:$B$3000,A888,Expenses!$E$2:$E$3000))</f>
        <v/>
      </c>
      <c r="R888" s="27" t="str">
        <f aca="false">IF(A888="","",N(P888)+N(Q888))</f>
        <v/>
      </c>
      <c r="S888" s="28"/>
      <c r="T888" s="25"/>
      <c r="U888" s="26"/>
      <c r="V888" s="26"/>
      <c r="W888" s="26"/>
      <c r="X888" s="27" t="str">
        <f aca="false">IF(B888&lt;&gt;"SOLD","",IF(C888="Consignment",N(W888)-R888,N(U888)-R888-N(V888)))</f>
        <v/>
      </c>
      <c r="Y888" s="29" t="str">
        <f aca="false">IF(OR(X888="",N(R888)=0),"",X888/R888)</f>
        <v/>
      </c>
      <c r="Z888" s="30" t="str">
        <f aca="true">IF(O888="","",IF(T888="",TODAY(),T888)-O888)</f>
        <v/>
      </c>
      <c r="AA888" s="31" t="str">
        <f aca="false">IF(T888="","",TEXT(T888,"YYYY-MM"))</f>
        <v/>
      </c>
      <c r="AB888" s="27" t="str">
        <f aca="false">IF(X888="","",X888/2)</f>
        <v/>
      </c>
      <c r="AC888" s="21"/>
    </row>
    <row r="889" customFormat="false" ht="15" hidden="false" customHeight="false" outlineLevel="0" collapsed="false">
      <c r="A889" s="20"/>
      <c r="B889" s="21"/>
      <c r="C889" s="21"/>
      <c r="D889" s="21"/>
      <c r="E889" s="21"/>
      <c r="F889" s="21"/>
      <c r="G889" s="22"/>
      <c r="H889" s="21"/>
      <c r="I889" s="21"/>
      <c r="J889" s="21"/>
      <c r="K889" s="23"/>
      <c r="L889" s="24"/>
      <c r="M889" s="21"/>
      <c r="N889" s="21"/>
      <c r="O889" s="25"/>
      <c r="P889" s="26"/>
      <c r="Q889" s="27" t="str">
        <f aca="false">IF(A889="","",SUMIF(Expenses!$B$2:$B$3000,A889,Expenses!$E$2:$E$3000))</f>
        <v/>
      </c>
      <c r="R889" s="27" t="str">
        <f aca="false">IF(A889="","",N(P889)+N(Q889))</f>
        <v/>
      </c>
      <c r="S889" s="28"/>
      <c r="T889" s="25"/>
      <c r="U889" s="26"/>
      <c r="V889" s="26"/>
      <c r="W889" s="26"/>
      <c r="X889" s="27" t="str">
        <f aca="false">IF(B889&lt;&gt;"SOLD","",IF(C889="Consignment",N(W889)-R889,N(U889)-R889-N(V889)))</f>
        <v/>
      </c>
      <c r="Y889" s="29" t="str">
        <f aca="false">IF(OR(X889="",N(R889)=0),"",X889/R889)</f>
        <v/>
      </c>
      <c r="Z889" s="30" t="str">
        <f aca="true">IF(O889="","",IF(T889="",TODAY(),T889)-O889)</f>
        <v/>
      </c>
      <c r="AA889" s="31" t="str">
        <f aca="false">IF(T889="","",TEXT(T889,"YYYY-MM"))</f>
        <v/>
      </c>
      <c r="AB889" s="27" t="str">
        <f aca="false">IF(X889="","",X889/2)</f>
        <v/>
      </c>
      <c r="AC889" s="21"/>
    </row>
    <row r="890" customFormat="false" ht="15" hidden="false" customHeight="false" outlineLevel="0" collapsed="false">
      <c r="A890" s="20"/>
      <c r="B890" s="21"/>
      <c r="C890" s="21"/>
      <c r="D890" s="21"/>
      <c r="E890" s="21"/>
      <c r="F890" s="21"/>
      <c r="G890" s="22"/>
      <c r="H890" s="21"/>
      <c r="I890" s="21"/>
      <c r="J890" s="21"/>
      <c r="K890" s="23"/>
      <c r="L890" s="24"/>
      <c r="M890" s="21"/>
      <c r="N890" s="21"/>
      <c r="O890" s="25"/>
      <c r="P890" s="26"/>
      <c r="Q890" s="27" t="str">
        <f aca="false">IF(A890="","",SUMIF(Expenses!$B$2:$B$3000,A890,Expenses!$E$2:$E$3000))</f>
        <v/>
      </c>
      <c r="R890" s="27" t="str">
        <f aca="false">IF(A890="","",N(P890)+N(Q890))</f>
        <v/>
      </c>
      <c r="S890" s="28"/>
      <c r="T890" s="25"/>
      <c r="U890" s="26"/>
      <c r="V890" s="26"/>
      <c r="W890" s="26"/>
      <c r="X890" s="27" t="str">
        <f aca="false">IF(B890&lt;&gt;"SOLD","",IF(C890="Consignment",N(W890)-R890,N(U890)-R890-N(V890)))</f>
        <v/>
      </c>
      <c r="Y890" s="29" t="str">
        <f aca="false">IF(OR(X890="",N(R890)=0),"",X890/R890)</f>
        <v/>
      </c>
      <c r="Z890" s="30" t="str">
        <f aca="true">IF(O890="","",IF(T890="",TODAY(),T890)-O890)</f>
        <v/>
      </c>
      <c r="AA890" s="31" t="str">
        <f aca="false">IF(T890="","",TEXT(T890,"YYYY-MM"))</f>
        <v/>
      </c>
      <c r="AB890" s="27" t="str">
        <f aca="false">IF(X890="","",X890/2)</f>
        <v/>
      </c>
      <c r="AC890" s="21"/>
    </row>
    <row r="891" customFormat="false" ht="15" hidden="false" customHeight="false" outlineLevel="0" collapsed="false">
      <c r="A891" s="20"/>
      <c r="B891" s="21"/>
      <c r="C891" s="21"/>
      <c r="D891" s="21"/>
      <c r="E891" s="21"/>
      <c r="F891" s="21"/>
      <c r="G891" s="22"/>
      <c r="H891" s="21"/>
      <c r="I891" s="21"/>
      <c r="J891" s="21"/>
      <c r="K891" s="23"/>
      <c r="L891" s="24"/>
      <c r="M891" s="21"/>
      <c r="N891" s="21"/>
      <c r="O891" s="25"/>
      <c r="P891" s="26"/>
      <c r="Q891" s="27" t="str">
        <f aca="false">IF(A891="","",SUMIF(Expenses!$B$2:$B$3000,A891,Expenses!$E$2:$E$3000))</f>
        <v/>
      </c>
      <c r="R891" s="27" t="str">
        <f aca="false">IF(A891="","",N(P891)+N(Q891))</f>
        <v/>
      </c>
      <c r="S891" s="28"/>
      <c r="T891" s="25"/>
      <c r="U891" s="26"/>
      <c r="V891" s="26"/>
      <c r="W891" s="26"/>
      <c r="X891" s="27" t="str">
        <f aca="false">IF(B891&lt;&gt;"SOLD","",IF(C891="Consignment",N(W891)-R891,N(U891)-R891-N(V891)))</f>
        <v/>
      </c>
      <c r="Y891" s="29" t="str">
        <f aca="false">IF(OR(X891="",N(R891)=0),"",X891/R891)</f>
        <v/>
      </c>
      <c r="Z891" s="30" t="str">
        <f aca="true">IF(O891="","",IF(T891="",TODAY(),T891)-O891)</f>
        <v/>
      </c>
      <c r="AA891" s="31" t="str">
        <f aca="false">IF(T891="","",TEXT(T891,"YYYY-MM"))</f>
        <v/>
      </c>
      <c r="AB891" s="27" t="str">
        <f aca="false">IF(X891="","",X891/2)</f>
        <v/>
      </c>
      <c r="AC891" s="21"/>
    </row>
    <row r="892" customFormat="false" ht="15" hidden="false" customHeight="false" outlineLevel="0" collapsed="false">
      <c r="A892" s="20"/>
      <c r="B892" s="21"/>
      <c r="C892" s="21"/>
      <c r="D892" s="21"/>
      <c r="E892" s="21"/>
      <c r="F892" s="21"/>
      <c r="G892" s="22"/>
      <c r="H892" s="21"/>
      <c r="I892" s="21"/>
      <c r="J892" s="21"/>
      <c r="K892" s="23"/>
      <c r="L892" s="24"/>
      <c r="M892" s="21"/>
      <c r="N892" s="21"/>
      <c r="O892" s="25"/>
      <c r="P892" s="26"/>
      <c r="Q892" s="27" t="str">
        <f aca="false">IF(A892="","",SUMIF(Expenses!$B$2:$B$3000,A892,Expenses!$E$2:$E$3000))</f>
        <v/>
      </c>
      <c r="R892" s="27" t="str">
        <f aca="false">IF(A892="","",N(P892)+N(Q892))</f>
        <v/>
      </c>
      <c r="S892" s="28"/>
      <c r="T892" s="25"/>
      <c r="U892" s="26"/>
      <c r="V892" s="26"/>
      <c r="W892" s="26"/>
      <c r="X892" s="27" t="str">
        <f aca="false">IF(B892&lt;&gt;"SOLD","",IF(C892="Consignment",N(W892)-R892,N(U892)-R892-N(V892)))</f>
        <v/>
      </c>
      <c r="Y892" s="29" t="str">
        <f aca="false">IF(OR(X892="",N(R892)=0),"",X892/R892)</f>
        <v/>
      </c>
      <c r="Z892" s="30" t="str">
        <f aca="true">IF(O892="","",IF(T892="",TODAY(),T892)-O892)</f>
        <v/>
      </c>
      <c r="AA892" s="31" t="str">
        <f aca="false">IF(T892="","",TEXT(T892,"YYYY-MM"))</f>
        <v/>
      </c>
      <c r="AB892" s="27" t="str">
        <f aca="false">IF(X892="","",X892/2)</f>
        <v/>
      </c>
      <c r="AC892" s="21"/>
    </row>
    <row r="893" customFormat="false" ht="15" hidden="false" customHeight="false" outlineLevel="0" collapsed="false">
      <c r="A893" s="20"/>
      <c r="B893" s="21"/>
      <c r="C893" s="21"/>
      <c r="D893" s="21"/>
      <c r="E893" s="21"/>
      <c r="F893" s="21"/>
      <c r="G893" s="22"/>
      <c r="H893" s="21"/>
      <c r="I893" s="21"/>
      <c r="J893" s="21"/>
      <c r="K893" s="23"/>
      <c r="L893" s="24"/>
      <c r="M893" s="21"/>
      <c r="N893" s="21"/>
      <c r="O893" s="25"/>
      <c r="P893" s="26"/>
      <c r="Q893" s="27" t="str">
        <f aca="false">IF(A893="","",SUMIF(Expenses!$B$2:$B$3000,A893,Expenses!$E$2:$E$3000))</f>
        <v/>
      </c>
      <c r="R893" s="27" t="str">
        <f aca="false">IF(A893="","",N(P893)+N(Q893))</f>
        <v/>
      </c>
      <c r="S893" s="28"/>
      <c r="T893" s="25"/>
      <c r="U893" s="26"/>
      <c r="V893" s="26"/>
      <c r="W893" s="26"/>
      <c r="X893" s="27" t="str">
        <f aca="false">IF(B893&lt;&gt;"SOLD","",IF(C893="Consignment",N(W893)-R893,N(U893)-R893-N(V893)))</f>
        <v/>
      </c>
      <c r="Y893" s="29" t="str">
        <f aca="false">IF(OR(X893="",N(R893)=0),"",X893/R893)</f>
        <v/>
      </c>
      <c r="Z893" s="30" t="str">
        <f aca="true">IF(O893="","",IF(T893="",TODAY(),T893)-O893)</f>
        <v/>
      </c>
      <c r="AA893" s="31" t="str">
        <f aca="false">IF(T893="","",TEXT(T893,"YYYY-MM"))</f>
        <v/>
      </c>
      <c r="AB893" s="27" t="str">
        <f aca="false">IF(X893="","",X893/2)</f>
        <v/>
      </c>
      <c r="AC893" s="21"/>
    </row>
    <row r="894" customFormat="false" ht="15" hidden="false" customHeight="false" outlineLevel="0" collapsed="false">
      <c r="A894" s="20"/>
      <c r="B894" s="21"/>
      <c r="C894" s="21"/>
      <c r="D894" s="21"/>
      <c r="E894" s="21"/>
      <c r="F894" s="21"/>
      <c r="G894" s="22"/>
      <c r="H894" s="21"/>
      <c r="I894" s="21"/>
      <c r="J894" s="21"/>
      <c r="K894" s="23"/>
      <c r="L894" s="24"/>
      <c r="M894" s="21"/>
      <c r="N894" s="21"/>
      <c r="O894" s="25"/>
      <c r="P894" s="26"/>
      <c r="Q894" s="27" t="str">
        <f aca="false">IF(A894="","",SUMIF(Expenses!$B$2:$B$3000,A894,Expenses!$E$2:$E$3000))</f>
        <v/>
      </c>
      <c r="R894" s="27" t="str">
        <f aca="false">IF(A894="","",N(P894)+N(Q894))</f>
        <v/>
      </c>
      <c r="S894" s="28"/>
      <c r="T894" s="25"/>
      <c r="U894" s="26"/>
      <c r="V894" s="26"/>
      <c r="W894" s="26"/>
      <c r="X894" s="27" t="str">
        <f aca="false">IF(B894&lt;&gt;"SOLD","",IF(C894="Consignment",N(W894)-R894,N(U894)-R894-N(V894)))</f>
        <v/>
      </c>
      <c r="Y894" s="29" t="str">
        <f aca="false">IF(OR(X894="",N(R894)=0),"",X894/R894)</f>
        <v/>
      </c>
      <c r="Z894" s="30" t="str">
        <f aca="true">IF(O894="","",IF(T894="",TODAY(),T894)-O894)</f>
        <v/>
      </c>
      <c r="AA894" s="31" t="str">
        <f aca="false">IF(T894="","",TEXT(T894,"YYYY-MM"))</f>
        <v/>
      </c>
      <c r="AB894" s="27" t="str">
        <f aca="false">IF(X894="","",X894/2)</f>
        <v/>
      </c>
      <c r="AC894" s="21"/>
    </row>
    <row r="895" customFormat="false" ht="15" hidden="false" customHeight="false" outlineLevel="0" collapsed="false">
      <c r="A895" s="20"/>
      <c r="B895" s="21"/>
      <c r="C895" s="21"/>
      <c r="D895" s="21"/>
      <c r="E895" s="21"/>
      <c r="F895" s="21"/>
      <c r="G895" s="22"/>
      <c r="H895" s="21"/>
      <c r="I895" s="21"/>
      <c r="J895" s="21"/>
      <c r="K895" s="23"/>
      <c r="L895" s="24"/>
      <c r="M895" s="21"/>
      <c r="N895" s="21"/>
      <c r="O895" s="25"/>
      <c r="P895" s="26"/>
      <c r="Q895" s="27" t="str">
        <f aca="false">IF(A895="","",SUMIF(Expenses!$B$2:$B$3000,A895,Expenses!$E$2:$E$3000))</f>
        <v/>
      </c>
      <c r="R895" s="27" t="str">
        <f aca="false">IF(A895="","",N(P895)+N(Q895))</f>
        <v/>
      </c>
      <c r="S895" s="28"/>
      <c r="T895" s="25"/>
      <c r="U895" s="26"/>
      <c r="V895" s="26"/>
      <c r="W895" s="26"/>
      <c r="X895" s="27" t="str">
        <f aca="false">IF(B895&lt;&gt;"SOLD","",IF(C895="Consignment",N(W895)-R895,N(U895)-R895-N(V895)))</f>
        <v/>
      </c>
      <c r="Y895" s="29" t="str">
        <f aca="false">IF(OR(X895="",N(R895)=0),"",X895/R895)</f>
        <v/>
      </c>
      <c r="Z895" s="30" t="str">
        <f aca="true">IF(O895="","",IF(T895="",TODAY(),T895)-O895)</f>
        <v/>
      </c>
      <c r="AA895" s="31" t="str">
        <f aca="false">IF(T895="","",TEXT(T895,"YYYY-MM"))</f>
        <v/>
      </c>
      <c r="AB895" s="27" t="str">
        <f aca="false">IF(X895="","",X895/2)</f>
        <v/>
      </c>
      <c r="AC895" s="21"/>
    </row>
    <row r="896" customFormat="false" ht="15" hidden="false" customHeight="false" outlineLevel="0" collapsed="false">
      <c r="A896" s="20"/>
      <c r="B896" s="21"/>
      <c r="C896" s="21"/>
      <c r="D896" s="21"/>
      <c r="E896" s="21"/>
      <c r="F896" s="21"/>
      <c r="G896" s="22"/>
      <c r="H896" s="21"/>
      <c r="I896" s="21"/>
      <c r="J896" s="21"/>
      <c r="K896" s="23"/>
      <c r="L896" s="24"/>
      <c r="M896" s="21"/>
      <c r="N896" s="21"/>
      <c r="O896" s="25"/>
      <c r="P896" s="26"/>
      <c r="Q896" s="27" t="str">
        <f aca="false">IF(A896="","",SUMIF(Expenses!$B$2:$B$3000,A896,Expenses!$E$2:$E$3000))</f>
        <v/>
      </c>
      <c r="R896" s="27" t="str">
        <f aca="false">IF(A896="","",N(P896)+N(Q896))</f>
        <v/>
      </c>
      <c r="S896" s="28"/>
      <c r="T896" s="25"/>
      <c r="U896" s="26"/>
      <c r="V896" s="26"/>
      <c r="W896" s="26"/>
      <c r="X896" s="27" t="str">
        <f aca="false">IF(B896&lt;&gt;"SOLD","",IF(C896="Consignment",N(W896)-R896,N(U896)-R896-N(V896)))</f>
        <v/>
      </c>
      <c r="Y896" s="29" t="str">
        <f aca="false">IF(OR(X896="",N(R896)=0),"",X896/R896)</f>
        <v/>
      </c>
      <c r="Z896" s="30" t="str">
        <f aca="true">IF(O896="","",IF(T896="",TODAY(),T896)-O896)</f>
        <v/>
      </c>
      <c r="AA896" s="31" t="str">
        <f aca="false">IF(T896="","",TEXT(T896,"YYYY-MM"))</f>
        <v/>
      </c>
      <c r="AB896" s="27" t="str">
        <f aca="false">IF(X896="","",X896/2)</f>
        <v/>
      </c>
      <c r="AC896" s="21"/>
    </row>
    <row r="897" customFormat="false" ht="15" hidden="false" customHeight="false" outlineLevel="0" collapsed="false">
      <c r="A897" s="20"/>
      <c r="B897" s="21"/>
      <c r="C897" s="21"/>
      <c r="D897" s="21"/>
      <c r="E897" s="21"/>
      <c r="F897" s="21"/>
      <c r="G897" s="22"/>
      <c r="H897" s="21"/>
      <c r="I897" s="21"/>
      <c r="J897" s="21"/>
      <c r="K897" s="23"/>
      <c r="L897" s="24"/>
      <c r="M897" s="21"/>
      <c r="N897" s="21"/>
      <c r="O897" s="25"/>
      <c r="P897" s="26"/>
      <c r="Q897" s="27" t="str">
        <f aca="false">IF(A897="","",SUMIF(Expenses!$B$2:$B$3000,A897,Expenses!$E$2:$E$3000))</f>
        <v/>
      </c>
      <c r="R897" s="27" t="str">
        <f aca="false">IF(A897="","",N(P897)+N(Q897))</f>
        <v/>
      </c>
      <c r="S897" s="28"/>
      <c r="T897" s="25"/>
      <c r="U897" s="26"/>
      <c r="V897" s="26"/>
      <c r="W897" s="26"/>
      <c r="X897" s="27" t="str">
        <f aca="false">IF(B897&lt;&gt;"SOLD","",IF(C897="Consignment",N(W897)-R897,N(U897)-R897-N(V897)))</f>
        <v/>
      </c>
      <c r="Y897" s="29" t="str">
        <f aca="false">IF(OR(X897="",N(R897)=0),"",X897/R897)</f>
        <v/>
      </c>
      <c r="Z897" s="30" t="str">
        <f aca="true">IF(O897="","",IF(T897="",TODAY(),T897)-O897)</f>
        <v/>
      </c>
      <c r="AA897" s="31" t="str">
        <f aca="false">IF(T897="","",TEXT(T897,"YYYY-MM"))</f>
        <v/>
      </c>
      <c r="AB897" s="27" t="str">
        <f aca="false">IF(X897="","",X897/2)</f>
        <v/>
      </c>
      <c r="AC897" s="21"/>
    </row>
    <row r="898" customFormat="false" ht="15" hidden="false" customHeight="false" outlineLevel="0" collapsed="false">
      <c r="A898" s="20"/>
      <c r="B898" s="21"/>
      <c r="C898" s="21"/>
      <c r="D898" s="21"/>
      <c r="E898" s="21"/>
      <c r="F898" s="21"/>
      <c r="G898" s="22"/>
      <c r="H898" s="21"/>
      <c r="I898" s="21"/>
      <c r="J898" s="21"/>
      <c r="K898" s="23"/>
      <c r="L898" s="24"/>
      <c r="M898" s="21"/>
      <c r="N898" s="21"/>
      <c r="O898" s="25"/>
      <c r="P898" s="26"/>
      <c r="Q898" s="27" t="str">
        <f aca="false">IF(A898="","",SUMIF(Expenses!$B$2:$B$3000,A898,Expenses!$E$2:$E$3000))</f>
        <v/>
      </c>
      <c r="R898" s="27" t="str">
        <f aca="false">IF(A898="","",N(P898)+N(Q898))</f>
        <v/>
      </c>
      <c r="S898" s="28"/>
      <c r="T898" s="25"/>
      <c r="U898" s="26"/>
      <c r="V898" s="26"/>
      <c r="W898" s="26"/>
      <c r="X898" s="27" t="str">
        <f aca="false">IF(B898&lt;&gt;"SOLD","",IF(C898="Consignment",N(W898)-R898,N(U898)-R898-N(V898)))</f>
        <v/>
      </c>
      <c r="Y898" s="29" t="str">
        <f aca="false">IF(OR(X898="",N(R898)=0),"",X898/R898)</f>
        <v/>
      </c>
      <c r="Z898" s="30" t="str">
        <f aca="true">IF(O898="","",IF(T898="",TODAY(),T898)-O898)</f>
        <v/>
      </c>
      <c r="AA898" s="31" t="str">
        <f aca="false">IF(T898="","",TEXT(T898,"YYYY-MM"))</f>
        <v/>
      </c>
      <c r="AB898" s="27" t="str">
        <f aca="false">IF(X898="","",X898/2)</f>
        <v/>
      </c>
      <c r="AC898" s="21"/>
    </row>
    <row r="899" customFormat="false" ht="15" hidden="false" customHeight="false" outlineLevel="0" collapsed="false">
      <c r="A899" s="20"/>
      <c r="B899" s="21"/>
      <c r="C899" s="21"/>
      <c r="D899" s="21"/>
      <c r="E899" s="21"/>
      <c r="F899" s="21"/>
      <c r="G899" s="22"/>
      <c r="H899" s="21"/>
      <c r="I899" s="21"/>
      <c r="J899" s="21"/>
      <c r="K899" s="23"/>
      <c r="L899" s="24"/>
      <c r="M899" s="21"/>
      <c r="N899" s="21"/>
      <c r="O899" s="25"/>
      <c r="P899" s="26"/>
      <c r="Q899" s="27" t="str">
        <f aca="false">IF(A899="","",SUMIF(Expenses!$B$2:$B$3000,A899,Expenses!$E$2:$E$3000))</f>
        <v/>
      </c>
      <c r="R899" s="27" t="str">
        <f aca="false">IF(A899="","",N(P899)+N(Q899))</f>
        <v/>
      </c>
      <c r="S899" s="28"/>
      <c r="T899" s="25"/>
      <c r="U899" s="26"/>
      <c r="V899" s="26"/>
      <c r="W899" s="26"/>
      <c r="X899" s="27" t="str">
        <f aca="false">IF(B899&lt;&gt;"SOLD","",IF(C899="Consignment",N(W899)-R899,N(U899)-R899-N(V899)))</f>
        <v/>
      </c>
      <c r="Y899" s="29" t="str">
        <f aca="false">IF(OR(X899="",N(R899)=0),"",X899/R899)</f>
        <v/>
      </c>
      <c r="Z899" s="30" t="str">
        <f aca="true">IF(O899="","",IF(T899="",TODAY(),T899)-O899)</f>
        <v/>
      </c>
      <c r="AA899" s="31" t="str">
        <f aca="false">IF(T899="","",TEXT(T899,"YYYY-MM"))</f>
        <v/>
      </c>
      <c r="AB899" s="27" t="str">
        <f aca="false">IF(X899="","",X899/2)</f>
        <v/>
      </c>
      <c r="AC899" s="21"/>
    </row>
    <row r="900" customFormat="false" ht="15" hidden="false" customHeight="false" outlineLevel="0" collapsed="false">
      <c r="A900" s="20"/>
      <c r="B900" s="21"/>
      <c r="C900" s="21"/>
      <c r="D900" s="21"/>
      <c r="E900" s="21"/>
      <c r="F900" s="21"/>
      <c r="G900" s="22"/>
      <c r="H900" s="21"/>
      <c r="I900" s="21"/>
      <c r="J900" s="21"/>
      <c r="K900" s="23"/>
      <c r="L900" s="24"/>
      <c r="M900" s="21"/>
      <c r="N900" s="21"/>
      <c r="O900" s="25"/>
      <c r="P900" s="26"/>
      <c r="Q900" s="27" t="str">
        <f aca="false">IF(A900="","",SUMIF(Expenses!$B$2:$B$3000,A900,Expenses!$E$2:$E$3000))</f>
        <v/>
      </c>
      <c r="R900" s="27" t="str">
        <f aca="false">IF(A900="","",N(P900)+N(Q900))</f>
        <v/>
      </c>
      <c r="S900" s="28"/>
      <c r="T900" s="25"/>
      <c r="U900" s="26"/>
      <c r="V900" s="26"/>
      <c r="W900" s="26"/>
      <c r="X900" s="27" t="str">
        <f aca="false">IF(B900&lt;&gt;"SOLD","",IF(C900="Consignment",N(W900)-R900,N(U900)-R900-N(V900)))</f>
        <v/>
      </c>
      <c r="Y900" s="29" t="str">
        <f aca="false">IF(OR(X900="",N(R900)=0),"",X900/R900)</f>
        <v/>
      </c>
      <c r="Z900" s="30" t="str">
        <f aca="true">IF(O900="","",IF(T900="",TODAY(),T900)-O900)</f>
        <v/>
      </c>
      <c r="AA900" s="31" t="str">
        <f aca="false">IF(T900="","",TEXT(T900,"YYYY-MM"))</f>
        <v/>
      </c>
      <c r="AB900" s="27" t="str">
        <f aca="false">IF(X900="","",X900/2)</f>
        <v/>
      </c>
      <c r="AC900" s="21"/>
    </row>
    <row r="901" customFormat="false" ht="15" hidden="false" customHeight="false" outlineLevel="0" collapsed="false">
      <c r="A901" s="20"/>
      <c r="B901" s="21"/>
      <c r="C901" s="21"/>
      <c r="D901" s="21"/>
      <c r="E901" s="21"/>
      <c r="F901" s="21"/>
      <c r="G901" s="22"/>
      <c r="H901" s="21"/>
      <c r="I901" s="21"/>
      <c r="J901" s="21"/>
      <c r="K901" s="23"/>
      <c r="L901" s="24"/>
      <c r="M901" s="21"/>
      <c r="N901" s="21"/>
      <c r="O901" s="25"/>
      <c r="P901" s="26"/>
      <c r="Q901" s="27" t="str">
        <f aca="false">IF(A901="","",SUMIF(Expenses!$B$2:$B$3000,A901,Expenses!$E$2:$E$3000))</f>
        <v/>
      </c>
      <c r="R901" s="27" t="str">
        <f aca="false">IF(A901="","",N(P901)+N(Q901))</f>
        <v/>
      </c>
      <c r="S901" s="28"/>
      <c r="T901" s="25"/>
      <c r="U901" s="26"/>
      <c r="V901" s="26"/>
      <c r="W901" s="26"/>
      <c r="X901" s="27" t="str">
        <f aca="false">IF(B901&lt;&gt;"SOLD","",IF(C901="Consignment",N(W901)-R901,N(U901)-R901-N(V901)))</f>
        <v/>
      </c>
      <c r="Y901" s="29" t="str">
        <f aca="false">IF(OR(X901="",N(R901)=0),"",X901/R901)</f>
        <v/>
      </c>
      <c r="Z901" s="30" t="str">
        <f aca="true">IF(O901="","",IF(T901="",TODAY(),T901)-O901)</f>
        <v/>
      </c>
      <c r="AA901" s="31" t="str">
        <f aca="false">IF(T901="","",TEXT(T901,"YYYY-MM"))</f>
        <v/>
      </c>
      <c r="AB901" s="27" t="str">
        <f aca="false">IF(X901="","",X901/2)</f>
        <v/>
      </c>
      <c r="AC901" s="21"/>
    </row>
    <row r="902" customFormat="false" ht="15" hidden="false" customHeight="false" outlineLevel="0" collapsed="false">
      <c r="A902" s="20"/>
      <c r="B902" s="21"/>
      <c r="C902" s="21"/>
      <c r="D902" s="21"/>
      <c r="E902" s="21"/>
      <c r="F902" s="21"/>
      <c r="G902" s="22"/>
      <c r="H902" s="21"/>
      <c r="I902" s="21"/>
      <c r="J902" s="21"/>
      <c r="K902" s="23"/>
      <c r="L902" s="24"/>
      <c r="M902" s="21"/>
      <c r="N902" s="21"/>
      <c r="O902" s="25"/>
      <c r="P902" s="26"/>
      <c r="Q902" s="27" t="str">
        <f aca="false">IF(A902="","",SUMIF(Expenses!$B$2:$B$3000,A902,Expenses!$E$2:$E$3000))</f>
        <v/>
      </c>
      <c r="R902" s="27" t="str">
        <f aca="false">IF(A902="","",N(P902)+N(Q902))</f>
        <v/>
      </c>
      <c r="S902" s="28"/>
      <c r="T902" s="25"/>
      <c r="U902" s="26"/>
      <c r="V902" s="26"/>
      <c r="W902" s="26"/>
      <c r="X902" s="27" t="str">
        <f aca="false">IF(B902&lt;&gt;"SOLD","",IF(C902="Consignment",N(W902)-R902,N(U902)-R902-N(V902)))</f>
        <v/>
      </c>
      <c r="Y902" s="29" t="str">
        <f aca="false">IF(OR(X902="",N(R902)=0),"",X902/R902)</f>
        <v/>
      </c>
      <c r="Z902" s="30" t="str">
        <f aca="true">IF(O902="","",IF(T902="",TODAY(),T902)-O902)</f>
        <v/>
      </c>
      <c r="AA902" s="31" t="str">
        <f aca="false">IF(T902="","",TEXT(T902,"YYYY-MM"))</f>
        <v/>
      </c>
      <c r="AB902" s="27" t="str">
        <f aca="false">IF(X902="","",X902/2)</f>
        <v/>
      </c>
      <c r="AC902" s="21"/>
    </row>
    <row r="903" customFormat="false" ht="15" hidden="false" customHeight="false" outlineLevel="0" collapsed="false">
      <c r="A903" s="20"/>
      <c r="B903" s="21"/>
      <c r="C903" s="21"/>
      <c r="D903" s="21"/>
      <c r="E903" s="21"/>
      <c r="F903" s="21"/>
      <c r="G903" s="22"/>
      <c r="H903" s="21"/>
      <c r="I903" s="21"/>
      <c r="J903" s="21"/>
      <c r="K903" s="23"/>
      <c r="L903" s="24"/>
      <c r="M903" s="21"/>
      <c r="N903" s="21"/>
      <c r="O903" s="25"/>
      <c r="P903" s="26"/>
      <c r="Q903" s="27" t="str">
        <f aca="false">IF(A903="","",SUMIF(Expenses!$B$2:$B$3000,A903,Expenses!$E$2:$E$3000))</f>
        <v/>
      </c>
      <c r="R903" s="27" t="str">
        <f aca="false">IF(A903="","",N(P903)+N(Q903))</f>
        <v/>
      </c>
      <c r="S903" s="28"/>
      <c r="T903" s="25"/>
      <c r="U903" s="26"/>
      <c r="V903" s="26"/>
      <c r="W903" s="26"/>
      <c r="X903" s="27" t="str">
        <f aca="false">IF(B903&lt;&gt;"SOLD","",IF(C903="Consignment",N(W903)-R903,N(U903)-R903-N(V903)))</f>
        <v/>
      </c>
      <c r="Y903" s="29" t="str">
        <f aca="false">IF(OR(X903="",N(R903)=0),"",X903/R903)</f>
        <v/>
      </c>
      <c r="Z903" s="30" t="str">
        <f aca="true">IF(O903="","",IF(T903="",TODAY(),T903)-O903)</f>
        <v/>
      </c>
      <c r="AA903" s="31" t="str">
        <f aca="false">IF(T903="","",TEXT(T903,"YYYY-MM"))</f>
        <v/>
      </c>
      <c r="AB903" s="27" t="str">
        <f aca="false">IF(X903="","",X903/2)</f>
        <v/>
      </c>
      <c r="AC903" s="21"/>
    </row>
    <row r="904" customFormat="false" ht="15" hidden="false" customHeight="false" outlineLevel="0" collapsed="false">
      <c r="A904" s="20"/>
      <c r="B904" s="21"/>
      <c r="C904" s="21"/>
      <c r="D904" s="21"/>
      <c r="E904" s="21"/>
      <c r="F904" s="21"/>
      <c r="G904" s="22"/>
      <c r="H904" s="21"/>
      <c r="I904" s="21"/>
      <c r="J904" s="21"/>
      <c r="K904" s="23"/>
      <c r="L904" s="24"/>
      <c r="M904" s="21"/>
      <c r="N904" s="21"/>
      <c r="O904" s="25"/>
      <c r="P904" s="26"/>
      <c r="Q904" s="27" t="str">
        <f aca="false">IF(A904="","",SUMIF(Expenses!$B$2:$B$3000,A904,Expenses!$E$2:$E$3000))</f>
        <v/>
      </c>
      <c r="R904" s="27" t="str">
        <f aca="false">IF(A904="","",N(P904)+N(Q904))</f>
        <v/>
      </c>
      <c r="S904" s="28"/>
      <c r="T904" s="25"/>
      <c r="U904" s="26"/>
      <c r="V904" s="26"/>
      <c r="W904" s="26"/>
      <c r="X904" s="27" t="str">
        <f aca="false">IF(B904&lt;&gt;"SOLD","",IF(C904="Consignment",N(W904)-R904,N(U904)-R904-N(V904)))</f>
        <v/>
      </c>
      <c r="Y904" s="29" t="str">
        <f aca="false">IF(OR(X904="",N(R904)=0),"",X904/R904)</f>
        <v/>
      </c>
      <c r="Z904" s="30" t="str">
        <f aca="true">IF(O904="","",IF(T904="",TODAY(),T904)-O904)</f>
        <v/>
      </c>
      <c r="AA904" s="31" t="str">
        <f aca="false">IF(T904="","",TEXT(T904,"YYYY-MM"))</f>
        <v/>
      </c>
      <c r="AB904" s="27" t="str">
        <f aca="false">IF(X904="","",X904/2)</f>
        <v/>
      </c>
      <c r="AC904" s="21"/>
    </row>
    <row r="905" customFormat="false" ht="15" hidden="false" customHeight="false" outlineLevel="0" collapsed="false">
      <c r="A905" s="20"/>
      <c r="B905" s="21"/>
      <c r="C905" s="21"/>
      <c r="D905" s="21"/>
      <c r="E905" s="21"/>
      <c r="F905" s="21"/>
      <c r="G905" s="22"/>
      <c r="H905" s="21"/>
      <c r="I905" s="21"/>
      <c r="J905" s="21"/>
      <c r="K905" s="23"/>
      <c r="L905" s="24"/>
      <c r="M905" s="21"/>
      <c r="N905" s="21"/>
      <c r="O905" s="25"/>
      <c r="P905" s="26"/>
      <c r="Q905" s="27" t="str">
        <f aca="false">IF(A905="","",SUMIF(Expenses!$B$2:$B$3000,A905,Expenses!$E$2:$E$3000))</f>
        <v/>
      </c>
      <c r="R905" s="27" t="str">
        <f aca="false">IF(A905="","",N(P905)+N(Q905))</f>
        <v/>
      </c>
      <c r="S905" s="28"/>
      <c r="T905" s="25"/>
      <c r="U905" s="26"/>
      <c r="V905" s="26"/>
      <c r="W905" s="26"/>
      <c r="X905" s="27" t="str">
        <f aca="false">IF(B905&lt;&gt;"SOLD","",IF(C905="Consignment",N(W905)-R905,N(U905)-R905-N(V905)))</f>
        <v/>
      </c>
      <c r="Y905" s="29" t="str">
        <f aca="false">IF(OR(X905="",N(R905)=0),"",X905/R905)</f>
        <v/>
      </c>
      <c r="Z905" s="30" t="str">
        <f aca="true">IF(O905="","",IF(T905="",TODAY(),T905)-O905)</f>
        <v/>
      </c>
      <c r="AA905" s="31" t="str">
        <f aca="false">IF(T905="","",TEXT(T905,"YYYY-MM"))</f>
        <v/>
      </c>
      <c r="AB905" s="27" t="str">
        <f aca="false">IF(X905="","",X905/2)</f>
        <v/>
      </c>
      <c r="AC905" s="21"/>
    </row>
    <row r="906" customFormat="false" ht="15" hidden="false" customHeight="false" outlineLevel="0" collapsed="false">
      <c r="A906" s="20"/>
      <c r="B906" s="21"/>
      <c r="C906" s="21"/>
      <c r="D906" s="21"/>
      <c r="E906" s="21"/>
      <c r="F906" s="21"/>
      <c r="G906" s="22"/>
      <c r="H906" s="21"/>
      <c r="I906" s="21"/>
      <c r="J906" s="21"/>
      <c r="K906" s="23"/>
      <c r="L906" s="24"/>
      <c r="M906" s="21"/>
      <c r="N906" s="21"/>
      <c r="O906" s="25"/>
      <c r="P906" s="26"/>
      <c r="Q906" s="27" t="str">
        <f aca="false">IF(A906="","",SUMIF(Expenses!$B$2:$B$3000,A906,Expenses!$E$2:$E$3000))</f>
        <v/>
      </c>
      <c r="R906" s="27" t="str">
        <f aca="false">IF(A906="","",N(P906)+N(Q906))</f>
        <v/>
      </c>
      <c r="S906" s="28"/>
      <c r="T906" s="25"/>
      <c r="U906" s="26"/>
      <c r="V906" s="26"/>
      <c r="W906" s="26"/>
      <c r="X906" s="27" t="str">
        <f aca="false">IF(B906&lt;&gt;"SOLD","",IF(C906="Consignment",N(W906)-R906,N(U906)-R906-N(V906)))</f>
        <v/>
      </c>
      <c r="Y906" s="29" t="str">
        <f aca="false">IF(OR(X906="",N(R906)=0),"",X906/R906)</f>
        <v/>
      </c>
      <c r="Z906" s="30" t="str">
        <f aca="true">IF(O906="","",IF(T906="",TODAY(),T906)-O906)</f>
        <v/>
      </c>
      <c r="AA906" s="31" t="str">
        <f aca="false">IF(T906="","",TEXT(T906,"YYYY-MM"))</f>
        <v/>
      </c>
      <c r="AB906" s="27" t="str">
        <f aca="false">IF(X906="","",X906/2)</f>
        <v/>
      </c>
      <c r="AC906" s="21"/>
    </row>
    <row r="907" customFormat="false" ht="15" hidden="false" customHeight="false" outlineLevel="0" collapsed="false">
      <c r="A907" s="20"/>
      <c r="B907" s="21"/>
      <c r="C907" s="21"/>
      <c r="D907" s="21"/>
      <c r="E907" s="21"/>
      <c r="F907" s="21"/>
      <c r="G907" s="22"/>
      <c r="H907" s="21"/>
      <c r="I907" s="21"/>
      <c r="J907" s="21"/>
      <c r="K907" s="23"/>
      <c r="L907" s="24"/>
      <c r="M907" s="21"/>
      <c r="N907" s="21"/>
      <c r="O907" s="25"/>
      <c r="P907" s="26"/>
      <c r="Q907" s="27" t="str">
        <f aca="false">IF(A907="","",SUMIF(Expenses!$B$2:$B$3000,A907,Expenses!$E$2:$E$3000))</f>
        <v/>
      </c>
      <c r="R907" s="27" t="str">
        <f aca="false">IF(A907="","",N(P907)+N(Q907))</f>
        <v/>
      </c>
      <c r="S907" s="28"/>
      <c r="T907" s="25"/>
      <c r="U907" s="26"/>
      <c r="V907" s="26"/>
      <c r="W907" s="26"/>
      <c r="X907" s="27" t="str">
        <f aca="false">IF(B907&lt;&gt;"SOLD","",IF(C907="Consignment",N(W907)-R907,N(U907)-R907-N(V907)))</f>
        <v/>
      </c>
      <c r="Y907" s="29" t="str">
        <f aca="false">IF(OR(X907="",N(R907)=0),"",X907/R907)</f>
        <v/>
      </c>
      <c r="Z907" s="30" t="str">
        <f aca="true">IF(O907="","",IF(T907="",TODAY(),T907)-O907)</f>
        <v/>
      </c>
      <c r="AA907" s="31" t="str">
        <f aca="false">IF(T907="","",TEXT(T907,"YYYY-MM"))</f>
        <v/>
      </c>
      <c r="AB907" s="27" t="str">
        <f aca="false">IF(X907="","",X907/2)</f>
        <v/>
      </c>
      <c r="AC907" s="21"/>
    </row>
    <row r="908" customFormat="false" ht="15" hidden="false" customHeight="false" outlineLevel="0" collapsed="false">
      <c r="A908" s="20"/>
      <c r="B908" s="21"/>
      <c r="C908" s="21"/>
      <c r="D908" s="21"/>
      <c r="E908" s="21"/>
      <c r="F908" s="21"/>
      <c r="G908" s="22"/>
      <c r="H908" s="21"/>
      <c r="I908" s="21"/>
      <c r="J908" s="21"/>
      <c r="K908" s="23"/>
      <c r="L908" s="24"/>
      <c r="M908" s="21"/>
      <c r="N908" s="21"/>
      <c r="O908" s="25"/>
      <c r="P908" s="26"/>
      <c r="Q908" s="27" t="str">
        <f aca="false">IF(A908="","",SUMIF(Expenses!$B$2:$B$3000,A908,Expenses!$E$2:$E$3000))</f>
        <v/>
      </c>
      <c r="R908" s="27" t="str">
        <f aca="false">IF(A908="","",N(P908)+N(Q908))</f>
        <v/>
      </c>
      <c r="S908" s="28"/>
      <c r="T908" s="25"/>
      <c r="U908" s="26"/>
      <c r="V908" s="26"/>
      <c r="W908" s="26"/>
      <c r="X908" s="27" t="str">
        <f aca="false">IF(B908&lt;&gt;"SOLD","",IF(C908="Consignment",N(W908)-R908,N(U908)-R908-N(V908)))</f>
        <v/>
      </c>
      <c r="Y908" s="29" t="str">
        <f aca="false">IF(OR(X908="",N(R908)=0),"",X908/R908)</f>
        <v/>
      </c>
      <c r="Z908" s="30" t="str">
        <f aca="true">IF(O908="","",IF(T908="",TODAY(),T908)-O908)</f>
        <v/>
      </c>
      <c r="AA908" s="31" t="str">
        <f aca="false">IF(T908="","",TEXT(T908,"YYYY-MM"))</f>
        <v/>
      </c>
      <c r="AB908" s="27" t="str">
        <f aca="false">IF(X908="","",X908/2)</f>
        <v/>
      </c>
      <c r="AC908" s="21"/>
    </row>
    <row r="909" customFormat="false" ht="15" hidden="false" customHeight="false" outlineLevel="0" collapsed="false">
      <c r="A909" s="20"/>
      <c r="B909" s="21"/>
      <c r="C909" s="21"/>
      <c r="D909" s="21"/>
      <c r="E909" s="21"/>
      <c r="F909" s="21"/>
      <c r="G909" s="22"/>
      <c r="H909" s="21"/>
      <c r="I909" s="21"/>
      <c r="J909" s="21"/>
      <c r="K909" s="23"/>
      <c r="L909" s="24"/>
      <c r="M909" s="21"/>
      <c r="N909" s="21"/>
      <c r="O909" s="25"/>
      <c r="P909" s="26"/>
      <c r="Q909" s="27" t="str">
        <f aca="false">IF(A909="","",SUMIF(Expenses!$B$2:$B$3000,A909,Expenses!$E$2:$E$3000))</f>
        <v/>
      </c>
      <c r="R909" s="27" t="str">
        <f aca="false">IF(A909="","",N(P909)+N(Q909))</f>
        <v/>
      </c>
      <c r="S909" s="28"/>
      <c r="T909" s="25"/>
      <c r="U909" s="26"/>
      <c r="V909" s="26"/>
      <c r="W909" s="26"/>
      <c r="X909" s="27" t="str">
        <f aca="false">IF(B909&lt;&gt;"SOLD","",IF(C909="Consignment",N(W909)-R909,N(U909)-R909-N(V909)))</f>
        <v/>
      </c>
      <c r="Y909" s="29" t="str">
        <f aca="false">IF(OR(X909="",N(R909)=0),"",X909/R909)</f>
        <v/>
      </c>
      <c r="Z909" s="30" t="str">
        <f aca="true">IF(O909="","",IF(T909="",TODAY(),T909)-O909)</f>
        <v/>
      </c>
      <c r="AA909" s="31" t="str">
        <f aca="false">IF(T909="","",TEXT(T909,"YYYY-MM"))</f>
        <v/>
      </c>
      <c r="AB909" s="27" t="str">
        <f aca="false">IF(X909="","",X909/2)</f>
        <v/>
      </c>
      <c r="AC909" s="21"/>
    </row>
    <row r="910" customFormat="false" ht="15" hidden="false" customHeight="false" outlineLevel="0" collapsed="false">
      <c r="A910" s="20"/>
      <c r="B910" s="21"/>
      <c r="C910" s="21"/>
      <c r="D910" s="21"/>
      <c r="E910" s="21"/>
      <c r="F910" s="21"/>
      <c r="G910" s="22"/>
      <c r="H910" s="21"/>
      <c r="I910" s="21"/>
      <c r="J910" s="21"/>
      <c r="K910" s="23"/>
      <c r="L910" s="24"/>
      <c r="M910" s="21"/>
      <c r="N910" s="21"/>
      <c r="O910" s="25"/>
      <c r="P910" s="26"/>
      <c r="Q910" s="27" t="str">
        <f aca="false">IF(A910="","",SUMIF(Expenses!$B$2:$B$3000,A910,Expenses!$E$2:$E$3000))</f>
        <v/>
      </c>
      <c r="R910" s="27" t="str">
        <f aca="false">IF(A910="","",N(P910)+N(Q910))</f>
        <v/>
      </c>
      <c r="S910" s="28"/>
      <c r="T910" s="25"/>
      <c r="U910" s="26"/>
      <c r="V910" s="26"/>
      <c r="W910" s="26"/>
      <c r="X910" s="27" t="str">
        <f aca="false">IF(B910&lt;&gt;"SOLD","",IF(C910="Consignment",N(W910)-R910,N(U910)-R910-N(V910)))</f>
        <v/>
      </c>
      <c r="Y910" s="29" t="str">
        <f aca="false">IF(OR(X910="",N(R910)=0),"",X910/R910)</f>
        <v/>
      </c>
      <c r="Z910" s="30" t="str">
        <f aca="true">IF(O910="","",IF(T910="",TODAY(),T910)-O910)</f>
        <v/>
      </c>
      <c r="AA910" s="31" t="str">
        <f aca="false">IF(T910="","",TEXT(T910,"YYYY-MM"))</f>
        <v/>
      </c>
      <c r="AB910" s="27" t="str">
        <f aca="false">IF(X910="","",X910/2)</f>
        <v/>
      </c>
      <c r="AC910" s="21"/>
    </row>
    <row r="911" customFormat="false" ht="15" hidden="false" customHeight="false" outlineLevel="0" collapsed="false">
      <c r="A911" s="20"/>
      <c r="B911" s="21"/>
      <c r="C911" s="21"/>
      <c r="D911" s="21"/>
      <c r="E911" s="21"/>
      <c r="F911" s="21"/>
      <c r="G911" s="22"/>
      <c r="H911" s="21"/>
      <c r="I911" s="21"/>
      <c r="J911" s="21"/>
      <c r="K911" s="23"/>
      <c r="L911" s="24"/>
      <c r="M911" s="21"/>
      <c r="N911" s="21"/>
      <c r="O911" s="25"/>
      <c r="P911" s="26"/>
      <c r="Q911" s="27" t="str">
        <f aca="false">IF(A911="","",SUMIF(Expenses!$B$2:$B$3000,A911,Expenses!$E$2:$E$3000))</f>
        <v/>
      </c>
      <c r="R911" s="27" t="str">
        <f aca="false">IF(A911="","",N(P911)+N(Q911))</f>
        <v/>
      </c>
      <c r="S911" s="28"/>
      <c r="T911" s="25"/>
      <c r="U911" s="26"/>
      <c r="V911" s="26"/>
      <c r="W911" s="26"/>
      <c r="X911" s="27" t="str">
        <f aca="false">IF(B911&lt;&gt;"SOLD","",IF(C911="Consignment",N(W911)-R911,N(U911)-R911-N(V911)))</f>
        <v/>
      </c>
      <c r="Y911" s="29" t="str">
        <f aca="false">IF(OR(X911="",N(R911)=0),"",X911/R911)</f>
        <v/>
      </c>
      <c r="Z911" s="30" t="str">
        <f aca="true">IF(O911="","",IF(T911="",TODAY(),T911)-O911)</f>
        <v/>
      </c>
      <c r="AA911" s="31" t="str">
        <f aca="false">IF(T911="","",TEXT(T911,"YYYY-MM"))</f>
        <v/>
      </c>
      <c r="AB911" s="27" t="str">
        <f aca="false">IF(X911="","",X911/2)</f>
        <v/>
      </c>
      <c r="AC911" s="21"/>
    </row>
    <row r="912" customFormat="false" ht="15" hidden="false" customHeight="false" outlineLevel="0" collapsed="false">
      <c r="A912" s="20"/>
      <c r="B912" s="21"/>
      <c r="C912" s="21"/>
      <c r="D912" s="21"/>
      <c r="E912" s="21"/>
      <c r="F912" s="21"/>
      <c r="G912" s="22"/>
      <c r="H912" s="21"/>
      <c r="I912" s="21"/>
      <c r="J912" s="21"/>
      <c r="K912" s="23"/>
      <c r="L912" s="24"/>
      <c r="M912" s="21"/>
      <c r="N912" s="21"/>
      <c r="O912" s="25"/>
      <c r="P912" s="26"/>
      <c r="Q912" s="27" t="str">
        <f aca="false">IF(A912="","",SUMIF(Expenses!$B$2:$B$3000,A912,Expenses!$E$2:$E$3000))</f>
        <v/>
      </c>
      <c r="R912" s="27" t="str">
        <f aca="false">IF(A912="","",N(P912)+N(Q912))</f>
        <v/>
      </c>
      <c r="S912" s="28"/>
      <c r="T912" s="25"/>
      <c r="U912" s="26"/>
      <c r="V912" s="26"/>
      <c r="W912" s="26"/>
      <c r="X912" s="27" t="str">
        <f aca="false">IF(B912&lt;&gt;"SOLD","",IF(C912="Consignment",N(W912)-R912,N(U912)-R912-N(V912)))</f>
        <v/>
      </c>
      <c r="Y912" s="29" t="str">
        <f aca="false">IF(OR(X912="",N(R912)=0),"",X912/R912)</f>
        <v/>
      </c>
      <c r="Z912" s="30" t="str">
        <f aca="true">IF(O912="","",IF(T912="",TODAY(),T912)-O912)</f>
        <v/>
      </c>
      <c r="AA912" s="31" t="str">
        <f aca="false">IF(T912="","",TEXT(T912,"YYYY-MM"))</f>
        <v/>
      </c>
      <c r="AB912" s="27" t="str">
        <f aca="false">IF(X912="","",X912/2)</f>
        <v/>
      </c>
      <c r="AC912" s="21"/>
    </row>
    <row r="913" customFormat="false" ht="15" hidden="false" customHeight="false" outlineLevel="0" collapsed="false">
      <c r="A913" s="20"/>
      <c r="B913" s="21"/>
      <c r="C913" s="21"/>
      <c r="D913" s="21"/>
      <c r="E913" s="21"/>
      <c r="F913" s="21"/>
      <c r="G913" s="22"/>
      <c r="H913" s="21"/>
      <c r="I913" s="21"/>
      <c r="J913" s="21"/>
      <c r="K913" s="23"/>
      <c r="L913" s="24"/>
      <c r="M913" s="21"/>
      <c r="N913" s="21"/>
      <c r="O913" s="25"/>
      <c r="P913" s="26"/>
      <c r="Q913" s="27" t="str">
        <f aca="false">IF(A913="","",SUMIF(Expenses!$B$2:$B$3000,A913,Expenses!$E$2:$E$3000))</f>
        <v/>
      </c>
      <c r="R913" s="27" t="str">
        <f aca="false">IF(A913="","",N(P913)+N(Q913))</f>
        <v/>
      </c>
      <c r="S913" s="28"/>
      <c r="T913" s="25"/>
      <c r="U913" s="26"/>
      <c r="V913" s="26"/>
      <c r="W913" s="26"/>
      <c r="X913" s="27" t="str">
        <f aca="false">IF(B913&lt;&gt;"SOLD","",IF(C913="Consignment",N(W913)-R913,N(U913)-R913-N(V913)))</f>
        <v/>
      </c>
      <c r="Y913" s="29" t="str">
        <f aca="false">IF(OR(X913="",N(R913)=0),"",X913/R913)</f>
        <v/>
      </c>
      <c r="Z913" s="30" t="str">
        <f aca="true">IF(O913="","",IF(T913="",TODAY(),T913)-O913)</f>
        <v/>
      </c>
      <c r="AA913" s="31" t="str">
        <f aca="false">IF(T913="","",TEXT(T913,"YYYY-MM"))</f>
        <v/>
      </c>
      <c r="AB913" s="27" t="str">
        <f aca="false">IF(X913="","",X913/2)</f>
        <v/>
      </c>
      <c r="AC913" s="21"/>
    </row>
    <row r="914" customFormat="false" ht="15" hidden="false" customHeight="false" outlineLevel="0" collapsed="false">
      <c r="A914" s="20"/>
      <c r="B914" s="21"/>
      <c r="C914" s="21"/>
      <c r="D914" s="21"/>
      <c r="E914" s="21"/>
      <c r="F914" s="21"/>
      <c r="G914" s="22"/>
      <c r="H914" s="21"/>
      <c r="I914" s="21"/>
      <c r="J914" s="21"/>
      <c r="K914" s="23"/>
      <c r="L914" s="24"/>
      <c r="M914" s="21"/>
      <c r="N914" s="21"/>
      <c r="O914" s="25"/>
      <c r="P914" s="26"/>
      <c r="Q914" s="27" t="str">
        <f aca="false">IF(A914="","",SUMIF(Expenses!$B$2:$B$3000,A914,Expenses!$E$2:$E$3000))</f>
        <v/>
      </c>
      <c r="R914" s="27" t="str">
        <f aca="false">IF(A914="","",N(P914)+N(Q914))</f>
        <v/>
      </c>
      <c r="S914" s="28"/>
      <c r="T914" s="25"/>
      <c r="U914" s="26"/>
      <c r="V914" s="26"/>
      <c r="W914" s="26"/>
      <c r="X914" s="27" t="str">
        <f aca="false">IF(B914&lt;&gt;"SOLD","",IF(C914="Consignment",N(W914)-R914,N(U914)-R914-N(V914)))</f>
        <v/>
      </c>
      <c r="Y914" s="29" t="str">
        <f aca="false">IF(OR(X914="",N(R914)=0),"",X914/R914)</f>
        <v/>
      </c>
      <c r="Z914" s="30" t="str">
        <f aca="true">IF(O914="","",IF(T914="",TODAY(),T914)-O914)</f>
        <v/>
      </c>
      <c r="AA914" s="31" t="str">
        <f aca="false">IF(T914="","",TEXT(T914,"YYYY-MM"))</f>
        <v/>
      </c>
      <c r="AB914" s="27" t="str">
        <f aca="false">IF(X914="","",X914/2)</f>
        <v/>
      </c>
      <c r="AC914" s="21"/>
    </row>
    <row r="915" customFormat="false" ht="15" hidden="false" customHeight="false" outlineLevel="0" collapsed="false">
      <c r="A915" s="20"/>
      <c r="B915" s="21"/>
      <c r="C915" s="21"/>
      <c r="D915" s="21"/>
      <c r="E915" s="21"/>
      <c r="F915" s="21"/>
      <c r="G915" s="22"/>
      <c r="H915" s="21"/>
      <c r="I915" s="21"/>
      <c r="J915" s="21"/>
      <c r="K915" s="23"/>
      <c r="L915" s="24"/>
      <c r="M915" s="21"/>
      <c r="N915" s="21"/>
      <c r="O915" s="25"/>
      <c r="P915" s="26"/>
      <c r="Q915" s="27" t="str">
        <f aca="false">IF(A915="","",SUMIF(Expenses!$B$2:$B$3000,A915,Expenses!$E$2:$E$3000))</f>
        <v/>
      </c>
      <c r="R915" s="27" t="str">
        <f aca="false">IF(A915="","",N(P915)+N(Q915))</f>
        <v/>
      </c>
      <c r="S915" s="28"/>
      <c r="T915" s="25"/>
      <c r="U915" s="26"/>
      <c r="V915" s="26"/>
      <c r="W915" s="26"/>
      <c r="X915" s="27" t="str">
        <f aca="false">IF(B915&lt;&gt;"SOLD","",IF(C915="Consignment",N(W915)-R915,N(U915)-R915-N(V915)))</f>
        <v/>
      </c>
      <c r="Y915" s="29" t="str">
        <f aca="false">IF(OR(X915="",N(R915)=0),"",X915/R915)</f>
        <v/>
      </c>
      <c r="Z915" s="30" t="str">
        <f aca="true">IF(O915="","",IF(T915="",TODAY(),T915)-O915)</f>
        <v/>
      </c>
      <c r="AA915" s="31" t="str">
        <f aca="false">IF(T915="","",TEXT(T915,"YYYY-MM"))</f>
        <v/>
      </c>
      <c r="AB915" s="27" t="str">
        <f aca="false">IF(X915="","",X915/2)</f>
        <v/>
      </c>
      <c r="AC915" s="21"/>
    </row>
    <row r="916" customFormat="false" ht="15" hidden="false" customHeight="false" outlineLevel="0" collapsed="false">
      <c r="A916" s="20"/>
      <c r="B916" s="21"/>
      <c r="C916" s="21"/>
      <c r="D916" s="21"/>
      <c r="E916" s="21"/>
      <c r="F916" s="21"/>
      <c r="G916" s="22"/>
      <c r="H916" s="21"/>
      <c r="I916" s="21"/>
      <c r="J916" s="21"/>
      <c r="K916" s="23"/>
      <c r="L916" s="24"/>
      <c r="M916" s="21"/>
      <c r="N916" s="21"/>
      <c r="O916" s="25"/>
      <c r="P916" s="26"/>
      <c r="Q916" s="27" t="str">
        <f aca="false">IF(A916="","",SUMIF(Expenses!$B$2:$B$3000,A916,Expenses!$E$2:$E$3000))</f>
        <v/>
      </c>
      <c r="R916" s="27" t="str">
        <f aca="false">IF(A916="","",N(P916)+N(Q916))</f>
        <v/>
      </c>
      <c r="S916" s="28"/>
      <c r="T916" s="25"/>
      <c r="U916" s="26"/>
      <c r="V916" s="26"/>
      <c r="W916" s="26"/>
      <c r="X916" s="27" t="str">
        <f aca="false">IF(B916&lt;&gt;"SOLD","",IF(C916="Consignment",N(W916)-R916,N(U916)-R916-N(V916)))</f>
        <v/>
      </c>
      <c r="Y916" s="29" t="str">
        <f aca="false">IF(OR(X916="",N(R916)=0),"",X916/R916)</f>
        <v/>
      </c>
      <c r="Z916" s="30" t="str">
        <f aca="true">IF(O916="","",IF(T916="",TODAY(),T916)-O916)</f>
        <v/>
      </c>
      <c r="AA916" s="31" t="str">
        <f aca="false">IF(T916="","",TEXT(T916,"YYYY-MM"))</f>
        <v/>
      </c>
      <c r="AB916" s="27" t="str">
        <f aca="false">IF(X916="","",X916/2)</f>
        <v/>
      </c>
      <c r="AC916" s="21"/>
    </row>
    <row r="917" customFormat="false" ht="15" hidden="false" customHeight="false" outlineLevel="0" collapsed="false">
      <c r="A917" s="20"/>
      <c r="B917" s="21"/>
      <c r="C917" s="21"/>
      <c r="D917" s="21"/>
      <c r="E917" s="21"/>
      <c r="F917" s="21"/>
      <c r="G917" s="22"/>
      <c r="H917" s="21"/>
      <c r="I917" s="21"/>
      <c r="J917" s="21"/>
      <c r="K917" s="23"/>
      <c r="L917" s="24"/>
      <c r="M917" s="21"/>
      <c r="N917" s="21"/>
      <c r="O917" s="25"/>
      <c r="P917" s="26"/>
      <c r="Q917" s="27" t="str">
        <f aca="false">IF(A917="","",SUMIF(Expenses!$B$2:$B$3000,A917,Expenses!$E$2:$E$3000))</f>
        <v/>
      </c>
      <c r="R917" s="27" t="str">
        <f aca="false">IF(A917="","",N(P917)+N(Q917))</f>
        <v/>
      </c>
      <c r="S917" s="28"/>
      <c r="T917" s="25"/>
      <c r="U917" s="26"/>
      <c r="V917" s="26"/>
      <c r="W917" s="26"/>
      <c r="X917" s="27" t="str">
        <f aca="false">IF(B917&lt;&gt;"SOLD","",IF(C917="Consignment",N(W917)-R917,N(U917)-R917-N(V917)))</f>
        <v/>
      </c>
      <c r="Y917" s="29" t="str">
        <f aca="false">IF(OR(X917="",N(R917)=0),"",X917/R917)</f>
        <v/>
      </c>
      <c r="Z917" s="30" t="str">
        <f aca="true">IF(O917="","",IF(T917="",TODAY(),T917)-O917)</f>
        <v/>
      </c>
      <c r="AA917" s="31" t="str">
        <f aca="false">IF(T917="","",TEXT(T917,"YYYY-MM"))</f>
        <v/>
      </c>
      <c r="AB917" s="27" t="str">
        <f aca="false">IF(X917="","",X917/2)</f>
        <v/>
      </c>
      <c r="AC917" s="21"/>
    </row>
    <row r="918" customFormat="false" ht="15" hidden="false" customHeight="false" outlineLevel="0" collapsed="false">
      <c r="A918" s="20"/>
      <c r="B918" s="21"/>
      <c r="C918" s="21"/>
      <c r="D918" s="21"/>
      <c r="E918" s="21"/>
      <c r="F918" s="21"/>
      <c r="G918" s="22"/>
      <c r="H918" s="21"/>
      <c r="I918" s="21"/>
      <c r="J918" s="21"/>
      <c r="K918" s="23"/>
      <c r="L918" s="24"/>
      <c r="M918" s="21"/>
      <c r="N918" s="21"/>
      <c r="O918" s="25"/>
      <c r="P918" s="26"/>
      <c r="Q918" s="27" t="str">
        <f aca="false">IF(A918="","",SUMIF(Expenses!$B$2:$B$3000,A918,Expenses!$E$2:$E$3000))</f>
        <v/>
      </c>
      <c r="R918" s="27" t="str">
        <f aca="false">IF(A918="","",N(P918)+N(Q918))</f>
        <v/>
      </c>
      <c r="S918" s="28"/>
      <c r="T918" s="25"/>
      <c r="U918" s="26"/>
      <c r="V918" s="26"/>
      <c r="W918" s="26"/>
      <c r="X918" s="27" t="str">
        <f aca="false">IF(B918&lt;&gt;"SOLD","",IF(C918="Consignment",N(W918)-R918,N(U918)-R918-N(V918)))</f>
        <v/>
      </c>
      <c r="Y918" s="29" t="str">
        <f aca="false">IF(OR(X918="",N(R918)=0),"",X918/R918)</f>
        <v/>
      </c>
      <c r="Z918" s="30" t="str">
        <f aca="true">IF(O918="","",IF(T918="",TODAY(),T918)-O918)</f>
        <v/>
      </c>
      <c r="AA918" s="31" t="str">
        <f aca="false">IF(T918="","",TEXT(T918,"YYYY-MM"))</f>
        <v/>
      </c>
      <c r="AB918" s="27" t="str">
        <f aca="false">IF(X918="","",X918/2)</f>
        <v/>
      </c>
      <c r="AC918" s="21"/>
    </row>
    <row r="919" customFormat="false" ht="15" hidden="false" customHeight="false" outlineLevel="0" collapsed="false">
      <c r="A919" s="20"/>
      <c r="B919" s="21"/>
      <c r="C919" s="21"/>
      <c r="D919" s="21"/>
      <c r="E919" s="21"/>
      <c r="F919" s="21"/>
      <c r="G919" s="22"/>
      <c r="H919" s="21"/>
      <c r="I919" s="21"/>
      <c r="J919" s="21"/>
      <c r="K919" s="23"/>
      <c r="L919" s="24"/>
      <c r="M919" s="21"/>
      <c r="N919" s="21"/>
      <c r="O919" s="25"/>
      <c r="P919" s="26"/>
      <c r="Q919" s="27" t="str">
        <f aca="false">IF(A919="","",SUMIF(Expenses!$B$2:$B$3000,A919,Expenses!$E$2:$E$3000))</f>
        <v/>
      </c>
      <c r="R919" s="27" t="str">
        <f aca="false">IF(A919="","",N(P919)+N(Q919))</f>
        <v/>
      </c>
      <c r="S919" s="28"/>
      <c r="T919" s="25"/>
      <c r="U919" s="26"/>
      <c r="V919" s="26"/>
      <c r="W919" s="26"/>
      <c r="X919" s="27" t="str">
        <f aca="false">IF(B919&lt;&gt;"SOLD","",IF(C919="Consignment",N(W919)-R919,N(U919)-R919-N(V919)))</f>
        <v/>
      </c>
      <c r="Y919" s="29" t="str">
        <f aca="false">IF(OR(X919="",N(R919)=0),"",X919/R919)</f>
        <v/>
      </c>
      <c r="Z919" s="30" t="str">
        <f aca="true">IF(O919="","",IF(T919="",TODAY(),T919)-O919)</f>
        <v/>
      </c>
      <c r="AA919" s="31" t="str">
        <f aca="false">IF(T919="","",TEXT(T919,"YYYY-MM"))</f>
        <v/>
      </c>
      <c r="AB919" s="27" t="str">
        <f aca="false">IF(X919="","",X919/2)</f>
        <v/>
      </c>
      <c r="AC919" s="21"/>
    </row>
    <row r="920" customFormat="false" ht="15" hidden="false" customHeight="false" outlineLevel="0" collapsed="false">
      <c r="A920" s="20"/>
      <c r="B920" s="21"/>
      <c r="C920" s="21"/>
      <c r="D920" s="21"/>
      <c r="E920" s="21"/>
      <c r="F920" s="21"/>
      <c r="G920" s="22"/>
      <c r="H920" s="21"/>
      <c r="I920" s="21"/>
      <c r="J920" s="21"/>
      <c r="K920" s="23"/>
      <c r="L920" s="24"/>
      <c r="M920" s="21"/>
      <c r="N920" s="21"/>
      <c r="O920" s="25"/>
      <c r="P920" s="26"/>
      <c r="Q920" s="27" t="str">
        <f aca="false">IF(A920="","",SUMIF(Expenses!$B$2:$B$3000,A920,Expenses!$E$2:$E$3000))</f>
        <v/>
      </c>
      <c r="R920" s="27" t="str">
        <f aca="false">IF(A920="","",N(P920)+N(Q920))</f>
        <v/>
      </c>
      <c r="S920" s="28"/>
      <c r="T920" s="25"/>
      <c r="U920" s="26"/>
      <c r="V920" s="26"/>
      <c r="W920" s="26"/>
      <c r="X920" s="27" t="str">
        <f aca="false">IF(B920&lt;&gt;"SOLD","",IF(C920="Consignment",N(W920)-R920,N(U920)-R920-N(V920)))</f>
        <v/>
      </c>
      <c r="Y920" s="29" t="str">
        <f aca="false">IF(OR(X920="",N(R920)=0),"",X920/R920)</f>
        <v/>
      </c>
      <c r="Z920" s="30" t="str">
        <f aca="true">IF(O920="","",IF(T920="",TODAY(),T920)-O920)</f>
        <v/>
      </c>
      <c r="AA920" s="31" t="str">
        <f aca="false">IF(T920="","",TEXT(T920,"YYYY-MM"))</f>
        <v/>
      </c>
      <c r="AB920" s="27" t="str">
        <f aca="false">IF(X920="","",X920/2)</f>
        <v/>
      </c>
      <c r="AC920" s="21"/>
    </row>
    <row r="921" customFormat="false" ht="15" hidden="false" customHeight="false" outlineLevel="0" collapsed="false">
      <c r="A921" s="20"/>
      <c r="B921" s="21"/>
      <c r="C921" s="21"/>
      <c r="D921" s="21"/>
      <c r="E921" s="21"/>
      <c r="F921" s="21"/>
      <c r="G921" s="22"/>
      <c r="H921" s="21"/>
      <c r="I921" s="21"/>
      <c r="J921" s="21"/>
      <c r="K921" s="23"/>
      <c r="L921" s="24"/>
      <c r="M921" s="21"/>
      <c r="N921" s="21"/>
      <c r="O921" s="25"/>
      <c r="P921" s="26"/>
      <c r="Q921" s="27" t="str">
        <f aca="false">IF(A921="","",SUMIF(Expenses!$B$2:$B$3000,A921,Expenses!$E$2:$E$3000))</f>
        <v/>
      </c>
      <c r="R921" s="27" t="str">
        <f aca="false">IF(A921="","",N(P921)+N(Q921))</f>
        <v/>
      </c>
      <c r="S921" s="28"/>
      <c r="T921" s="25"/>
      <c r="U921" s="26"/>
      <c r="V921" s="26"/>
      <c r="W921" s="26"/>
      <c r="X921" s="27" t="str">
        <f aca="false">IF(B921&lt;&gt;"SOLD","",IF(C921="Consignment",N(W921)-R921,N(U921)-R921-N(V921)))</f>
        <v/>
      </c>
      <c r="Y921" s="29" t="str">
        <f aca="false">IF(OR(X921="",N(R921)=0),"",X921/R921)</f>
        <v/>
      </c>
      <c r="Z921" s="30" t="str">
        <f aca="true">IF(O921="","",IF(T921="",TODAY(),T921)-O921)</f>
        <v/>
      </c>
      <c r="AA921" s="31" t="str">
        <f aca="false">IF(T921="","",TEXT(T921,"YYYY-MM"))</f>
        <v/>
      </c>
      <c r="AB921" s="27" t="str">
        <f aca="false">IF(X921="","",X921/2)</f>
        <v/>
      </c>
      <c r="AC921" s="21"/>
    </row>
    <row r="922" customFormat="false" ht="15" hidden="false" customHeight="false" outlineLevel="0" collapsed="false">
      <c r="A922" s="20"/>
      <c r="B922" s="21"/>
      <c r="C922" s="21"/>
      <c r="D922" s="21"/>
      <c r="E922" s="21"/>
      <c r="F922" s="21"/>
      <c r="G922" s="22"/>
      <c r="H922" s="21"/>
      <c r="I922" s="21"/>
      <c r="J922" s="21"/>
      <c r="K922" s="23"/>
      <c r="L922" s="24"/>
      <c r="M922" s="21"/>
      <c r="N922" s="21"/>
      <c r="O922" s="25"/>
      <c r="P922" s="26"/>
      <c r="Q922" s="27" t="str">
        <f aca="false">IF(A922="","",SUMIF(Expenses!$B$2:$B$3000,A922,Expenses!$E$2:$E$3000))</f>
        <v/>
      </c>
      <c r="R922" s="27" t="str">
        <f aca="false">IF(A922="","",N(P922)+N(Q922))</f>
        <v/>
      </c>
      <c r="S922" s="28"/>
      <c r="T922" s="25"/>
      <c r="U922" s="26"/>
      <c r="V922" s="26"/>
      <c r="W922" s="26"/>
      <c r="X922" s="27" t="str">
        <f aca="false">IF(B922&lt;&gt;"SOLD","",IF(C922="Consignment",N(W922)-R922,N(U922)-R922-N(V922)))</f>
        <v/>
      </c>
      <c r="Y922" s="29" t="str">
        <f aca="false">IF(OR(X922="",N(R922)=0),"",X922/R922)</f>
        <v/>
      </c>
      <c r="Z922" s="30" t="str">
        <f aca="true">IF(O922="","",IF(T922="",TODAY(),T922)-O922)</f>
        <v/>
      </c>
      <c r="AA922" s="31" t="str">
        <f aca="false">IF(T922="","",TEXT(T922,"YYYY-MM"))</f>
        <v/>
      </c>
      <c r="AB922" s="27" t="str">
        <f aca="false">IF(X922="","",X922/2)</f>
        <v/>
      </c>
      <c r="AC922" s="21"/>
    </row>
    <row r="923" customFormat="false" ht="15" hidden="false" customHeight="false" outlineLevel="0" collapsed="false">
      <c r="A923" s="20"/>
      <c r="B923" s="21"/>
      <c r="C923" s="21"/>
      <c r="D923" s="21"/>
      <c r="E923" s="21"/>
      <c r="F923" s="21"/>
      <c r="G923" s="22"/>
      <c r="H923" s="21"/>
      <c r="I923" s="21"/>
      <c r="J923" s="21"/>
      <c r="K923" s="23"/>
      <c r="L923" s="24"/>
      <c r="M923" s="21"/>
      <c r="N923" s="21"/>
      <c r="O923" s="25"/>
      <c r="P923" s="26"/>
      <c r="Q923" s="27" t="str">
        <f aca="false">IF(A923="","",SUMIF(Expenses!$B$2:$B$3000,A923,Expenses!$E$2:$E$3000))</f>
        <v/>
      </c>
      <c r="R923" s="27" t="str">
        <f aca="false">IF(A923="","",N(P923)+N(Q923))</f>
        <v/>
      </c>
      <c r="S923" s="28"/>
      <c r="T923" s="25"/>
      <c r="U923" s="26"/>
      <c r="V923" s="26"/>
      <c r="W923" s="26"/>
      <c r="X923" s="27" t="str">
        <f aca="false">IF(B923&lt;&gt;"SOLD","",IF(C923="Consignment",N(W923)-R923,N(U923)-R923-N(V923)))</f>
        <v/>
      </c>
      <c r="Y923" s="29" t="str">
        <f aca="false">IF(OR(X923="",N(R923)=0),"",X923/R923)</f>
        <v/>
      </c>
      <c r="Z923" s="30" t="str">
        <f aca="true">IF(O923="","",IF(T923="",TODAY(),T923)-O923)</f>
        <v/>
      </c>
      <c r="AA923" s="31" t="str">
        <f aca="false">IF(T923="","",TEXT(T923,"YYYY-MM"))</f>
        <v/>
      </c>
      <c r="AB923" s="27" t="str">
        <f aca="false">IF(X923="","",X923/2)</f>
        <v/>
      </c>
      <c r="AC923" s="21"/>
    </row>
    <row r="924" customFormat="false" ht="15" hidden="false" customHeight="false" outlineLevel="0" collapsed="false">
      <c r="A924" s="20"/>
      <c r="B924" s="21"/>
      <c r="C924" s="21"/>
      <c r="D924" s="21"/>
      <c r="E924" s="21"/>
      <c r="F924" s="21"/>
      <c r="G924" s="22"/>
      <c r="H924" s="21"/>
      <c r="I924" s="21"/>
      <c r="J924" s="21"/>
      <c r="K924" s="23"/>
      <c r="L924" s="24"/>
      <c r="M924" s="21"/>
      <c r="N924" s="21"/>
      <c r="O924" s="25"/>
      <c r="P924" s="26"/>
      <c r="Q924" s="27" t="str">
        <f aca="false">IF(A924="","",SUMIF(Expenses!$B$2:$B$3000,A924,Expenses!$E$2:$E$3000))</f>
        <v/>
      </c>
      <c r="R924" s="27" t="str">
        <f aca="false">IF(A924="","",N(P924)+N(Q924))</f>
        <v/>
      </c>
      <c r="S924" s="28"/>
      <c r="T924" s="25"/>
      <c r="U924" s="26"/>
      <c r="V924" s="26"/>
      <c r="W924" s="26"/>
      <c r="X924" s="27" t="str">
        <f aca="false">IF(B924&lt;&gt;"SOLD","",IF(C924="Consignment",N(W924)-R924,N(U924)-R924-N(V924)))</f>
        <v/>
      </c>
      <c r="Y924" s="29" t="str">
        <f aca="false">IF(OR(X924="",N(R924)=0),"",X924/R924)</f>
        <v/>
      </c>
      <c r="Z924" s="30" t="str">
        <f aca="true">IF(O924="","",IF(T924="",TODAY(),T924)-O924)</f>
        <v/>
      </c>
      <c r="AA924" s="31" t="str">
        <f aca="false">IF(T924="","",TEXT(T924,"YYYY-MM"))</f>
        <v/>
      </c>
      <c r="AB924" s="27" t="str">
        <f aca="false">IF(X924="","",X924/2)</f>
        <v/>
      </c>
      <c r="AC924" s="21"/>
    </row>
    <row r="925" customFormat="false" ht="15" hidden="false" customHeight="false" outlineLevel="0" collapsed="false">
      <c r="A925" s="20"/>
      <c r="B925" s="21"/>
      <c r="C925" s="21"/>
      <c r="D925" s="21"/>
      <c r="E925" s="21"/>
      <c r="F925" s="21"/>
      <c r="G925" s="22"/>
      <c r="H925" s="21"/>
      <c r="I925" s="21"/>
      <c r="J925" s="21"/>
      <c r="K925" s="23"/>
      <c r="L925" s="24"/>
      <c r="M925" s="21"/>
      <c r="N925" s="21"/>
      <c r="O925" s="25"/>
      <c r="P925" s="26"/>
      <c r="Q925" s="27" t="str">
        <f aca="false">IF(A925="","",SUMIF(Expenses!$B$2:$B$3000,A925,Expenses!$E$2:$E$3000))</f>
        <v/>
      </c>
      <c r="R925" s="27" t="str">
        <f aca="false">IF(A925="","",N(P925)+N(Q925))</f>
        <v/>
      </c>
      <c r="S925" s="28"/>
      <c r="T925" s="25"/>
      <c r="U925" s="26"/>
      <c r="V925" s="26"/>
      <c r="W925" s="26"/>
      <c r="X925" s="27" t="str">
        <f aca="false">IF(B925&lt;&gt;"SOLD","",IF(C925="Consignment",N(W925)-R925,N(U925)-R925-N(V925)))</f>
        <v/>
      </c>
      <c r="Y925" s="29" t="str">
        <f aca="false">IF(OR(X925="",N(R925)=0),"",X925/R925)</f>
        <v/>
      </c>
      <c r="Z925" s="30" t="str">
        <f aca="true">IF(O925="","",IF(T925="",TODAY(),T925)-O925)</f>
        <v/>
      </c>
      <c r="AA925" s="31" t="str">
        <f aca="false">IF(T925="","",TEXT(T925,"YYYY-MM"))</f>
        <v/>
      </c>
      <c r="AB925" s="27" t="str">
        <f aca="false">IF(X925="","",X925/2)</f>
        <v/>
      </c>
      <c r="AC925" s="21"/>
    </row>
    <row r="926" customFormat="false" ht="15" hidden="false" customHeight="false" outlineLevel="0" collapsed="false">
      <c r="A926" s="20"/>
      <c r="B926" s="21"/>
      <c r="C926" s="21"/>
      <c r="D926" s="21"/>
      <c r="E926" s="21"/>
      <c r="F926" s="21"/>
      <c r="G926" s="22"/>
      <c r="H926" s="21"/>
      <c r="I926" s="21"/>
      <c r="J926" s="21"/>
      <c r="K926" s="23"/>
      <c r="L926" s="24"/>
      <c r="M926" s="21"/>
      <c r="N926" s="21"/>
      <c r="O926" s="25"/>
      <c r="P926" s="26"/>
      <c r="Q926" s="27" t="str">
        <f aca="false">IF(A926="","",SUMIF(Expenses!$B$2:$B$3000,A926,Expenses!$E$2:$E$3000))</f>
        <v/>
      </c>
      <c r="R926" s="27" t="str">
        <f aca="false">IF(A926="","",N(P926)+N(Q926))</f>
        <v/>
      </c>
      <c r="S926" s="28"/>
      <c r="T926" s="25"/>
      <c r="U926" s="26"/>
      <c r="V926" s="26"/>
      <c r="W926" s="26"/>
      <c r="X926" s="27" t="str">
        <f aca="false">IF(B926&lt;&gt;"SOLD","",IF(C926="Consignment",N(W926)-R926,N(U926)-R926-N(V926)))</f>
        <v/>
      </c>
      <c r="Y926" s="29" t="str">
        <f aca="false">IF(OR(X926="",N(R926)=0),"",X926/R926)</f>
        <v/>
      </c>
      <c r="Z926" s="30" t="str">
        <f aca="true">IF(O926="","",IF(T926="",TODAY(),T926)-O926)</f>
        <v/>
      </c>
      <c r="AA926" s="31" t="str">
        <f aca="false">IF(T926="","",TEXT(T926,"YYYY-MM"))</f>
        <v/>
      </c>
      <c r="AB926" s="27" t="str">
        <f aca="false">IF(X926="","",X926/2)</f>
        <v/>
      </c>
      <c r="AC926" s="21"/>
    </row>
    <row r="927" customFormat="false" ht="15" hidden="false" customHeight="false" outlineLevel="0" collapsed="false">
      <c r="A927" s="20"/>
      <c r="B927" s="21"/>
      <c r="C927" s="21"/>
      <c r="D927" s="21"/>
      <c r="E927" s="21"/>
      <c r="F927" s="21"/>
      <c r="G927" s="22"/>
      <c r="H927" s="21"/>
      <c r="I927" s="21"/>
      <c r="J927" s="21"/>
      <c r="K927" s="23"/>
      <c r="L927" s="24"/>
      <c r="M927" s="21"/>
      <c r="N927" s="21"/>
      <c r="O927" s="25"/>
      <c r="P927" s="26"/>
      <c r="Q927" s="27" t="str">
        <f aca="false">IF(A927="","",SUMIF(Expenses!$B$2:$B$3000,A927,Expenses!$E$2:$E$3000))</f>
        <v/>
      </c>
      <c r="R927" s="27" t="str">
        <f aca="false">IF(A927="","",N(P927)+N(Q927))</f>
        <v/>
      </c>
      <c r="S927" s="28"/>
      <c r="T927" s="25"/>
      <c r="U927" s="26"/>
      <c r="V927" s="26"/>
      <c r="W927" s="26"/>
      <c r="X927" s="27" t="str">
        <f aca="false">IF(B927&lt;&gt;"SOLD","",IF(C927="Consignment",N(W927)-R927,N(U927)-R927-N(V927)))</f>
        <v/>
      </c>
      <c r="Y927" s="29" t="str">
        <f aca="false">IF(OR(X927="",N(R927)=0),"",X927/R927)</f>
        <v/>
      </c>
      <c r="Z927" s="30" t="str">
        <f aca="true">IF(O927="","",IF(T927="",TODAY(),T927)-O927)</f>
        <v/>
      </c>
      <c r="AA927" s="31" t="str">
        <f aca="false">IF(T927="","",TEXT(T927,"YYYY-MM"))</f>
        <v/>
      </c>
      <c r="AB927" s="27" t="str">
        <f aca="false">IF(X927="","",X927/2)</f>
        <v/>
      </c>
      <c r="AC927" s="21"/>
    </row>
    <row r="928" customFormat="false" ht="15" hidden="false" customHeight="false" outlineLevel="0" collapsed="false">
      <c r="A928" s="20"/>
      <c r="B928" s="21"/>
      <c r="C928" s="21"/>
      <c r="D928" s="21"/>
      <c r="E928" s="21"/>
      <c r="F928" s="21"/>
      <c r="G928" s="22"/>
      <c r="H928" s="21"/>
      <c r="I928" s="21"/>
      <c r="J928" s="21"/>
      <c r="K928" s="23"/>
      <c r="L928" s="24"/>
      <c r="M928" s="21"/>
      <c r="N928" s="21"/>
      <c r="O928" s="25"/>
      <c r="P928" s="26"/>
      <c r="Q928" s="27" t="str">
        <f aca="false">IF(A928="","",SUMIF(Expenses!$B$2:$B$3000,A928,Expenses!$E$2:$E$3000))</f>
        <v/>
      </c>
      <c r="R928" s="27" t="str">
        <f aca="false">IF(A928="","",N(P928)+N(Q928))</f>
        <v/>
      </c>
      <c r="S928" s="28"/>
      <c r="T928" s="25"/>
      <c r="U928" s="26"/>
      <c r="V928" s="26"/>
      <c r="W928" s="26"/>
      <c r="X928" s="27" t="str">
        <f aca="false">IF(B928&lt;&gt;"SOLD","",IF(C928="Consignment",N(W928)-R928,N(U928)-R928-N(V928)))</f>
        <v/>
      </c>
      <c r="Y928" s="29" t="str">
        <f aca="false">IF(OR(X928="",N(R928)=0),"",X928/R928)</f>
        <v/>
      </c>
      <c r="Z928" s="30" t="str">
        <f aca="true">IF(O928="","",IF(T928="",TODAY(),T928)-O928)</f>
        <v/>
      </c>
      <c r="AA928" s="31" t="str">
        <f aca="false">IF(T928="","",TEXT(T928,"YYYY-MM"))</f>
        <v/>
      </c>
      <c r="AB928" s="27" t="str">
        <f aca="false">IF(X928="","",X928/2)</f>
        <v/>
      </c>
      <c r="AC928" s="21"/>
    </row>
    <row r="929" customFormat="false" ht="15" hidden="false" customHeight="false" outlineLevel="0" collapsed="false">
      <c r="A929" s="20"/>
      <c r="B929" s="21"/>
      <c r="C929" s="21"/>
      <c r="D929" s="21"/>
      <c r="E929" s="21"/>
      <c r="F929" s="21"/>
      <c r="G929" s="22"/>
      <c r="H929" s="21"/>
      <c r="I929" s="21"/>
      <c r="J929" s="21"/>
      <c r="K929" s="23"/>
      <c r="L929" s="24"/>
      <c r="M929" s="21"/>
      <c r="N929" s="21"/>
      <c r="O929" s="25"/>
      <c r="P929" s="26"/>
      <c r="Q929" s="27" t="str">
        <f aca="false">IF(A929="","",SUMIF(Expenses!$B$2:$B$3000,A929,Expenses!$E$2:$E$3000))</f>
        <v/>
      </c>
      <c r="R929" s="27" t="str">
        <f aca="false">IF(A929="","",N(P929)+N(Q929))</f>
        <v/>
      </c>
      <c r="S929" s="28"/>
      <c r="T929" s="25"/>
      <c r="U929" s="26"/>
      <c r="V929" s="26"/>
      <c r="W929" s="26"/>
      <c r="X929" s="27" t="str">
        <f aca="false">IF(B929&lt;&gt;"SOLD","",IF(C929="Consignment",N(W929)-R929,N(U929)-R929-N(V929)))</f>
        <v/>
      </c>
      <c r="Y929" s="29" t="str">
        <f aca="false">IF(OR(X929="",N(R929)=0),"",X929/R929)</f>
        <v/>
      </c>
      <c r="Z929" s="30" t="str">
        <f aca="true">IF(O929="","",IF(T929="",TODAY(),T929)-O929)</f>
        <v/>
      </c>
      <c r="AA929" s="31" t="str">
        <f aca="false">IF(T929="","",TEXT(T929,"YYYY-MM"))</f>
        <v/>
      </c>
      <c r="AB929" s="27" t="str">
        <f aca="false">IF(X929="","",X929/2)</f>
        <v/>
      </c>
      <c r="AC929" s="21"/>
    </row>
    <row r="930" customFormat="false" ht="15" hidden="false" customHeight="false" outlineLevel="0" collapsed="false">
      <c r="A930" s="20"/>
      <c r="B930" s="21"/>
      <c r="C930" s="21"/>
      <c r="D930" s="21"/>
      <c r="E930" s="21"/>
      <c r="F930" s="21"/>
      <c r="G930" s="22"/>
      <c r="H930" s="21"/>
      <c r="I930" s="21"/>
      <c r="J930" s="21"/>
      <c r="K930" s="23"/>
      <c r="L930" s="24"/>
      <c r="M930" s="21"/>
      <c r="N930" s="21"/>
      <c r="O930" s="25"/>
      <c r="P930" s="26"/>
      <c r="Q930" s="27" t="str">
        <f aca="false">IF(A930="","",SUMIF(Expenses!$B$2:$B$3000,A930,Expenses!$E$2:$E$3000))</f>
        <v/>
      </c>
      <c r="R930" s="27" t="str">
        <f aca="false">IF(A930="","",N(P930)+N(Q930))</f>
        <v/>
      </c>
      <c r="S930" s="28"/>
      <c r="T930" s="25"/>
      <c r="U930" s="26"/>
      <c r="V930" s="26"/>
      <c r="W930" s="26"/>
      <c r="X930" s="27" t="str">
        <f aca="false">IF(B930&lt;&gt;"SOLD","",IF(C930="Consignment",N(W930)-R930,N(U930)-R930-N(V930)))</f>
        <v/>
      </c>
      <c r="Y930" s="29" t="str">
        <f aca="false">IF(OR(X930="",N(R930)=0),"",X930/R930)</f>
        <v/>
      </c>
      <c r="Z930" s="30" t="str">
        <f aca="true">IF(O930="","",IF(T930="",TODAY(),T930)-O930)</f>
        <v/>
      </c>
      <c r="AA930" s="31" t="str">
        <f aca="false">IF(T930="","",TEXT(T930,"YYYY-MM"))</f>
        <v/>
      </c>
      <c r="AB930" s="27" t="str">
        <f aca="false">IF(X930="","",X930/2)</f>
        <v/>
      </c>
      <c r="AC930" s="21"/>
    </row>
    <row r="931" customFormat="false" ht="15" hidden="false" customHeight="false" outlineLevel="0" collapsed="false">
      <c r="A931" s="20"/>
      <c r="B931" s="21"/>
      <c r="C931" s="21"/>
      <c r="D931" s="21"/>
      <c r="E931" s="21"/>
      <c r="F931" s="21"/>
      <c r="G931" s="22"/>
      <c r="H931" s="21"/>
      <c r="I931" s="21"/>
      <c r="J931" s="21"/>
      <c r="K931" s="23"/>
      <c r="L931" s="24"/>
      <c r="M931" s="21"/>
      <c r="N931" s="21"/>
      <c r="O931" s="25"/>
      <c r="P931" s="26"/>
      <c r="Q931" s="27" t="str">
        <f aca="false">IF(A931="","",SUMIF(Expenses!$B$2:$B$3000,A931,Expenses!$E$2:$E$3000))</f>
        <v/>
      </c>
      <c r="R931" s="27" t="str">
        <f aca="false">IF(A931="","",N(P931)+N(Q931))</f>
        <v/>
      </c>
      <c r="S931" s="28"/>
      <c r="T931" s="25"/>
      <c r="U931" s="26"/>
      <c r="V931" s="26"/>
      <c r="W931" s="26"/>
      <c r="X931" s="27" t="str">
        <f aca="false">IF(B931&lt;&gt;"SOLD","",IF(C931="Consignment",N(W931)-R931,N(U931)-R931-N(V931)))</f>
        <v/>
      </c>
      <c r="Y931" s="29" t="str">
        <f aca="false">IF(OR(X931="",N(R931)=0),"",X931/R931)</f>
        <v/>
      </c>
      <c r="Z931" s="30" t="str">
        <f aca="true">IF(O931="","",IF(T931="",TODAY(),T931)-O931)</f>
        <v/>
      </c>
      <c r="AA931" s="31" t="str">
        <f aca="false">IF(T931="","",TEXT(T931,"YYYY-MM"))</f>
        <v/>
      </c>
      <c r="AB931" s="27" t="str">
        <f aca="false">IF(X931="","",X931/2)</f>
        <v/>
      </c>
      <c r="AC931" s="21"/>
    </row>
    <row r="932" customFormat="false" ht="15" hidden="false" customHeight="false" outlineLevel="0" collapsed="false">
      <c r="A932" s="20"/>
      <c r="B932" s="21"/>
      <c r="C932" s="21"/>
      <c r="D932" s="21"/>
      <c r="E932" s="21"/>
      <c r="F932" s="21"/>
      <c r="G932" s="22"/>
      <c r="H932" s="21"/>
      <c r="I932" s="21"/>
      <c r="J932" s="21"/>
      <c r="K932" s="23"/>
      <c r="L932" s="24"/>
      <c r="M932" s="21"/>
      <c r="N932" s="21"/>
      <c r="O932" s="25"/>
      <c r="P932" s="26"/>
      <c r="Q932" s="27" t="str">
        <f aca="false">IF(A932="","",SUMIF(Expenses!$B$2:$B$3000,A932,Expenses!$E$2:$E$3000))</f>
        <v/>
      </c>
      <c r="R932" s="27" t="str">
        <f aca="false">IF(A932="","",N(P932)+N(Q932))</f>
        <v/>
      </c>
      <c r="S932" s="28"/>
      <c r="T932" s="25"/>
      <c r="U932" s="26"/>
      <c r="V932" s="26"/>
      <c r="W932" s="26"/>
      <c r="X932" s="27" t="str">
        <f aca="false">IF(B932&lt;&gt;"SOLD","",IF(C932="Consignment",N(W932)-R932,N(U932)-R932-N(V932)))</f>
        <v/>
      </c>
      <c r="Y932" s="29" t="str">
        <f aca="false">IF(OR(X932="",N(R932)=0),"",X932/R932)</f>
        <v/>
      </c>
      <c r="Z932" s="30" t="str">
        <f aca="true">IF(O932="","",IF(T932="",TODAY(),T932)-O932)</f>
        <v/>
      </c>
      <c r="AA932" s="31" t="str">
        <f aca="false">IF(T932="","",TEXT(T932,"YYYY-MM"))</f>
        <v/>
      </c>
      <c r="AB932" s="27" t="str">
        <f aca="false">IF(X932="","",X932/2)</f>
        <v/>
      </c>
      <c r="AC932" s="21"/>
    </row>
    <row r="933" customFormat="false" ht="15" hidden="false" customHeight="false" outlineLevel="0" collapsed="false">
      <c r="A933" s="20"/>
      <c r="B933" s="21"/>
      <c r="C933" s="21"/>
      <c r="D933" s="21"/>
      <c r="E933" s="21"/>
      <c r="F933" s="21"/>
      <c r="G933" s="22"/>
      <c r="H933" s="21"/>
      <c r="I933" s="21"/>
      <c r="J933" s="21"/>
      <c r="K933" s="23"/>
      <c r="L933" s="24"/>
      <c r="M933" s="21"/>
      <c r="N933" s="21"/>
      <c r="O933" s="25"/>
      <c r="P933" s="26"/>
      <c r="Q933" s="27" t="str">
        <f aca="false">IF(A933="","",SUMIF(Expenses!$B$2:$B$3000,A933,Expenses!$E$2:$E$3000))</f>
        <v/>
      </c>
      <c r="R933" s="27" t="str">
        <f aca="false">IF(A933="","",N(P933)+N(Q933))</f>
        <v/>
      </c>
      <c r="S933" s="28"/>
      <c r="T933" s="25"/>
      <c r="U933" s="26"/>
      <c r="V933" s="26"/>
      <c r="W933" s="26"/>
      <c r="X933" s="27" t="str">
        <f aca="false">IF(B933&lt;&gt;"SOLD","",IF(C933="Consignment",N(W933)-R933,N(U933)-R933-N(V933)))</f>
        <v/>
      </c>
      <c r="Y933" s="29" t="str">
        <f aca="false">IF(OR(X933="",N(R933)=0),"",X933/R933)</f>
        <v/>
      </c>
      <c r="Z933" s="30" t="str">
        <f aca="true">IF(O933="","",IF(T933="",TODAY(),T933)-O933)</f>
        <v/>
      </c>
      <c r="AA933" s="31" t="str">
        <f aca="false">IF(T933="","",TEXT(T933,"YYYY-MM"))</f>
        <v/>
      </c>
      <c r="AB933" s="27" t="str">
        <f aca="false">IF(X933="","",X933/2)</f>
        <v/>
      </c>
      <c r="AC933" s="21"/>
    </row>
    <row r="934" customFormat="false" ht="15" hidden="false" customHeight="false" outlineLevel="0" collapsed="false">
      <c r="A934" s="20"/>
      <c r="B934" s="21"/>
      <c r="C934" s="21"/>
      <c r="D934" s="21"/>
      <c r="E934" s="21"/>
      <c r="F934" s="21"/>
      <c r="G934" s="22"/>
      <c r="H934" s="21"/>
      <c r="I934" s="21"/>
      <c r="J934" s="21"/>
      <c r="K934" s="23"/>
      <c r="L934" s="24"/>
      <c r="M934" s="21"/>
      <c r="N934" s="21"/>
      <c r="O934" s="25"/>
      <c r="P934" s="26"/>
      <c r="Q934" s="27" t="str">
        <f aca="false">IF(A934="","",SUMIF(Expenses!$B$2:$B$3000,A934,Expenses!$E$2:$E$3000))</f>
        <v/>
      </c>
      <c r="R934" s="27" t="str">
        <f aca="false">IF(A934="","",N(P934)+N(Q934))</f>
        <v/>
      </c>
      <c r="S934" s="28"/>
      <c r="T934" s="25"/>
      <c r="U934" s="26"/>
      <c r="V934" s="26"/>
      <c r="W934" s="26"/>
      <c r="X934" s="27" t="str">
        <f aca="false">IF(B934&lt;&gt;"SOLD","",IF(C934="Consignment",N(W934)-R934,N(U934)-R934-N(V934)))</f>
        <v/>
      </c>
      <c r="Y934" s="29" t="str">
        <f aca="false">IF(OR(X934="",N(R934)=0),"",X934/R934)</f>
        <v/>
      </c>
      <c r="Z934" s="30" t="str">
        <f aca="true">IF(O934="","",IF(T934="",TODAY(),T934)-O934)</f>
        <v/>
      </c>
      <c r="AA934" s="31" t="str">
        <f aca="false">IF(T934="","",TEXT(T934,"YYYY-MM"))</f>
        <v/>
      </c>
      <c r="AB934" s="27" t="str">
        <f aca="false">IF(X934="","",X934/2)</f>
        <v/>
      </c>
      <c r="AC934" s="21"/>
    </row>
    <row r="935" customFormat="false" ht="15" hidden="false" customHeight="false" outlineLevel="0" collapsed="false">
      <c r="A935" s="20"/>
      <c r="B935" s="21"/>
      <c r="C935" s="21"/>
      <c r="D935" s="21"/>
      <c r="E935" s="21"/>
      <c r="F935" s="21"/>
      <c r="G935" s="22"/>
      <c r="H935" s="21"/>
      <c r="I935" s="21"/>
      <c r="J935" s="21"/>
      <c r="K935" s="23"/>
      <c r="L935" s="24"/>
      <c r="M935" s="21"/>
      <c r="N935" s="21"/>
      <c r="O935" s="25"/>
      <c r="P935" s="26"/>
      <c r="Q935" s="27" t="str">
        <f aca="false">IF(A935="","",SUMIF(Expenses!$B$2:$B$3000,A935,Expenses!$E$2:$E$3000))</f>
        <v/>
      </c>
      <c r="R935" s="27" t="str">
        <f aca="false">IF(A935="","",N(P935)+N(Q935))</f>
        <v/>
      </c>
      <c r="S935" s="28"/>
      <c r="T935" s="25"/>
      <c r="U935" s="26"/>
      <c r="V935" s="26"/>
      <c r="W935" s="26"/>
      <c r="X935" s="27" t="str">
        <f aca="false">IF(B935&lt;&gt;"SOLD","",IF(C935="Consignment",N(W935)-R935,N(U935)-R935-N(V935)))</f>
        <v/>
      </c>
      <c r="Y935" s="29" t="str">
        <f aca="false">IF(OR(X935="",N(R935)=0),"",X935/R935)</f>
        <v/>
      </c>
      <c r="Z935" s="30" t="str">
        <f aca="true">IF(O935="","",IF(T935="",TODAY(),T935)-O935)</f>
        <v/>
      </c>
      <c r="AA935" s="31" t="str">
        <f aca="false">IF(T935="","",TEXT(T935,"YYYY-MM"))</f>
        <v/>
      </c>
      <c r="AB935" s="27" t="str">
        <f aca="false">IF(X935="","",X935/2)</f>
        <v/>
      </c>
      <c r="AC935" s="21"/>
    </row>
    <row r="936" customFormat="false" ht="15" hidden="false" customHeight="false" outlineLevel="0" collapsed="false">
      <c r="A936" s="20"/>
      <c r="B936" s="21"/>
      <c r="C936" s="21"/>
      <c r="D936" s="21"/>
      <c r="E936" s="21"/>
      <c r="F936" s="21"/>
      <c r="G936" s="22"/>
      <c r="H936" s="21"/>
      <c r="I936" s="21"/>
      <c r="J936" s="21"/>
      <c r="K936" s="23"/>
      <c r="L936" s="24"/>
      <c r="M936" s="21"/>
      <c r="N936" s="21"/>
      <c r="O936" s="25"/>
      <c r="P936" s="26"/>
      <c r="Q936" s="27" t="str">
        <f aca="false">IF(A936="","",SUMIF(Expenses!$B$2:$B$3000,A936,Expenses!$E$2:$E$3000))</f>
        <v/>
      </c>
      <c r="R936" s="27" t="str">
        <f aca="false">IF(A936="","",N(P936)+N(Q936))</f>
        <v/>
      </c>
      <c r="S936" s="28"/>
      <c r="T936" s="25"/>
      <c r="U936" s="26"/>
      <c r="V936" s="26"/>
      <c r="W936" s="26"/>
      <c r="X936" s="27" t="str">
        <f aca="false">IF(B936&lt;&gt;"SOLD","",IF(C936="Consignment",N(W936)-R936,N(U936)-R936-N(V936)))</f>
        <v/>
      </c>
      <c r="Y936" s="29" t="str">
        <f aca="false">IF(OR(X936="",N(R936)=0),"",X936/R936)</f>
        <v/>
      </c>
      <c r="Z936" s="30" t="str">
        <f aca="true">IF(O936="","",IF(T936="",TODAY(),T936)-O936)</f>
        <v/>
      </c>
      <c r="AA936" s="31" t="str">
        <f aca="false">IF(T936="","",TEXT(T936,"YYYY-MM"))</f>
        <v/>
      </c>
      <c r="AB936" s="27" t="str">
        <f aca="false">IF(X936="","",X936/2)</f>
        <v/>
      </c>
      <c r="AC936" s="21"/>
    </row>
    <row r="937" customFormat="false" ht="15" hidden="false" customHeight="false" outlineLevel="0" collapsed="false">
      <c r="A937" s="20"/>
      <c r="B937" s="21"/>
      <c r="C937" s="21"/>
      <c r="D937" s="21"/>
      <c r="E937" s="21"/>
      <c r="F937" s="21"/>
      <c r="G937" s="22"/>
      <c r="H937" s="21"/>
      <c r="I937" s="21"/>
      <c r="J937" s="21"/>
      <c r="K937" s="23"/>
      <c r="L937" s="24"/>
      <c r="M937" s="21"/>
      <c r="N937" s="21"/>
      <c r="O937" s="25"/>
      <c r="P937" s="26"/>
      <c r="Q937" s="27" t="str">
        <f aca="false">IF(A937="","",SUMIF(Expenses!$B$2:$B$3000,A937,Expenses!$E$2:$E$3000))</f>
        <v/>
      </c>
      <c r="R937" s="27" t="str">
        <f aca="false">IF(A937="","",N(P937)+N(Q937))</f>
        <v/>
      </c>
      <c r="S937" s="28"/>
      <c r="T937" s="25"/>
      <c r="U937" s="26"/>
      <c r="V937" s="26"/>
      <c r="W937" s="26"/>
      <c r="X937" s="27" t="str">
        <f aca="false">IF(B937&lt;&gt;"SOLD","",IF(C937="Consignment",N(W937)-R937,N(U937)-R937-N(V937)))</f>
        <v/>
      </c>
      <c r="Y937" s="29" t="str">
        <f aca="false">IF(OR(X937="",N(R937)=0),"",X937/R937)</f>
        <v/>
      </c>
      <c r="Z937" s="30" t="str">
        <f aca="true">IF(O937="","",IF(T937="",TODAY(),T937)-O937)</f>
        <v/>
      </c>
      <c r="AA937" s="31" t="str">
        <f aca="false">IF(T937="","",TEXT(T937,"YYYY-MM"))</f>
        <v/>
      </c>
      <c r="AB937" s="27" t="str">
        <f aca="false">IF(X937="","",X937/2)</f>
        <v/>
      </c>
      <c r="AC937" s="21"/>
    </row>
    <row r="938" customFormat="false" ht="15" hidden="false" customHeight="false" outlineLevel="0" collapsed="false">
      <c r="A938" s="20"/>
      <c r="B938" s="21"/>
      <c r="C938" s="21"/>
      <c r="D938" s="21"/>
      <c r="E938" s="21"/>
      <c r="F938" s="21"/>
      <c r="G938" s="22"/>
      <c r="H938" s="21"/>
      <c r="I938" s="21"/>
      <c r="J938" s="21"/>
      <c r="K938" s="23"/>
      <c r="L938" s="24"/>
      <c r="M938" s="21"/>
      <c r="N938" s="21"/>
      <c r="O938" s="25"/>
      <c r="P938" s="26"/>
      <c r="Q938" s="27" t="str">
        <f aca="false">IF(A938="","",SUMIF(Expenses!$B$2:$B$3000,A938,Expenses!$E$2:$E$3000))</f>
        <v/>
      </c>
      <c r="R938" s="27" t="str">
        <f aca="false">IF(A938="","",N(P938)+N(Q938))</f>
        <v/>
      </c>
      <c r="S938" s="28"/>
      <c r="T938" s="25"/>
      <c r="U938" s="26"/>
      <c r="V938" s="26"/>
      <c r="W938" s="26"/>
      <c r="X938" s="27" t="str">
        <f aca="false">IF(B938&lt;&gt;"SOLD","",IF(C938="Consignment",N(W938)-R938,N(U938)-R938-N(V938)))</f>
        <v/>
      </c>
      <c r="Y938" s="29" t="str">
        <f aca="false">IF(OR(X938="",N(R938)=0),"",X938/R938)</f>
        <v/>
      </c>
      <c r="Z938" s="30" t="str">
        <f aca="true">IF(O938="","",IF(T938="",TODAY(),T938)-O938)</f>
        <v/>
      </c>
      <c r="AA938" s="31" t="str">
        <f aca="false">IF(T938="","",TEXT(T938,"YYYY-MM"))</f>
        <v/>
      </c>
      <c r="AB938" s="27" t="str">
        <f aca="false">IF(X938="","",X938/2)</f>
        <v/>
      </c>
      <c r="AC938" s="21"/>
    </row>
    <row r="939" customFormat="false" ht="15" hidden="false" customHeight="false" outlineLevel="0" collapsed="false">
      <c r="A939" s="20"/>
      <c r="B939" s="21"/>
      <c r="C939" s="21"/>
      <c r="D939" s="21"/>
      <c r="E939" s="21"/>
      <c r="F939" s="21"/>
      <c r="G939" s="22"/>
      <c r="H939" s="21"/>
      <c r="I939" s="21"/>
      <c r="J939" s="21"/>
      <c r="K939" s="23"/>
      <c r="L939" s="24"/>
      <c r="M939" s="21"/>
      <c r="N939" s="21"/>
      <c r="O939" s="25"/>
      <c r="P939" s="26"/>
      <c r="Q939" s="27" t="str">
        <f aca="false">IF(A939="","",SUMIF(Expenses!$B$2:$B$3000,A939,Expenses!$E$2:$E$3000))</f>
        <v/>
      </c>
      <c r="R939" s="27" t="str">
        <f aca="false">IF(A939="","",N(P939)+N(Q939))</f>
        <v/>
      </c>
      <c r="S939" s="28"/>
      <c r="T939" s="25"/>
      <c r="U939" s="26"/>
      <c r="V939" s="26"/>
      <c r="W939" s="26"/>
      <c r="X939" s="27" t="str">
        <f aca="false">IF(B939&lt;&gt;"SOLD","",IF(C939="Consignment",N(W939)-R939,N(U939)-R939-N(V939)))</f>
        <v/>
      </c>
      <c r="Y939" s="29" t="str">
        <f aca="false">IF(OR(X939="",N(R939)=0),"",X939/R939)</f>
        <v/>
      </c>
      <c r="Z939" s="30" t="str">
        <f aca="true">IF(O939="","",IF(T939="",TODAY(),T939)-O939)</f>
        <v/>
      </c>
      <c r="AA939" s="31" t="str">
        <f aca="false">IF(T939="","",TEXT(T939,"YYYY-MM"))</f>
        <v/>
      </c>
      <c r="AB939" s="27" t="str">
        <f aca="false">IF(X939="","",X939/2)</f>
        <v/>
      </c>
      <c r="AC939" s="21"/>
    </row>
    <row r="940" customFormat="false" ht="15" hidden="false" customHeight="false" outlineLevel="0" collapsed="false">
      <c r="A940" s="20"/>
      <c r="B940" s="21"/>
      <c r="C940" s="21"/>
      <c r="D940" s="21"/>
      <c r="E940" s="21"/>
      <c r="F940" s="21"/>
      <c r="G940" s="22"/>
      <c r="H940" s="21"/>
      <c r="I940" s="21"/>
      <c r="J940" s="21"/>
      <c r="K940" s="23"/>
      <c r="L940" s="24"/>
      <c r="M940" s="21"/>
      <c r="N940" s="21"/>
      <c r="O940" s="25"/>
      <c r="P940" s="26"/>
      <c r="Q940" s="27" t="str">
        <f aca="false">IF(A940="","",SUMIF(Expenses!$B$2:$B$3000,A940,Expenses!$E$2:$E$3000))</f>
        <v/>
      </c>
      <c r="R940" s="27" t="str">
        <f aca="false">IF(A940="","",N(P940)+N(Q940))</f>
        <v/>
      </c>
      <c r="S940" s="28"/>
      <c r="T940" s="25"/>
      <c r="U940" s="26"/>
      <c r="V940" s="26"/>
      <c r="W940" s="26"/>
      <c r="X940" s="27" t="str">
        <f aca="false">IF(B940&lt;&gt;"SOLD","",IF(C940="Consignment",N(W940)-R940,N(U940)-R940-N(V940)))</f>
        <v/>
      </c>
      <c r="Y940" s="29" t="str">
        <f aca="false">IF(OR(X940="",N(R940)=0),"",X940/R940)</f>
        <v/>
      </c>
      <c r="Z940" s="30" t="str">
        <f aca="true">IF(O940="","",IF(T940="",TODAY(),T940)-O940)</f>
        <v/>
      </c>
      <c r="AA940" s="31" t="str">
        <f aca="false">IF(T940="","",TEXT(T940,"YYYY-MM"))</f>
        <v/>
      </c>
      <c r="AB940" s="27" t="str">
        <f aca="false">IF(X940="","",X940/2)</f>
        <v/>
      </c>
      <c r="AC940" s="21"/>
    </row>
    <row r="941" customFormat="false" ht="15" hidden="false" customHeight="false" outlineLevel="0" collapsed="false">
      <c r="A941" s="20"/>
      <c r="B941" s="21"/>
      <c r="C941" s="21"/>
      <c r="D941" s="21"/>
      <c r="E941" s="21"/>
      <c r="F941" s="21"/>
      <c r="G941" s="22"/>
      <c r="H941" s="21"/>
      <c r="I941" s="21"/>
      <c r="J941" s="21"/>
      <c r="K941" s="23"/>
      <c r="L941" s="24"/>
      <c r="M941" s="21"/>
      <c r="N941" s="21"/>
      <c r="O941" s="25"/>
      <c r="P941" s="26"/>
      <c r="Q941" s="27" t="str">
        <f aca="false">IF(A941="","",SUMIF(Expenses!$B$2:$B$3000,A941,Expenses!$E$2:$E$3000))</f>
        <v/>
      </c>
      <c r="R941" s="27" t="str">
        <f aca="false">IF(A941="","",N(P941)+N(Q941))</f>
        <v/>
      </c>
      <c r="S941" s="28"/>
      <c r="T941" s="25"/>
      <c r="U941" s="26"/>
      <c r="V941" s="26"/>
      <c r="W941" s="26"/>
      <c r="X941" s="27" t="str">
        <f aca="false">IF(B941&lt;&gt;"SOLD","",IF(C941="Consignment",N(W941)-R941,N(U941)-R941-N(V941)))</f>
        <v/>
      </c>
      <c r="Y941" s="29" t="str">
        <f aca="false">IF(OR(X941="",N(R941)=0),"",X941/R941)</f>
        <v/>
      </c>
      <c r="Z941" s="30" t="str">
        <f aca="true">IF(O941="","",IF(T941="",TODAY(),T941)-O941)</f>
        <v/>
      </c>
      <c r="AA941" s="31" t="str">
        <f aca="false">IF(T941="","",TEXT(T941,"YYYY-MM"))</f>
        <v/>
      </c>
      <c r="AB941" s="27" t="str">
        <f aca="false">IF(X941="","",X941/2)</f>
        <v/>
      </c>
      <c r="AC941" s="21"/>
    </row>
    <row r="942" customFormat="false" ht="15" hidden="false" customHeight="false" outlineLevel="0" collapsed="false">
      <c r="A942" s="20"/>
      <c r="B942" s="21"/>
      <c r="C942" s="21"/>
      <c r="D942" s="21"/>
      <c r="E942" s="21"/>
      <c r="F942" s="21"/>
      <c r="G942" s="22"/>
      <c r="H942" s="21"/>
      <c r="I942" s="21"/>
      <c r="J942" s="21"/>
      <c r="K942" s="23"/>
      <c r="L942" s="24"/>
      <c r="M942" s="21"/>
      <c r="N942" s="21"/>
      <c r="O942" s="25"/>
      <c r="P942" s="26"/>
      <c r="Q942" s="27" t="str">
        <f aca="false">IF(A942="","",SUMIF(Expenses!$B$2:$B$3000,A942,Expenses!$E$2:$E$3000))</f>
        <v/>
      </c>
      <c r="R942" s="27" t="str">
        <f aca="false">IF(A942="","",N(P942)+N(Q942))</f>
        <v/>
      </c>
      <c r="S942" s="28"/>
      <c r="T942" s="25"/>
      <c r="U942" s="26"/>
      <c r="V942" s="26"/>
      <c r="W942" s="26"/>
      <c r="X942" s="27" t="str">
        <f aca="false">IF(B942&lt;&gt;"SOLD","",IF(C942="Consignment",N(W942)-R942,N(U942)-R942-N(V942)))</f>
        <v/>
      </c>
      <c r="Y942" s="29" t="str">
        <f aca="false">IF(OR(X942="",N(R942)=0),"",X942/R942)</f>
        <v/>
      </c>
      <c r="Z942" s="30" t="str">
        <f aca="true">IF(O942="","",IF(T942="",TODAY(),T942)-O942)</f>
        <v/>
      </c>
      <c r="AA942" s="31" t="str">
        <f aca="false">IF(T942="","",TEXT(T942,"YYYY-MM"))</f>
        <v/>
      </c>
      <c r="AB942" s="27" t="str">
        <f aca="false">IF(X942="","",X942/2)</f>
        <v/>
      </c>
      <c r="AC942" s="21"/>
    </row>
    <row r="943" customFormat="false" ht="15" hidden="false" customHeight="false" outlineLevel="0" collapsed="false">
      <c r="A943" s="20"/>
      <c r="B943" s="21"/>
      <c r="C943" s="21"/>
      <c r="D943" s="21"/>
      <c r="E943" s="21"/>
      <c r="F943" s="21"/>
      <c r="G943" s="22"/>
      <c r="H943" s="21"/>
      <c r="I943" s="21"/>
      <c r="J943" s="21"/>
      <c r="K943" s="23"/>
      <c r="L943" s="24"/>
      <c r="M943" s="21"/>
      <c r="N943" s="21"/>
      <c r="O943" s="25"/>
      <c r="P943" s="26"/>
      <c r="Q943" s="27" t="str">
        <f aca="false">IF(A943="","",SUMIF(Expenses!$B$2:$B$3000,A943,Expenses!$E$2:$E$3000))</f>
        <v/>
      </c>
      <c r="R943" s="27" t="str">
        <f aca="false">IF(A943="","",N(P943)+N(Q943))</f>
        <v/>
      </c>
      <c r="S943" s="28"/>
      <c r="T943" s="25"/>
      <c r="U943" s="26"/>
      <c r="V943" s="26"/>
      <c r="W943" s="26"/>
      <c r="X943" s="27" t="str">
        <f aca="false">IF(B943&lt;&gt;"SOLD","",IF(C943="Consignment",N(W943)-R943,N(U943)-R943-N(V943)))</f>
        <v/>
      </c>
      <c r="Y943" s="29" t="str">
        <f aca="false">IF(OR(X943="",N(R943)=0),"",X943/R943)</f>
        <v/>
      </c>
      <c r="Z943" s="30" t="str">
        <f aca="true">IF(O943="","",IF(T943="",TODAY(),T943)-O943)</f>
        <v/>
      </c>
      <c r="AA943" s="31" t="str">
        <f aca="false">IF(T943="","",TEXT(T943,"YYYY-MM"))</f>
        <v/>
      </c>
      <c r="AB943" s="27" t="str">
        <f aca="false">IF(X943="","",X943/2)</f>
        <v/>
      </c>
      <c r="AC943" s="21"/>
    </row>
    <row r="944" customFormat="false" ht="15" hidden="false" customHeight="false" outlineLevel="0" collapsed="false">
      <c r="A944" s="20"/>
      <c r="B944" s="21"/>
      <c r="C944" s="21"/>
      <c r="D944" s="21"/>
      <c r="E944" s="21"/>
      <c r="F944" s="21"/>
      <c r="G944" s="22"/>
      <c r="H944" s="21"/>
      <c r="I944" s="21"/>
      <c r="J944" s="21"/>
      <c r="K944" s="23"/>
      <c r="L944" s="24"/>
      <c r="M944" s="21"/>
      <c r="N944" s="21"/>
      <c r="O944" s="25"/>
      <c r="P944" s="26"/>
      <c r="Q944" s="27" t="str">
        <f aca="false">IF(A944="","",SUMIF(Expenses!$B$2:$B$3000,A944,Expenses!$E$2:$E$3000))</f>
        <v/>
      </c>
      <c r="R944" s="27" t="str">
        <f aca="false">IF(A944="","",N(P944)+N(Q944))</f>
        <v/>
      </c>
      <c r="S944" s="28"/>
      <c r="T944" s="25"/>
      <c r="U944" s="26"/>
      <c r="V944" s="26"/>
      <c r="W944" s="26"/>
      <c r="X944" s="27" t="str">
        <f aca="false">IF(B944&lt;&gt;"SOLD","",IF(C944="Consignment",N(W944)-R944,N(U944)-R944-N(V944)))</f>
        <v/>
      </c>
      <c r="Y944" s="29" t="str">
        <f aca="false">IF(OR(X944="",N(R944)=0),"",X944/R944)</f>
        <v/>
      </c>
      <c r="Z944" s="30" t="str">
        <f aca="true">IF(O944="","",IF(T944="",TODAY(),T944)-O944)</f>
        <v/>
      </c>
      <c r="AA944" s="31" t="str">
        <f aca="false">IF(T944="","",TEXT(T944,"YYYY-MM"))</f>
        <v/>
      </c>
      <c r="AB944" s="27" t="str">
        <f aca="false">IF(X944="","",X944/2)</f>
        <v/>
      </c>
      <c r="AC944" s="21"/>
    </row>
    <row r="945" customFormat="false" ht="15" hidden="false" customHeight="false" outlineLevel="0" collapsed="false">
      <c r="A945" s="20"/>
      <c r="B945" s="21"/>
      <c r="C945" s="21"/>
      <c r="D945" s="21"/>
      <c r="E945" s="21"/>
      <c r="F945" s="21"/>
      <c r="G945" s="22"/>
      <c r="H945" s="21"/>
      <c r="I945" s="21"/>
      <c r="J945" s="21"/>
      <c r="K945" s="23"/>
      <c r="L945" s="24"/>
      <c r="M945" s="21"/>
      <c r="N945" s="21"/>
      <c r="O945" s="25"/>
      <c r="P945" s="26"/>
      <c r="Q945" s="27" t="str">
        <f aca="false">IF(A945="","",SUMIF(Expenses!$B$2:$B$3000,A945,Expenses!$E$2:$E$3000))</f>
        <v/>
      </c>
      <c r="R945" s="27" t="str">
        <f aca="false">IF(A945="","",N(P945)+N(Q945))</f>
        <v/>
      </c>
      <c r="S945" s="28"/>
      <c r="T945" s="25"/>
      <c r="U945" s="26"/>
      <c r="V945" s="26"/>
      <c r="W945" s="26"/>
      <c r="X945" s="27" t="str">
        <f aca="false">IF(B945&lt;&gt;"SOLD","",IF(C945="Consignment",N(W945)-R945,N(U945)-R945-N(V945)))</f>
        <v/>
      </c>
      <c r="Y945" s="29" t="str">
        <f aca="false">IF(OR(X945="",N(R945)=0),"",X945/R945)</f>
        <v/>
      </c>
      <c r="Z945" s="30" t="str">
        <f aca="true">IF(O945="","",IF(T945="",TODAY(),T945)-O945)</f>
        <v/>
      </c>
      <c r="AA945" s="31" t="str">
        <f aca="false">IF(T945="","",TEXT(T945,"YYYY-MM"))</f>
        <v/>
      </c>
      <c r="AB945" s="27" t="str">
        <f aca="false">IF(X945="","",X945/2)</f>
        <v/>
      </c>
      <c r="AC945" s="21"/>
    </row>
    <row r="946" customFormat="false" ht="15" hidden="false" customHeight="false" outlineLevel="0" collapsed="false">
      <c r="A946" s="20"/>
      <c r="B946" s="21"/>
      <c r="C946" s="21"/>
      <c r="D946" s="21"/>
      <c r="E946" s="21"/>
      <c r="F946" s="21"/>
      <c r="G946" s="22"/>
      <c r="H946" s="21"/>
      <c r="I946" s="21"/>
      <c r="J946" s="21"/>
      <c r="K946" s="23"/>
      <c r="L946" s="24"/>
      <c r="M946" s="21"/>
      <c r="N946" s="21"/>
      <c r="O946" s="25"/>
      <c r="P946" s="26"/>
      <c r="Q946" s="27" t="str">
        <f aca="false">IF(A946="","",SUMIF(Expenses!$B$2:$B$3000,A946,Expenses!$E$2:$E$3000))</f>
        <v/>
      </c>
      <c r="R946" s="27" t="str">
        <f aca="false">IF(A946="","",N(P946)+N(Q946))</f>
        <v/>
      </c>
      <c r="S946" s="28"/>
      <c r="T946" s="25"/>
      <c r="U946" s="26"/>
      <c r="V946" s="26"/>
      <c r="W946" s="26"/>
      <c r="X946" s="27" t="str">
        <f aca="false">IF(B946&lt;&gt;"SOLD","",IF(C946="Consignment",N(W946)-R946,N(U946)-R946-N(V946)))</f>
        <v/>
      </c>
      <c r="Y946" s="29" t="str">
        <f aca="false">IF(OR(X946="",N(R946)=0),"",X946/R946)</f>
        <v/>
      </c>
      <c r="Z946" s="30" t="str">
        <f aca="true">IF(O946="","",IF(T946="",TODAY(),T946)-O946)</f>
        <v/>
      </c>
      <c r="AA946" s="31" t="str">
        <f aca="false">IF(T946="","",TEXT(T946,"YYYY-MM"))</f>
        <v/>
      </c>
      <c r="AB946" s="27" t="str">
        <f aca="false">IF(X946="","",X946/2)</f>
        <v/>
      </c>
      <c r="AC946" s="21"/>
    </row>
    <row r="947" customFormat="false" ht="15" hidden="false" customHeight="false" outlineLevel="0" collapsed="false">
      <c r="A947" s="20"/>
      <c r="B947" s="21"/>
      <c r="C947" s="21"/>
      <c r="D947" s="21"/>
      <c r="E947" s="21"/>
      <c r="F947" s="21"/>
      <c r="G947" s="22"/>
      <c r="H947" s="21"/>
      <c r="I947" s="21"/>
      <c r="J947" s="21"/>
      <c r="K947" s="23"/>
      <c r="L947" s="24"/>
      <c r="M947" s="21"/>
      <c r="N947" s="21"/>
      <c r="O947" s="25"/>
      <c r="P947" s="26"/>
      <c r="Q947" s="27" t="str">
        <f aca="false">IF(A947="","",SUMIF(Expenses!$B$2:$B$3000,A947,Expenses!$E$2:$E$3000))</f>
        <v/>
      </c>
      <c r="R947" s="27" t="str">
        <f aca="false">IF(A947="","",N(P947)+N(Q947))</f>
        <v/>
      </c>
      <c r="S947" s="28"/>
      <c r="T947" s="25"/>
      <c r="U947" s="26"/>
      <c r="V947" s="26"/>
      <c r="W947" s="26"/>
      <c r="X947" s="27" t="str">
        <f aca="false">IF(B947&lt;&gt;"SOLD","",IF(C947="Consignment",N(W947)-R947,N(U947)-R947-N(V947)))</f>
        <v/>
      </c>
      <c r="Y947" s="29" t="str">
        <f aca="false">IF(OR(X947="",N(R947)=0),"",X947/R947)</f>
        <v/>
      </c>
      <c r="Z947" s="30" t="str">
        <f aca="true">IF(O947="","",IF(T947="",TODAY(),T947)-O947)</f>
        <v/>
      </c>
      <c r="AA947" s="31" t="str">
        <f aca="false">IF(T947="","",TEXT(T947,"YYYY-MM"))</f>
        <v/>
      </c>
      <c r="AB947" s="27" t="str">
        <f aca="false">IF(X947="","",X947/2)</f>
        <v/>
      </c>
      <c r="AC947" s="21"/>
    </row>
    <row r="948" customFormat="false" ht="15" hidden="false" customHeight="false" outlineLevel="0" collapsed="false">
      <c r="A948" s="20"/>
      <c r="B948" s="21"/>
      <c r="C948" s="21"/>
      <c r="D948" s="21"/>
      <c r="E948" s="21"/>
      <c r="F948" s="21"/>
      <c r="G948" s="22"/>
      <c r="H948" s="21"/>
      <c r="I948" s="21"/>
      <c r="J948" s="21"/>
      <c r="K948" s="23"/>
      <c r="L948" s="24"/>
      <c r="M948" s="21"/>
      <c r="N948" s="21"/>
      <c r="O948" s="25"/>
      <c r="P948" s="26"/>
      <c r="Q948" s="27" t="str">
        <f aca="false">IF(A948="","",SUMIF(Expenses!$B$2:$B$3000,A948,Expenses!$E$2:$E$3000))</f>
        <v/>
      </c>
      <c r="R948" s="27" t="str">
        <f aca="false">IF(A948="","",N(P948)+N(Q948))</f>
        <v/>
      </c>
      <c r="S948" s="28"/>
      <c r="T948" s="25"/>
      <c r="U948" s="26"/>
      <c r="V948" s="26"/>
      <c r="W948" s="26"/>
      <c r="X948" s="27" t="str">
        <f aca="false">IF(B948&lt;&gt;"SOLD","",IF(C948="Consignment",N(W948)-R948,N(U948)-R948-N(V948)))</f>
        <v/>
      </c>
      <c r="Y948" s="29" t="str">
        <f aca="false">IF(OR(X948="",N(R948)=0),"",X948/R948)</f>
        <v/>
      </c>
      <c r="Z948" s="30" t="str">
        <f aca="true">IF(O948="","",IF(T948="",TODAY(),T948)-O948)</f>
        <v/>
      </c>
      <c r="AA948" s="31" t="str">
        <f aca="false">IF(T948="","",TEXT(T948,"YYYY-MM"))</f>
        <v/>
      </c>
      <c r="AB948" s="27" t="str">
        <f aca="false">IF(X948="","",X948/2)</f>
        <v/>
      </c>
      <c r="AC948" s="21"/>
    </row>
    <row r="949" customFormat="false" ht="15" hidden="false" customHeight="false" outlineLevel="0" collapsed="false">
      <c r="A949" s="20"/>
      <c r="B949" s="21"/>
      <c r="C949" s="21"/>
      <c r="D949" s="21"/>
      <c r="E949" s="21"/>
      <c r="F949" s="21"/>
      <c r="G949" s="22"/>
      <c r="H949" s="21"/>
      <c r="I949" s="21"/>
      <c r="J949" s="21"/>
      <c r="K949" s="23"/>
      <c r="L949" s="24"/>
      <c r="M949" s="21"/>
      <c r="N949" s="21"/>
      <c r="O949" s="25"/>
      <c r="P949" s="26"/>
      <c r="Q949" s="27" t="str">
        <f aca="false">IF(A949="","",SUMIF(Expenses!$B$2:$B$3000,A949,Expenses!$E$2:$E$3000))</f>
        <v/>
      </c>
      <c r="R949" s="27" t="str">
        <f aca="false">IF(A949="","",N(P949)+N(Q949))</f>
        <v/>
      </c>
      <c r="S949" s="28"/>
      <c r="T949" s="25"/>
      <c r="U949" s="26"/>
      <c r="V949" s="26"/>
      <c r="W949" s="26"/>
      <c r="X949" s="27" t="str">
        <f aca="false">IF(B949&lt;&gt;"SOLD","",IF(C949="Consignment",N(W949)-R949,N(U949)-R949-N(V949)))</f>
        <v/>
      </c>
      <c r="Y949" s="29" t="str">
        <f aca="false">IF(OR(X949="",N(R949)=0),"",X949/R949)</f>
        <v/>
      </c>
      <c r="Z949" s="30" t="str">
        <f aca="true">IF(O949="","",IF(T949="",TODAY(),T949)-O949)</f>
        <v/>
      </c>
      <c r="AA949" s="31" t="str">
        <f aca="false">IF(T949="","",TEXT(T949,"YYYY-MM"))</f>
        <v/>
      </c>
      <c r="AB949" s="27" t="str">
        <f aca="false">IF(X949="","",X949/2)</f>
        <v/>
      </c>
      <c r="AC949" s="21"/>
    </row>
    <row r="950" customFormat="false" ht="15" hidden="false" customHeight="false" outlineLevel="0" collapsed="false">
      <c r="A950" s="20"/>
      <c r="B950" s="21"/>
      <c r="C950" s="21"/>
      <c r="D950" s="21"/>
      <c r="E950" s="21"/>
      <c r="F950" s="21"/>
      <c r="G950" s="22"/>
      <c r="H950" s="21"/>
      <c r="I950" s="21"/>
      <c r="J950" s="21"/>
      <c r="K950" s="23"/>
      <c r="L950" s="24"/>
      <c r="M950" s="21"/>
      <c r="N950" s="21"/>
      <c r="O950" s="25"/>
      <c r="P950" s="26"/>
      <c r="Q950" s="27" t="str">
        <f aca="false">IF(A950="","",SUMIF(Expenses!$B$2:$B$3000,A950,Expenses!$E$2:$E$3000))</f>
        <v/>
      </c>
      <c r="R950" s="27" t="str">
        <f aca="false">IF(A950="","",N(P950)+N(Q950))</f>
        <v/>
      </c>
      <c r="S950" s="28"/>
      <c r="T950" s="25"/>
      <c r="U950" s="26"/>
      <c r="V950" s="26"/>
      <c r="W950" s="26"/>
      <c r="X950" s="27" t="str">
        <f aca="false">IF(B950&lt;&gt;"SOLD","",IF(C950="Consignment",N(W950)-R950,N(U950)-R950-N(V950)))</f>
        <v/>
      </c>
      <c r="Y950" s="29" t="str">
        <f aca="false">IF(OR(X950="",N(R950)=0),"",X950/R950)</f>
        <v/>
      </c>
      <c r="Z950" s="30" t="str">
        <f aca="true">IF(O950="","",IF(T950="",TODAY(),T950)-O950)</f>
        <v/>
      </c>
      <c r="AA950" s="31" t="str">
        <f aca="false">IF(T950="","",TEXT(T950,"YYYY-MM"))</f>
        <v/>
      </c>
      <c r="AB950" s="27" t="str">
        <f aca="false">IF(X950="","",X950/2)</f>
        <v/>
      </c>
      <c r="AC950" s="21"/>
    </row>
    <row r="951" customFormat="false" ht="15" hidden="false" customHeight="false" outlineLevel="0" collapsed="false">
      <c r="A951" s="20"/>
      <c r="B951" s="21"/>
      <c r="C951" s="21"/>
      <c r="D951" s="21"/>
      <c r="E951" s="21"/>
      <c r="F951" s="21"/>
      <c r="G951" s="22"/>
      <c r="H951" s="21"/>
      <c r="I951" s="21"/>
      <c r="J951" s="21"/>
      <c r="K951" s="23"/>
      <c r="L951" s="24"/>
      <c r="M951" s="21"/>
      <c r="N951" s="21"/>
      <c r="O951" s="25"/>
      <c r="P951" s="26"/>
      <c r="Q951" s="27" t="str">
        <f aca="false">IF(A951="","",SUMIF(Expenses!$B$2:$B$3000,A951,Expenses!$E$2:$E$3000))</f>
        <v/>
      </c>
      <c r="R951" s="27" t="str">
        <f aca="false">IF(A951="","",N(P951)+N(Q951))</f>
        <v/>
      </c>
      <c r="S951" s="28"/>
      <c r="T951" s="25"/>
      <c r="U951" s="26"/>
      <c r="V951" s="26"/>
      <c r="W951" s="26"/>
      <c r="X951" s="27" t="str">
        <f aca="false">IF(B951&lt;&gt;"SOLD","",IF(C951="Consignment",N(W951)-R951,N(U951)-R951-N(V951)))</f>
        <v/>
      </c>
      <c r="Y951" s="29" t="str">
        <f aca="false">IF(OR(X951="",N(R951)=0),"",X951/R951)</f>
        <v/>
      </c>
      <c r="Z951" s="30" t="str">
        <f aca="true">IF(O951="","",IF(T951="",TODAY(),T951)-O951)</f>
        <v/>
      </c>
      <c r="AA951" s="31" t="str">
        <f aca="false">IF(T951="","",TEXT(T951,"YYYY-MM"))</f>
        <v/>
      </c>
      <c r="AB951" s="27" t="str">
        <f aca="false">IF(X951="","",X951/2)</f>
        <v/>
      </c>
      <c r="AC951" s="21"/>
    </row>
    <row r="952" customFormat="false" ht="15" hidden="false" customHeight="false" outlineLevel="0" collapsed="false">
      <c r="A952" s="20"/>
      <c r="B952" s="21"/>
      <c r="C952" s="21"/>
      <c r="D952" s="21"/>
      <c r="E952" s="21"/>
      <c r="F952" s="21"/>
      <c r="G952" s="22"/>
      <c r="H952" s="21"/>
      <c r="I952" s="21"/>
      <c r="J952" s="21"/>
      <c r="K952" s="23"/>
      <c r="L952" s="24"/>
      <c r="M952" s="21"/>
      <c r="N952" s="21"/>
      <c r="O952" s="25"/>
      <c r="P952" s="26"/>
      <c r="Q952" s="27" t="str">
        <f aca="false">IF(A952="","",SUMIF(Expenses!$B$2:$B$3000,A952,Expenses!$E$2:$E$3000))</f>
        <v/>
      </c>
      <c r="R952" s="27" t="str">
        <f aca="false">IF(A952="","",N(P952)+N(Q952))</f>
        <v/>
      </c>
      <c r="S952" s="28"/>
      <c r="T952" s="25"/>
      <c r="U952" s="26"/>
      <c r="V952" s="26"/>
      <c r="W952" s="26"/>
      <c r="X952" s="27" t="str">
        <f aca="false">IF(B952&lt;&gt;"SOLD","",IF(C952="Consignment",N(W952)-R952,N(U952)-R952-N(V952)))</f>
        <v/>
      </c>
      <c r="Y952" s="29" t="str">
        <f aca="false">IF(OR(X952="",N(R952)=0),"",X952/R952)</f>
        <v/>
      </c>
      <c r="Z952" s="30" t="str">
        <f aca="true">IF(O952="","",IF(T952="",TODAY(),T952)-O952)</f>
        <v/>
      </c>
      <c r="AA952" s="31" t="str">
        <f aca="false">IF(T952="","",TEXT(T952,"YYYY-MM"))</f>
        <v/>
      </c>
      <c r="AB952" s="27" t="str">
        <f aca="false">IF(X952="","",X952/2)</f>
        <v/>
      </c>
      <c r="AC952" s="21"/>
    </row>
    <row r="953" customFormat="false" ht="15" hidden="false" customHeight="false" outlineLevel="0" collapsed="false">
      <c r="A953" s="20"/>
      <c r="B953" s="21"/>
      <c r="C953" s="21"/>
      <c r="D953" s="21"/>
      <c r="E953" s="21"/>
      <c r="F953" s="21"/>
      <c r="G953" s="22"/>
      <c r="H953" s="21"/>
      <c r="I953" s="21"/>
      <c r="J953" s="21"/>
      <c r="K953" s="23"/>
      <c r="L953" s="24"/>
      <c r="M953" s="21"/>
      <c r="N953" s="21"/>
      <c r="O953" s="25"/>
      <c r="P953" s="26"/>
      <c r="Q953" s="27" t="str">
        <f aca="false">IF(A953="","",SUMIF(Expenses!$B$2:$B$3000,A953,Expenses!$E$2:$E$3000))</f>
        <v/>
      </c>
      <c r="R953" s="27" t="str">
        <f aca="false">IF(A953="","",N(P953)+N(Q953))</f>
        <v/>
      </c>
      <c r="S953" s="28"/>
      <c r="T953" s="25"/>
      <c r="U953" s="26"/>
      <c r="V953" s="26"/>
      <c r="W953" s="26"/>
      <c r="X953" s="27" t="str">
        <f aca="false">IF(B953&lt;&gt;"SOLD","",IF(C953="Consignment",N(W953)-R953,N(U953)-R953-N(V953)))</f>
        <v/>
      </c>
      <c r="Y953" s="29" t="str">
        <f aca="false">IF(OR(X953="",N(R953)=0),"",X953/R953)</f>
        <v/>
      </c>
      <c r="Z953" s="30" t="str">
        <f aca="true">IF(O953="","",IF(T953="",TODAY(),T953)-O953)</f>
        <v/>
      </c>
      <c r="AA953" s="31" t="str">
        <f aca="false">IF(T953="","",TEXT(T953,"YYYY-MM"))</f>
        <v/>
      </c>
      <c r="AB953" s="27" t="str">
        <f aca="false">IF(X953="","",X953/2)</f>
        <v/>
      </c>
      <c r="AC953" s="21"/>
    </row>
    <row r="954" customFormat="false" ht="15" hidden="false" customHeight="false" outlineLevel="0" collapsed="false">
      <c r="A954" s="20"/>
      <c r="B954" s="21"/>
      <c r="C954" s="21"/>
      <c r="D954" s="21"/>
      <c r="E954" s="21"/>
      <c r="F954" s="21"/>
      <c r="G954" s="22"/>
      <c r="H954" s="21"/>
      <c r="I954" s="21"/>
      <c r="J954" s="21"/>
      <c r="K954" s="23"/>
      <c r="L954" s="24"/>
      <c r="M954" s="21"/>
      <c r="N954" s="21"/>
      <c r="O954" s="25"/>
      <c r="P954" s="26"/>
      <c r="Q954" s="27" t="str">
        <f aca="false">IF(A954="","",SUMIF(Expenses!$B$2:$B$3000,A954,Expenses!$E$2:$E$3000))</f>
        <v/>
      </c>
      <c r="R954" s="27" t="str">
        <f aca="false">IF(A954="","",N(P954)+N(Q954))</f>
        <v/>
      </c>
      <c r="S954" s="28"/>
      <c r="T954" s="25"/>
      <c r="U954" s="26"/>
      <c r="V954" s="26"/>
      <c r="W954" s="26"/>
      <c r="X954" s="27" t="str">
        <f aca="false">IF(B954&lt;&gt;"SOLD","",IF(C954="Consignment",N(W954)-R954,N(U954)-R954-N(V954)))</f>
        <v/>
      </c>
      <c r="Y954" s="29" t="str">
        <f aca="false">IF(OR(X954="",N(R954)=0),"",X954/R954)</f>
        <v/>
      </c>
      <c r="Z954" s="30" t="str">
        <f aca="true">IF(O954="","",IF(T954="",TODAY(),T954)-O954)</f>
        <v/>
      </c>
      <c r="AA954" s="31" t="str">
        <f aca="false">IF(T954="","",TEXT(T954,"YYYY-MM"))</f>
        <v/>
      </c>
      <c r="AB954" s="27" t="str">
        <f aca="false">IF(X954="","",X954/2)</f>
        <v/>
      </c>
      <c r="AC954" s="21"/>
    </row>
    <row r="955" customFormat="false" ht="15" hidden="false" customHeight="false" outlineLevel="0" collapsed="false">
      <c r="A955" s="20"/>
      <c r="B955" s="21"/>
      <c r="C955" s="21"/>
      <c r="D955" s="21"/>
      <c r="E955" s="21"/>
      <c r="F955" s="21"/>
      <c r="G955" s="22"/>
      <c r="H955" s="21"/>
      <c r="I955" s="21"/>
      <c r="J955" s="21"/>
      <c r="K955" s="23"/>
      <c r="L955" s="24"/>
      <c r="M955" s="21"/>
      <c r="N955" s="21"/>
      <c r="O955" s="25"/>
      <c r="P955" s="26"/>
      <c r="Q955" s="27" t="str">
        <f aca="false">IF(A955="","",SUMIF(Expenses!$B$2:$B$3000,A955,Expenses!$E$2:$E$3000))</f>
        <v/>
      </c>
      <c r="R955" s="27" t="str">
        <f aca="false">IF(A955="","",N(P955)+N(Q955))</f>
        <v/>
      </c>
      <c r="S955" s="28"/>
      <c r="T955" s="25"/>
      <c r="U955" s="26"/>
      <c r="V955" s="26"/>
      <c r="W955" s="26"/>
      <c r="X955" s="27" t="str">
        <f aca="false">IF(B955&lt;&gt;"SOLD","",IF(C955="Consignment",N(W955)-R955,N(U955)-R955-N(V955)))</f>
        <v/>
      </c>
      <c r="Y955" s="29" t="str">
        <f aca="false">IF(OR(X955="",N(R955)=0),"",X955/R955)</f>
        <v/>
      </c>
      <c r="Z955" s="30" t="str">
        <f aca="true">IF(O955="","",IF(T955="",TODAY(),T955)-O955)</f>
        <v/>
      </c>
      <c r="AA955" s="31" t="str">
        <f aca="false">IF(T955="","",TEXT(T955,"YYYY-MM"))</f>
        <v/>
      </c>
      <c r="AB955" s="27" t="str">
        <f aca="false">IF(X955="","",X955/2)</f>
        <v/>
      </c>
      <c r="AC955" s="21"/>
    </row>
    <row r="956" customFormat="false" ht="15" hidden="false" customHeight="false" outlineLevel="0" collapsed="false">
      <c r="A956" s="20"/>
      <c r="B956" s="21"/>
      <c r="C956" s="21"/>
      <c r="D956" s="21"/>
      <c r="E956" s="21"/>
      <c r="F956" s="21"/>
      <c r="G956" s="22"/>
      <c r="H956" s="21"/>
      <c r="I956" s="21"/>
      <c r="J956" s="21"/>
      <c r="K956" s="23"/>
      <c r="L956" s="24"/>
      <c r="M956" s="21"/>
      <c r="N956" s="21"/>
      <c r="O956" s="25"/>
      <c r="P956" s="26"/>
      <c r="Q956" s="27" t="str">
        <f aca="false">IF(A956="","",SUMIF(Expenses!$B$2:$B$3000,A956,Expenses!$E$2:$E$3000))</f>
        <v/>
      </c>
      <c r="R956" s="27" t="str">
        <f aca="false">IF(A956="","",N(P956)+N(Q956))</f>
        <v/>
      </c>
      <c r="S956" s="28"/>
      <c r="T956" s="25"/>
      <c r="U956" s="26"/>
      <c r="V956" s="26"/>
      <c r="W956" s="26"/>
      <c r="X956" s="27" t="str">
        <f aca="false">IF(B956&lt;&gt;"SOLD","",IF(C956="Consignment",N(W956)-R956,N(U956)-R956-N(V956)))</f>
        <v/>
      </c>
      <c r="Y956" s="29" t="str">
        <f aca="false">IF(OR(X956="",N(R956)=0),"",X956/R956)</f>
        <v/>
      </c>
      <c r="Z956" s="30" t="str">
        <f aca="true">IF(O956="","",IF(T956="",TODAY(),T956)-O956)</f>
        <v/>
      </c>
      <c r="AA956" s="31" t="str">
        <f aca="false">IF(T956="","",TEXT(T956,"YYYY-MM"))</f>
        <v/>
      </c>
      <c r="AB956" s="27" t="str">
        <f aca="false">IF(X956="","",X956/2)</f>
        <v/>
      </c>
      <c r="AC956" s="21"/>
    </row>
    <row r="957" customFormat="false" ht="15" hidden="false" customHeight="false" outlineLevel="0" collapsed="false">
      <c r="A957" s="20"/>
      <c r="B957" s="21"/>
      <c r="C957" s="21"/>
      <c r="D957" s="21"/>
      <c r="E957" s="21"/>
      <c r="F957" s="21"/>
      <c r="G957" s="22"/>
      <c r="H957" s="21"/>
      <c r="I957" s="21"/>
      <c r="J957" s="21"/>
      <c r="K957" s="23"/>
      <c r="L957" s="24"/>
      <c r="M957" s="21"/>
      <c r="N957" s="21"/>
      <c r="O957" s="25"/>
      <c r="P957" s="26"/>
      <c r="Q957" s="27" t="str">
        <f aca="false">IF(A957="","",SUMIF(Expenses!$B$2:$B$3000,A957,Expenses!$E$2:$E$3000))</f>
        <v/>
      </c>
      <c r="R957" s="27" t="str">
        <f aca="false">IF(A957="","",N(P957)+N(Q957))</f>
        <v/>
      </c>
      <c r="S957" s="28"/>
      <c r="T957" s="25"/>
      <c r="U957" s="26"/>
      <c r="V957" s="26"/>
      <c r="W957" s="26"/>
      <c r="X957" s="27" t="str">
        <f aca="false">IF(B957&lt;&gt;"SOLD","",IF(C957="Consignment",N(W957)-R957,N(U957)-R957-N(V957)))</f>
        <v/>
      </c>
      <c r="Y957" s="29" t="str">
        <f aca="false">IF(OR(X957="",N(R957)=0),"",X957/R957)</f>
        <v/>
      </c>
      <c r="Z957" s="30" t="str">
        <f aca="true">IF(O957="","",IF(T957="",TODAY(),T957)-O957)</f>
        <v/>
      </c>
      <c r="AA957" s="31" t="str">
        <f aca="false">IF(T957="","",TEXT(T957,"YYYY-MM"))</f>
        <v/>
      </c>
      <c r="AB957" s="27" t="str">
        <f aca="false">IF(X957="","",X957/2)</f>
        <v/>
      </c>
      <c r="AC957" s="21"/>
    </row>
    <row r="958" customFormat="false" ht="15" hidden="false" customHeight="false" outlineLevel="0" collapsed="false">
      <c r="A958" s="20"/>
      <c r="B958" s="21"/>
      <c r="C958" s="21"/>
      <c r="D958" s="21"/>
      <c r="E958" s="21"/>
      <c r="F958" s="21"/>
      <c r="G958" s="22"/>
      <c r="H958" s="21"/>
      <c r="I958" s="21"/>
      <c r="J958" s="21"/>
      <c r="K958" s="23"/>
      <c r="L958" s="24"/>
      <c r="M958" s="21"/>
      <c r="N958" s="21"/>
      <c r="O958" s="25"/>
      <c r="P958" s="26"/>
      <c r="Q958" s="27" t="str">
        <f aca="false">IF(A958="","",SUMIF(Expenses!$B$2:$B$3000,A958,Expenses!$E$2:$E$3000))</f>
        <v/>
      </c>
      <c r="R958" s="27" t="str">
        <f aca="false">IF(A958="","",N(P958)+N(Q958))</f>
        <v/>
      </c>
      <c r="S958" s="28"/>
      <c r="T958" s="25"/>
      <c r="U958" s="26"/>
      <c r="V958" s="26"/>
      <c r="W958" s="26"/>
      <c r="X958" s="27" t="str">
        <f aca="false">IF(B958&lt;&gt;"SOLD","",IF(C958="Consignment",N(W958)-R958,N(U958)-R958-N(V958)))</f>
        <v/>
      </c>
      <c r="Y958" s="29" t="str">
        <f aca="false">IF(OR(X958="",N(R958)=0),"",X958/R958)</f>
        <v/>
      </c>
      <c r="Z958" s="30" t="str">
        <f aca="true">IF(O958="","",IF(T958="",TODAY(),T958)-O958)</f>
        <v/>
      </c>
      <c r="AA958" s="31" t="str">
        <f aca="false">IF(T958="","",TEXT(T958,"YYYY-MM"))</f>
        <v/>
      </c>
      <c r="AB958" s="27" t="str">
        <f aca="false">IF(X958="","",X958/2)</f>
        <v/>
      </c>
      <c r="AC958" s="21"/>
    </row>
    <row r="959" customFormat="false" ht="15" hidden="false" customHeight="false" outlineLevel="0" collapsed="false">
      <c r="A959" s="20"/>
      <c r="B959" s="21"/>
      <c r="C959" s="21"/>
      <c r="D959" s="21"/>
      <c r="E959" s="21"/>
      <c r="F959" s="21"/>
      <c r="G959" s="22"/>
      <c r="H959" s="21"/>
      <c r="I959" s="21"/>
      <c r="J959" s="21"/>
      <c r="K959" s="23"/>
      <c r="L959" s="24"/>
      <c r="M959" s="21"/>
      <c r="N959" s="21"/>
      <c r="O959" s="25"/>
      <c r="P959" s="26"/>
      <c r="Q959" s="27" t="str">
        <f aca="false">IF(A959="","",SUMIF(Expenses!$B$2:$B$3000,A959,Expenses!$E$2:$E$3000))</f>
        <v/>
      </c>
      <c r="R959" s="27" t="str">
        <f aca="false">IF(A959="","",N(P959)+N(Q959))</f>
        <v/>
      </c>
      <c r="S959" s="28"/>
      <c r="T959" s="25"/>
      <c r="U959" s="26"/>
      <c r="V959" s="26"/>
      <c r="W959" s="26"/>
      <c r="X959" s="27" t="str">
        <f aca="false">IF(B959&lt;&gt;"SOLD","",IF(C959="Consignment",N(W959)-R959,N(U959)-R959-N(V959)))</f>
        <v/>
      </c>
      <c r="Y959" s="29" t="str">
        <f aca="false">IF(OR(X959="",N(R959)=0),"",X959/R959)</f>
        <v/>
      </c>
      <c r="Z959" s="30" t="str">
        <f aca="true">IF(O959="","",IF(T959="",TODAY(),T959)-O959)</f>
        <v/>
      </c>
      <c r="AA959" s="31" t="str">
        <f aca="false">IF(T959="","",TEXT(T959,"YYYY-MM"))</f>
        <v/>
      </c>
      <c r="AB959" s="27" t="str">
        <f aca="false">IF(X959="","",X959/2)</f>
        <v/>
      </c>
      <c r="AC959" s="21"/>
    </row>
    <row r="960" customFormat="false" ht="15" hidden="false" customHeight="false" outlineLevel="0" collapsed="false">
      <c r="A960" s="20"/>
      <c r="B960" s="21"/>
      <c r="C960" s="21"/>
      <c r="D960" s="21"/>
      <c r="E960" s="21"/>
      <c r="F960" s="21"/>
      <c r="G960" s="22"/>
      <c r="H960" s="21"/>
      <c r="I960" s="21"/>
      <c r="J960" s="21"/>
      <c r="K960" s="23"/>
      <c r="L960" s="24"/>
      <c r="M960" s="21"/>
      <c r="N960" s="21"/>
      <c r="O960" s="25"/>
      <c r="P960" s="26"/>
      <c r="Q960" s="27" t="str">
        <f aca="false">IF(A960="","",SUMIF(Expenses!$B$2:$B$3000,A960,Expenses!$E$2:$E$3000))</f>
        <v/>
      </c>
      <c r="R960" s="27" t="str">
        <f aca="false">IF(A960="","",N(P960)+N(Q960))</f>
        <v/>
      </c>
      <c r="S960" s="28"/>
      <c r="T960" s="25"/>
      <c r="U960" s="26"/>
      <c r="V960" s="26"/>
      <c r="W960" s="26"/>
      <c r="X960" s="27" t="str">
        <f aca="false">IF(B960&lt;&gt;"SOLD","",IF(C960="Consignment",N(W960)-R960,N(U960)-R960-N(V960)))</f>
        <v/>
      </c>
      <c r="Y960" s="29" t="str">
        <f aca="false">IF(OR(X960="",N(R960)=0),"",X960/R960)</f>
        <v/>
      </c>
      <c r="Z960" s="30" t="str">
        <f aca="true">IF(O960="","",IF(T960="",TODAY(),T960)-O960)</f>
        <v/>
      </c>
      <c r="AA960" s="31" t="str">
        <f aca="false">IF(T960="","",TEXT(T960,"YYYY-MM"))</f>
        <v/>
      </c>
      <c r="AB960" s="27" t="str">
        <f aca="false">IF(X960="","",X960/2)</f>
        <v/>
      </c>
      <c r="AC960" s="21"/>
    </row>
    <row r="961" customFormat="false" ht="15" hidden="false" customHeight="false" outlineLevel="0" collapsed="false">
      <c r="A961" s="20"/>
      <c r="B961" s="21"/>
      <c r="C961" s="21"/>
      <c r="D961" s="21"/>
      <c r="E961" s="21"/>
      <c r="F961" s="21"/>
      <c r="G961" s="22"/>
      <c r="H961" s="21"/>
      <c r="I961" s="21"/>
      <c r="J961" s="21"/>
      <c r="K961" s="23"/>
      <c r="L961" s="24"/>
      <c r="M961" s="21"/>
      <c r="N961" s="21"/>
      <c r="O961" s="25"/>
      <c r="P961" s="26"/>
      <c r="Q961" s="27" t="str">
        <f aca="false">IF(A961="","",SUMIF(Expenses!$B$2:$B$3000,A961,Expenses!$E$2:$E$3000))</f>
        <v/>
      </c>
      <c r="R961" s="27" t="str">
        <f aca="false">IF(A961="","",N(P961)+N(Q961))</f>
        <v/>
      </c>
      <c r="S961" s="28"/>
      <c r="T961" s="25"/>
      <c r="U961" s="26"/>
      <c r="V961" s="26"/>
      <c r="W961" s="26"/>
      <c r="X961" s="27" t="str">
        <f aca="false">IF(B961&lt;&gt;"SOLD","",IF(C961="Consignment",N(W961)-R961,N(U961)-R961-N(V961)))</f>
        <v/>
      </c>
      <c r="Y961" s="29" t="str">
        <f aca="false">IF(OR(X961="",N(R961)=0),"",X961/R961)</f>
        <v/>
      </c>
      <c r="Z961" s="30" t="str">
        <f aca="true">IF(O961="","",IF(T961="",TODAY(),T961)-O961)</f>
        <v/>
      </c>
      <c r="AA961" s="31" t="str">
        <f aca="false">IF(T961="","",TEXT(T961,"YYYY-MM"))</f>
        <v/>
      </c>
      <c r="AB961" s="27" t="str">
        <f aca="false">IF(X961="","",X961/2)</f>
        <v/>
      </c>
      <c r="AC961" s="21"/>
    </row>
    <row r="962" customFormat="false" ht="15" hidden="false" customHeight="false" outlineLevel="0" collapsed="false">
      <c r="A962" s="20"/>
      <c r="B962" s="21"/>
      <c r="C962" s="21"/>
      <c r="D962" s="21"/>
      <c r="E962" s="21"/>
      <c r="F962" s="21"/>
      <c r="G962" s="22"/>
      <c r="H962" s="21"/>
      <c r="I962" s="21"/>
      <c r="J962" s="21"/>
      <c r="K962" s="23"/>
      <c r="L962" s="24"/>
      <c r="M962" s="21"/>
      <c r="N962" s="21"/>
      <c r="O962" s="25"/>
      <c r="P962" s="26"/>
      <c r="Q962" s="27" t="str">
        <f aca="false">IF(A962="","",SUMIF(Expenses!$B$2:$B$3000,A962,Expenses!$E$2:$E$3000))</f>
        <v/>
      </c>
      <c r="R962" s="27" t="str">
        <f aca="false">IF(A962="","",N(P962)+N(Q962))</f>
        <v/>
      </c>
      <c r="S962" s="28"/>
      <c r="T962" s="25"/>
      <c r="U962" s="26"/>
      <c r="V962" s="26"/>
      <c r="W962" s="26"/>
      <c r="X962" s="27" t="str">
        <f aca="false">IF(B962&lt;&gt;"SOLD","",IF(C962="Consignment",N(W962)-R962,N(U962)-R962-N(V962)))</f>
        <v/>
      </c>
      <c r="Y962" s="29" t="str">
        <f aca="false">IF(OR(X962="",N(R962)=0),"",X962/R962)</f>
        <v/>
      </c>
      <c r="Z962" s="30" t="str">
        <f aca="true">IF(O962="","",IF(T962="",TODAY(),T962)-O962)</f>
        <v/>
      </c>
      <c r="AA962" s="31" t="str">
        <f aca="false">IF(T962="","",TEXT(T962,"YYYY-MM"))</f>
        <v/>
      </c>
      <c r="AB962" s="27" t="str">
        <f aca="false">IF(X962="","",X962/2)</f>
        <v/>
      </c>
      <c r="AC962" s="21"/>
    </row>
    <row r="963" customFormat="false" ht="15" hidden="false" customHeight="false" outlineLevel="0" collapsed="false">
      <c r="A963" s="20"/>
      <c r="B963" s="21"/>
      <c r="C963" s="21"/>
      <c r="D963" s="21"/>
      <c r="E963" s="21"/>
      <c r="F963" s="21"/>
      <c r="G963" s="22"/>
      <c r="H963" s="21"/>
      <c r="I963" s="21"/>
      <c r="J963" s="21"/>
      <c r="K963" s="23"/>
      <c r="L963" s="24"/>
      <c r="M963" s="21"/>
      <c r="N963" s="21"/>
      <c r="O963" s="25"/>
      <c r="P963" s="26"/>
      <c r="Q963" s="27" t="str">
        <f aca="false">IF(A963="","",SUMIF(Expenses!$B$2:$B$3000,A963,Expenses!$E$2:$E$3000))</f>
        <v/>
      </c>
      <c r="R963" s="27" t="str">
        <f aca="false">IF(A963="","",N(P963)+N(Q963))</f>
        <v/>
      </c>
      <c r="S963" s="28"/>
      <c r="T963" s="25"/>
      <c r="U963" s="26"/>
      <c r="V963" s="26"/>
      <c r="W963" s="26"/>
      <c r="X963" s="27" t="str">
        <f aca="false">IF(B963&lt;&gt;"SOLD","",IF(C963="Consignment",N(W963)-R963,N(U963)-R963-N(V963)))</f>
        <v/>
      </c>
      <c r="Y963" s="29" t="str">
        <f aca="false">IF(OR(X963="",N(R963)=0),"",X963/R963)</f>
        <v/>
      </c>
      <c r="Z963" s="30" t="str">
        <f aca="true">IF(O963="","",IF(T963="",TODAY(),T963)-O963)</f>
        <v/>
      </c>
      <c r="AA963" s="31" t="str">
        <f aca="false">IF(T963="","",TEXT(T963,"YYYY-MM"))</f>
        <v/>
      </c>
      <c r="AB963" s="27" t="str">
        <f aca="false">IF(X963="","",X963/2)</f>
        <v/>
      </c>
      <c r="AC963" s="21"/>
    </row>
    <row r="964" customFormat="false" ht="15" hidden="false" customHeight="false" outlineLevel="0" collapsed="false">
      <c r="A964" s="20"/>
      <c r="B964" s="21"/>
      <c r="C964" s="21"/>
      <c r="D964" s="21"/>
      <c r="E964" s="21"/>
      <c r="F964" s="21"/>
      <c r="G964" s="22"/>
      <c r="H964" s="21"/>
      <c r="I964" s="21"/>
      <c r="J964" s="21"/>
      <c r="K964" s="23"/>
      <c r="L964" s="24"/>
      <c r="M964" s="21"/>
      <c r="N964" s="21"/>
      <c r="O964" s="25"/>
      <c r="P964" s="26"/>
      <c r="Q964" s="27" t="str">
        <f aca="false">IF(A964="","",SUMIF(Expenses!$B$2:$B$3000,A964,Expenses!$E$2:$E$3000))</f>
        <v/>
      </c>
      <c r="R964" s="27" t="str">
        <f aca="false">IF(A964="","",N(P964)+N(Q964))</f>
        <v/>
      </c>
      <c r="S964" s="28"/>
      <c r="T964" s="25"/>
      <c r="U964" s="26"/>
      <c r="V964" s="26"/>
      <c r="W964" s="26"/>
      <c r="X964" s="27" t="str">
        <f aca="false">IF(B964&lt;&gt;"SOLD","",IF(C964="Consignment",N(W964)-R964,N(U964)-R964-N(V964)))</f>
        <v/>
      </c>
      <c r="Y964" s="29" t="str">
        <f aca="false">IF(OR(X964="",N(R964)=0),"",X964/R964)</f>
        <v/>
      </c>
      <c r="Z964" s="30" t="str">
        <f aca="true">IF(O964="","",IF(T964="",TODAY(),T964)-O964)</f>
        <v/>
      </c>
      <c r="AA964" s="31" t="str">
        <f aca="false">IF(T964="","",TEXT(T964,"YYYY-MM"))</f>
        <v/>
      </c>
      <c r="AB964" s="27" t="str">
        <f aca="false">IF(X964="","",X964/2)</f>
        <v/>
      </c>
      <c r="AC964" s="21"/>
    </row>
    <row r="965" customFormat="false" ht="15" hidden="false" customHeight="false" outlineLevel="0" collapsed="false">
      <c r="A965" s="20"/>
      <c r="B965" s="21"/>
      <c r="C965" s="21"/>
      <c r="D965" s="21"/>
      <c r="E965" s="21"/>
      <c r="F965" s="21"/>
      <c r="G965" s="22"/>
      <c r="H965" s="21"/>
      <c r="I965" s="21"/>
      <c r="J965" s="21"/>
      <c r="K965" s="23"/>
      <c r="L965" s="24"/>
      <c r="M965" s="21"/>
      <c r="N965" s="21"/>
      <c r="O965" s="25"/>
      <c r="P965" s="26"/>
      <c r="Q965" s="27" t="str">
        <f aca="false">IF(A965="","",SUMIF(Expenses!$B$2:$B$3000,A965,Expenses!$E$2:$E$3000))</f>
        <v/>
      </c>
      <c r="R965" s="27" t="str">
        <f aca="false">IF(A965="","",N(P965)+N(Q965))</f>
        <v/>
      </c>
      <c r="S965" s="28"/>
      <c r="T965" s="25"/>
      <c r="U965" s="26"/>
      <c r="V965" s="26"/>
      <c r="W965" s="26"/>
      <c r="X965" s="27" t="str">
        <f aca="false">IF(B965&lt;&gt;"SOLD","",IF(C965="Consignment",N(W965)-R965,N(U965)-R965-N(V965)))</f>
        <v/>
      </c>
      <c r="Y965" s="29" t="str">
        <f aca="false">IF(OR(X965="",N(R965)=0),"",X965/R965)</f>
        <v/>
      </c>
      <c r="Z965" s="30" t="str">
        <f aca="true">IF(O965="","",IF(T965="",TODAY(),T965)-O965)</f>
        <v/>
      </c>
      <c r="AA965" s="31" t="str">
        <f aca="false">IF(T965="","",TEXT(T965,"YYYY-MM"))</f>
        <v/>
      </c>
      <c r="AB965" s="27" t="str">
        <f aca="false">IF(X965="","",X965/2)</f>
        <v/>
      </c>
      <c r="AC965" s="21"/>
    </row>
    <row r="966" customFormat="false" ht="15" hidden="false" customHeight="false" outlineLevel="0" collapsed="false">
      <c r="A966" s="20"/>
      <c r="B966" s="21"/>
      <c r="C966" s="21"/>
      <c r="D966" s="21"/>
      <c r="E966" s="21"/>
      <c r="F966" s="21"/>
      <c r="G966" s="22"/>
      <c r="H966" s="21"/>
      <c r="I966" s="21"/>
      <c r="J966" s="21"/>
      <c r="K966" s="23"/>
      <c r="L966" s="24"/>
      <c r="M966" s="21"/>
      <c r="N966" s="21"/>
      <c r="O966" s="25"/>
      <c r="P966" s="26"/>
      <c r="Q966" s="27" t="str">
        <f aca="false">IF(A966="","",SUMIF(Expenses!$B$2:$B$3000,A966,Expenses!$E$2:$E$3000))</f>
        <v/>
      </c>
      <c r="R966" s="27" t="str">
        <f aca="false">IF(A966="","",N(P966)+N(Q966))</f>
        <v/>
      </c>
      <c r="S966" s="28"/>
      <c r="T966" s="25"/>
      <c r="U966" s="26"/>
      <c r="V966" s="26"/>
      <c r="W966" s="26"/>
      <c r="X966" s="27" t="str">
        <f aca="false">IF(B966&lt;&gt;"SOLD","",IF(C966="Consignment",N(W966)-R966,N(U966)-R966-N(V966)))</f>
        <v/>
      </c>
      <c r="Y966" s="29" t="str">
        <f aca="false">IF(OR(X966="",N(R966)=0),"",X966/R966)</f>
        <v/>
      </c>
      <c r="Z966" s="30" t="str">
        <f aca="true">IF(O966="","",IF(T966="",TODAY(),T966)-O966)</f>
        <v/>
      </c>
      <c r="AA966" s="31" t="str">
        <f aca="false">IF(T966="","",TEXT(T966,"YYYY-MM"))</f>
        <v/>
      </c>
      <c r="AB966" s="27" t="str">
        <f aca="false">IF(X966="","",X966/2)</f>
        <v/>
      </c>
      <c r="AC966" s="21"/>
    </row>
    <row r="967" customFormat="false" ht="15" hidden="false" customHeight="false" outlineLevel="0" collapsed="false">
      <c r="A967" s="20"/>
      <c r="B967" s="21"/>
      <c r="C967" s="21"/>
      <c r="D967" s="21"/>
      <c r="E967" s="21"/>
      <c r="F967" s="21"/>
      <c r="G967" s="22"/>
      <c r="H967" s="21"/>
      <c r="I967" s="21"/>
      <c r="J967" s="21"/>
      <c r="K967" s="23"/>
      <c r="L967" s="24"/>
      <c r="M967" s="21"/>
      <c r="N967" s="21"/>
      <c r="O967" s="25"/>
      <c r="P967" s="26"/>
      <c r="Q967" s="27" t="str">
        <f aca="false">IF(A967="","",SUMIF(Expenses!$B$2:$B$3000,A967,Expenses!$E$2:$E$3000))</f>
        <v/>
      </c>
      <c r="R967" s="27" t="str">
        <f aca="false">IF(A967="","",N(P967)+N(Q967))</f>
        <v/>
      </c>
      <c r="S967" s="28"/>
      <c r="T967" s="25"/>
      <c r="U967" s="26"/>
      <c r="V967" s="26"/>
      <c r="W967" s="26"/>
      <c r="X967" s="27" t="str">
        <f aca="false">IF(B967&lt;&gt;"SOLD","",IF(C967="Consignment",N(W967)-R967,N(U967)-R967-N(V967)))</f>
        <v/>
      </c>
      <c r="Y967" s="29" t="str">
        <f aca="false">IF(OR(X967="",N(R967)=0),"",X967/R967)</f>
        <v/>
      </c>
      <c r="Z967" s="30" t="str">
        <f aca="true">IF(O967="","",IF(T967="",TODAY(),T967)-O967)</f>
        <v/>
      </c>
      <c r="AA967" s="31" t="str">
        <f aca="false">IF(T967="","",TEXT(T967,"YYYY-MM"))</f>
        <v/>
      </c>
      <c r="AB967" s="27" t="str">
        <f aca="false">IF(X967="","",X967/2)</f>
        <v/>
      </c>
      <c r="AC967" s="21"/>
    </row>
    <row r="968" customFormat="false" ht="15" hidden="false" customHeight="false" outlineLevel="0" collapsed="false">
      <c r="A968" s="20"/>
      <c r="B968" s="21"/>
      <c r="C968" s="21"/>
      <c r="D968" s="21"/>
      <c r="E968" s="21"/>
      <c r="F968" s="21"/>
      <c r="G968" s="22"/>
      <c r="H968" s="21"/>
      <c r="I968" s="21"/>
      <c r="J968" s="21"/>
      <c r="K968" s="23"/>
      <c r="L968" s="24"/>
      <c r="M968" s="21"/>
      <c r="N968" s="21"/>
      <c r="O968" s="25"/>
      <c r="P968" s="26"/>
      <c r="Q968" s="27" t="str">
        <f aca="false">IF(A968="","",SUMIF(Expenses!$B$2:$B$3000,A968,Expenses!$E$2:$E$3000))</f>
        <v/>
      </c>
      <c r="R968" s="27" t="str">
        <f aca="false">IF(A968="","",N(P968)+N(Q968))</f>
        <v/>
      </c>
      <c r="S968" s="28"/>
      <c r="T968" s="25"/>
      <c r="U968" s="26"/>
      <c r="V968" s="26"/>
      <c r="W968" s="26"/>
      <c r="X968" s="27" t="str">
        <f aca="false">IF(B968&lt;&gt;"SOLD","",IF(C968="Consignment",N(W968)-R968,N(U968)-R968-N(V968)))</f>
        <v/>
      </c>
      <c r="Y968" s="29" t="str">
        <f aca="false">IF(OR(X968="",N(R968)=0),"",X968/R968)</f>
        <v/>
      </c>
      <c r="Z968" s="30" t="str">
        <f aca="true">IF(O968="","",IF(T968="",TODAY(),T968)-O968)</f>
        <v/>
      </c>
      <c r="AA968" s="31" t="str">
        <f aca="false">IF(T968="","",TEXT(T968,"YYYY-MM"))</f>
        <v/>
      </c>
      <c r="AB968" s="27" t="str">
        <f aca="false">IF(X968="","",X968/2)</f>
        <v/>
      </c>
      <c r="AC968" s="21"/>
    </row>
    <row r="969" customFormat="false" ht="15" hidden="false" customHeight="false" outlineLevel="0" collapsed="false">
      <c r="A969" s="20"/>
      <c r="B969" s="21"/>
      <c r="C969" s="21"/>
      <c r="D969" s="21"/>
      <c r="E969" s="21"/>
      <c r="F969" s="21"/>
      <c r="G969" s="22"/>
      <c r="H969" s="21"/>
      <c r="I969" s="21"/>
      <c r="J969" s="21"/>
      <c r="K969" s="23"/>
      <c r="L969" s="24"/>
      <c r="M969" s="21"/>
      <c r="N969" s="21"/>
      <c r="O969" s="25"/>
      <c r="P969" s="26"/>
      <c r="Q969" s="27" t="str">
        <f aca="false">IF(A969="","",SUMIF(Expenses!$B$2:$B$3000,A969,Expenses!$E$2:$E$3000))</f>
        <v/>
      </c>
      <c r="R969" s="27" t="str">
        <f aca="false">IF(A969="","",N(P969)+N(Q969))</f>
        <v/>
      </c>
      <c r="S969" s="28"/>
      <c r="T969" s="25"/>
      <c r="U969" s="26"/>
      <c r="V969" s="26"/>
      <c r="W969" s="26"/>
      <c r="X969" s="27" t="str">
        <f aca="false">IF(B969&lt;&gt;"SOLD","",IF(C969="Consignment",N(W969)-R969,N(U969)-R969-N(V969)))</f>
        <v/>
      </c>
      <c r="Y969" s="29" t="str">
        <f aca="false">IF(OR(X969="",N(R969)=0),"",X969/R969)</f>
        <v/>
      </c>
      <c r="Z969" s="30" t="str">
        <f aca="true">IF(O969="","",IF(T969="",TODAY(),T969)-O969)</f>
        <v/>
      </c>
      <c r="AA969" s="31" t="str">
        <f aca="false">IF(T969="","",TEXT(T969,"YYYY-MM"))</f>
        <v/>
      </c>
      <c r="AB969" s="27" t="str">
        <f aca="false">IF(X969="","",X969/2)</f>
        <v/>
      </c>
      <c r="AC969" s="21"/>
    </row>
    <row r="970" customFormat="false" ht="15" hidden="false" customHeight="false" outlineLevel="0" collapsed="false">
      <c r="A970" s="20"/>
      <c r="B970" s="21"/>
      <c r="C970" s="21"/>
      <c r="D970" s="21"/>
      <c r="E970" s="21"/>
      <c r="F970" s="21"/>
      <c r="G970" s="22"/>
      <c r="H970" s="21"/>
      <c r="I970" s="21"/>
      <c r="J970" s="21"/>
      <c r="K970" s="23"/>
      <c r="L970" s="24"/>
      <c r="M970" s="21"/>
      <c r="N970" s="21"/>
      <c r="O970" s="25"/>
      <c r="P970" s="26"/>
      <c r="Q970" s="27" t="str">
        <f aca="false">IF(A970="","",SUMIF(Expenses!$B$2:$B$3000,A970,Expenses!$E$2:$E$3000))</f>
        <v/>
      </c>
      <c r="R970" s="27" t="str">
        <f aca="false">IF(A970="","",N(P970)+N(Q970))</f>
        <v/>
      </c>
      <c r="S970" s="28"/>
      <c r="T970" s="25"/>
      <c r="U970" s="26"/>
      <c r="V970" s="26"/>
      <c r="W970" s="26"/>
      <c r="X970" s="27" t="str">
        <f aca="false">IF(B970&lt;&gt;"SOLD","",IF(C970="Consignment",N(W970)-R970,N(U970)-R970-N(V970)))</f>
        <v/>
      </c>
      <c r="Y970" s="29" t="str">
        <f aca="false">IF(OR(X970="",N(R970)=0),"",X970/R970)</f>
        <v/>
      </c>
      <c r="Z970" s="30" t="str">
        <f aca="true">IF(O970="","",IF(T970="",TODAY(),T970)-O970)</f>
        <v/>
      </c>
      <c r="AA970" s="31" t="str">
        <f aca="false">IF(T970="","",TEXT(T970,"YYYY-MM"))</f>
        <v/>
      </c>
      <c r="AB970" s="27" t="str">
        <f aca="false">IF(X970="","",X970/2)</f>
        <v/>
      </c>
      <c r="AC970" s="21"/>
    </row>
    <row r="971" customFormat="false" ht="15" hidden="false" customHeight="false" outlineLevel="0" collapsed="false">
      <c r="A971" s="20"/>
      <c r="B971" s="21"/>
      <c r="C971" s="21"/>
      <c r="D971" s="21"/>
      <c r="E971" s="21"/>
      <c r="F971" s="21"/>
      <c r="G971" s="22"/>
      <c r="H971" s="21"/>
      <c r="I971" s="21"/>
      <c r="J971" s="21"/>
      <c r="K971" s="23"/>
      <c r="L971" s="24"/>
      <c r="M971" s="21"/>
      <c r="N971" s="21"/>
      <c r="O971" s="25"/>
      <c r="P971" s="26"/>
      <c r="Q971" s="27" t="str">
        <f aca="false">IF(A971="","",SUMIF(Expenses!$B$2:$B$3000,A971,Expenses!$E$2:$E$3000))</f>
        <v/>
      </c>
      <c r="R971" s="27" t="str">
        <f aca="false">IF(A971="","",N(P971)+N(Q971))</f>
        <v/>
      </c>
      <c r="S971" s="28"/>
      <c r="T971" s="25"/>
      <c r="U971" s="26"/>
      <c r="V971" s="26"/>
      <c r="W971" s="26"/>
      <c r="X971" s="27" t="str">
        <f aca="false">IF(B971&lt;&gt;"SOLD","",IF(C971="Consignment",N(W971)-R971,N(U971)-R971-N(V971)))</f>
        <v/>
      </c>
      <c r="Y971" s="29" t="str">
        <f aca="false">IF(OR(X971="",N(R971)=0),"",X971/R971)</f>
        <v/>
      </c>
      <c r="Z971" s="30" t="str">
        <f aca="true">IF(O971="","",IF(T971="",TODAY(),T971)-O971)</f>
        <v/>
      </c>
      <c r="AA971" s="31" t="str">
        <f aca="false">IF(T971="","",TEXT(T971,"YYYY-MM"))</f>
        <v/>
      </c>
      <c r="AB971" s="27" t="str">
        <f aca="false">IF(X971="","",X971/2)</f>
        <v/>
      </c>
      <c r="AC971" s="21"/>
    </row>
    <row r="972" customFormat="false" ht="15" hidden="false" customHeight="false" outlineLevel="0" collapsed="false">
      <c r="A972" s="20"/>
      <c r="B972" s="21"/>
      <c r="C972" s="21"/>
      <c r="D972" s="21"/>
      <c r="E972" s="21"/>
      <c r="F972" s="21"/>
      <c r="G972" s="22"/>
      <c r="H972" s="21"/>
      <c r="I972" s="21"/>
      <c r="J972" s="21"/>
      <c r="K972" s="23"/>
      <c r="L972" s="24"/>
      <c r="M972" s="21"/>
      <c r="N972" s="21"/>
      <c r="O972" s="25"/>
      <c r="P972" s="26"/>
      <c r="Q972" s="27" t="str">
        <f aca="false">IF(A972="","",SUMIF(Expenses!$B$2:$B$3000,A972,Expenses!$E$2:$E$3000))</f>
        <v/>
      </c>
      <c r="R972" s="27" t="str">
        <f aca="false">IF(A972="","",N(P972)+N(Q972))</f>
        <v/>
      </c>
      <c r="S972" s="28"/>
      <c r="T972" s="25"/>
      <c r="U972" s="26"/>
      <c r="V972" s="26"/>
      <c r="W972" s="26"/>
      <c r="X972" s="27" t="str">
        <f aca="false">IF(B972&lt;&gt;"SOLD","",IF(C972="Consignment",N(W972)-R972,N(U972)-R972-N(V972)))</f>
        <v/>
      </c>
      <c r="Y972" s="29" t="str">
        <f aca="false">IF(OR(X972="",N(R972)=0),"",X972/R972)</f>
        <v/>
      </c>
      <c r="Z972" s="30" t="str">
        <f aca="true">IF(O972="","",IF(T972="",TODAY(),T972)-O972)</f>
        <v/>
      </c>
      <c r="AA972" s="31" t="str">
        <f aca="false">IF(T972="","",TEXT(T972,"YYYY-MM"))</f>
        <v/>
      </c>
      <c r="AB972" s="27" t="str">
        <f aca="false">IF(X972="","",X972/2)</f>
        <v/>
      </c>
      <c r="AC972" s="21"/>
    </row>
    <row r="973" customFormat="false" ht="15" hidden="false" customHeight="false" outlineLevel="0" collapsed="false">
      <c r="A973" s="20"/>
      <c r="B973" s="21"/>
      <c r="C973" s="21"/>
      <c r="D973" s="21"/>
      <c r="E973" s="21"/>
      <c r="F973" s="21"/>
      <c r="G973" s="22"/>
      <c r="H973" s="21"/>
      <c r="I973" s="21"/>
      <c r="J973" s="21"/>
      <c r="K973" s="23"/>
      <c r="L973" s="24"/>
      <c r="M973" s="21"/>
      <c r="N973" s="21"/>
      <c r="O973" s="25"/>
      <c r="P973" s="26"/>
      <c r="Q973" s="27" t="str">
        <f aca="false">IF(A973="","",SUMIF(Expenses!$B$2:$B$3000,A973,Expenses!$E$2:$E$3000))</f>
        <v/>
      </c>
      <c r="R973" s="27" t="str">
        <f aca="false">IF(A973="","",N(P973)+N(Q973))</f>
        <v/>
      </c>
      <c r="S973" s="28"/>
      <c r="T973" s="25"/>
      <c r="U973" s="26"/>
      <c r="V973" s="26"/>
      <c r="W973" s="26"/>
      <c r="X973" s="27" t="str">
        <f aca="false">IF(B973&lt;&gt;"SOLD","",IF(C973="Consignment",N(W973)-R973,N(U973)-R973-N(V973)))</f>
        <v/>
      </c>
      <c r="Y973" s="29" t="str">
        <f aca="false">IF(OR(X973="",N(R973)=0),"",X973/R973)</f>
        <v/>
      </c>
      <c r="Z973" s="30" t="str">
        <f aca="true">IF(O973="","",IF(T973="",TODAY(),T973)-O973)</f>
        <v/>
      </c>
      <c r="AA973" s="31" t="str">
        <f aca="false">IF(T973="","",TEXT(T973,"YYYY-MM"))</f>
        <v/>
      </c>
      <c r="AB973" s="27" t="str">
        <f aca="false">IF(X973="","",X973/2)</f>
        <v/>
      </c>
      <c r="AC973" s="21"/>
    </row>
    <row r="974" customFormat="false" ht="15" hidden="false" customHeight="false" outlineLevel="0" collapsed="false">
      <c r="A974" s="20"/>
      <c r="B974" s="21"/>
      <c r="C974" s="21"/>
      <c r="D974" s="21"/>
      <c r="E974" s="21"/>
      <c r="F974" s="21"/>
      <c r="G974" s="22"/>
      <c r="H974" s="21"/>
      <c r="I974" s="21"/>
      <c r="J974" s="21"/>
      <c r="K974" s="23"/>
      <c r="L974" s="24"/>
      <c r="M974" s="21"/>
      <c r="N974" s="21"/>
      <c r="O974" s="25"/>
      <c r="P974" s="26"/>
      <c r="Q974" s="27" t="str">
        <f aca="false">IF(A974="","",SUMIF(Expenses!$B$2:$B$3000,A974,Expenses!$E$2:$E$3000))</f>
        <v/>
      </c>
      <c r="R974" s="27" t="str">
        <f aca="false">IF(A974="","",N(P974)+N(Q974))</f>
        <v/>
      </c>
      <c r="S974" s="28"/>
      <c r="T974" s="25"/>
      <c r="U974" s="26"/>
      <c r="V974" s="26"/>
      <c r="W974" s="26"/>
      <c r="X974" s="27" t="str">
        <f aca="false">IF(B974&lt;&gt;"SOLD","",IF(C974="Consignment",N(W974)-R974,N(U974)-R974-N(V974)))</f>
        <v/>
      </c>
      <c r="Y974" s="29" t="str">
        <f aca="false">IF(OR(X974="",N(R974)=0),"",X974/R974)</f>
        <v/>
      </c>
      <c r="Z974" s="30" t="str">
        <f aca="true">IF(O974="","",IF(T974="",TODAY(),T974)-O974)</f>
        <v/>
      </c>
      <c r="AA974" s="31" t="str">
        <f aca="false">IF(T974="","",TEXT(T974,"YYYY-MM"))</f>
        <v/>
      </c>
      <c r="AB974" s="27" t="str">
        <f aca="false">IF(X974="","",X974/2)</f>
        <v/>
      </c>
      <c r="AC974" s="21"/>
    </row>
    <row r="975" customFormat="false" ht="15" hidden="false" customHeight="false" outlineLevel="0" collapsed="false">
      <c r="A975" s="20"/>
      <c r="B975" s="21"/>
      <c r="C975" s="21"/>
      <c r="D975" s="21"/>
      <c r="E975" s="21"/>
      <c r="F975" s="21"/>
      <c r="G975" s="22"/>
      <c r="H975" s="21"/>
      <c r="I975" s="21"/>
      <c r="J975" s="21"/>
      <c r="K975" s="23"/>
      <c r="L975" s="24"/>
      <c r="M975" s="21"/>
      <c r="N975" s="21"/>
      <c r="O975" s="25"/>
      <c r="P975" s="26"/>
      <c r="Q975" s="27" t="str">
        <f aca="false">IF(A975="","",SUMIF(Expenses!$B$2:$B$3000,A975,Expenses!$E$2:$E$3000))</f>
        <v/>
      </c>
      <c r="R975" s="27" t="str">
        <f aca="false">IF(A975="","",N(P975)+N(Q975))</f>
        <v/>
      </c>
      <c r="S975" s="28"/>
      <c r="T975" s="25"/>
      <c r="U975" s="26"/>
      <c r="V975" s="26"/>
      <c r="W975" s="26"/>
      <c r="X975" s="27" t="str">
        <f aca="false">IF(B975&lt;&gt;"SOLD","",IF(C975="Consignment",N(W975)-R975,N(U975)-R975-N(V975)))</f>
        <v/>
      </c>
      <c r="Y975" s="29" t="str">
        <f aca="false">IF(OR(X975="",N(R975)=0),"",X975/R975)</f>
        <v/>
      </c>
      <c r="Z975" s="30" t="str">
        <f aca="true">IF(O975="","",IF(T975="",TODAY(),T975)-O975)</f>
        <v/>
      </c>
      <c r="AA975" s="31" t="str">
        <f aca="false">IF(T975="","",TEXT(T975,"YYYY-MM"))</f>
        <v/>
      </c>
      <c r="AB975" s="27" t="str">
        <f aca="false">IF(X975="","",X975/2)</f>
        <v/>
      </c>
      <c r="AC975" s="21"/>
    </row>
    <row r="976" customFormat="false" ht="15" hidden="false" customHeight="false" outlineLevel="0" collapsed="false">
      <c r="A976" s="20"/>
      <c r="B976" s="21"/>
      <c r="C976" s="21"/>
      <c r="D976" s="21"/>
      <c r="E976" s="21"/>
      <c r="F976" s="21"/>
      <c r="G976" s="22"/>
      <c r="H976" s="21"/>
      <c r="I976" s="21"/>
      <c r="J976" s="21"/>
      <c r="K976" s="23"/>
      <c r="L976" s="24"/>
      <c r="M976" s="21"/>
      <c r="N976" s="21"/>
      <c r="O976" s="25"/>
      <c r="P976" s="26"/>
      <c r="Q976" s="27" t="str">
        <f aca="false">IF(A976="","",SUMIF(Expenses!$B$2:$B$3000,A976,Expenses!$E$2:$E$3000))</f>
        <v/>
      </c>
      <c r="R976" s="27" t="str">
        <f aca="false">IF(A976="","",N(P976)+N(Q976))</f>
        <v/>
      </c>
      <c r="S976" s="28"/>
      <c r="T976" s="25"/>
      <c r="U976" s="26"/>
      <c r="V976" s="26"/>
      <c r="W976" s="26"/>
      <c r="X976" s="27" t="str">
        <f aca="false">IF(B976&lt;&gt;"SOLD","",IF(C976="Consignment",N(W976)-R976,N(U976)-R976-N(V976)))</f>
        <v/>
      </c>
      <c r="Y976" s="29" t="str">
        <f aca="false">IF(OR(X976="",N(R976)=0),"",X976/R976)</f>
        <v/>
      </c>
      <c r="Z976" s="30" t="str">
        <f aca="true">IF(O976="","",IF(T976="",TODAY(),T976)-O976)</f>
        <v/>
      </c>
      <c r="AA976" s="31" t="str">
        <f aca="false">IF(T976="","",TEXT(T976,"YYYY-MM"))</f>
        <v/>
      </c>
      <c r="AB976" s="27" t="str">
        <f aca="false">IF(X976="","",X976/2)</f>
        <v/>
      </c>
      <c r="AC976" s="21"/>
    </row>
    <row r="977" customFormat="false" ht="15" hidden="false" customHeight="false" outlineLevel="0" collapsed="false">
      <c r="A977" s="20"/>
      <c r="B977" s="21"/>
      <c r="C977" s="21"/>
      <c r="D977" s="21"/>
      <c r="E977" s="21"/>
      <c r="F977" s="21"/>
      <c r="G977" s="22"/>
      <c r="H977" s="21"/>
      <c r="I977" s="21"/>
      <c r="J977" s="21"/>
      <c r="K977" s="23"/>
      <c r="L977" s="24"/>
      <c r="M977" s="21"/>
      <c r="N977" s="21"/>
      <c r="O977" s="25"/>
      <c r="P977" s="26"/>
      <c r="Q977" s="27" t="str">
        <f aca="false">IF(A977="","",SUMIF(Expenses!$B$2:$B$3000,A977,Expenses!$E$2:$E$3000))</f>
        <v/>
      </c>
      <c r="R977" s="27" t="str">
        <f aca="false">IF(A977="","",N(P977)+N(Q977))</f>
        <v/>
      </c>
      <c r="S977" s="28"/>
      <c r="T977" s="25"/>
      <c r="U977" s="26"/>
      <c r="V977" s="26"/>
      <c r="W977" s="26"/>
      <c r="X977" s="27" t="str">
        <f aca="false">IF(B977&lt;&gt;"SOLD","",IF(C977="Consignment",N(W977)-R977,N(U977)-R977-N(V977)))</f>
        <v/>
      </c>
      <c r="Y977" s="29" t="str">
        <f aca="false">IF(OR(X977="",N(R977)=0),"",X977/R977)</f>
        <v/>
      </c>
      <c r="Z977" s="30" t="str">
        <f aca="true">IF(O977="","",IF(T977="",TODAY(),T977)-O977)</f>
        <v/>
      </c>
      <c r="AA977" s="31" t="str">
        <f aca="false">IF(T977="","",TEXT(T977,"YYYY-MM"))</f>
        <v/>
      </c>
      <c r="AB977" s="27" t="str">
        <f aca="false">IF(X977="","",X977/2)</f>
        <v/>
      </c>
      <c r="AC977" s="21"/>
    </row>
    <row r="978" customFormat="false" ht="15" hidden="false" customHeight="false" outlineLevel="0" collapsed="false">
      <c r="A978" s="20"/>
      <c r="B978" s="21"/>
      <c r="C978" s="21"/>
      <c r="D978" s="21"/>
      <c r="E978" s="21"/>
      <c r="F978" s="21"/>
      <c r="G978" s="22"/>
      <c r="H978" s="21"/>
      <c r="I978" s="21"/>
      <c r="J978" s="21"/>
      <c r="K978" s="23"/>
      <c r="L978" s="24"/>
      <c r="M978" s="21"/>
      <c r="N978" s="21"/>
      <c r="O978" s="25"/>
      <c r="P978" s="26"/>
      <c r="Q978" s="27" t="str">
        <f aca="false">IF(A978="","",SUMIF(Expenses!$B$2:$B$3000,A978,Expenses!$E$2:$E$3000))</f>
        <v/>
      </c>
      <c r="R978" s="27" t="str">
        <f aca="false">IF(A978="","",N(P978)+N(Q978))</f>
        <v/>
      </c>
      <c r="S978" s="28"/>
      <c r="T978" s="25"/>
      <c r="U978" s="26"/>
      <c r="V978" s="26"/>
      <c r="W978" s="26"/>
      <c r="X978" s="27" t="str">
        <f aca="false">IF(B978&lt;&gt;"SOLD","",IF(C978="Consignment",N(W978)-R978,N(U978)-R978-N(V978)))</f>
        <v/>
      </c>
      <c r="Y978" s="29" t="str">
        <f aca="false">IF(OR(X978="",N(R978)=0),"",X978/R978)</f>
        <v/>
      </c>
      <c r="Z978" s="30" t="str">
        <f aca="true">IF(O978="","",IF(T978="",TODAY(),T978)-O978)</f>
        <v/>
      </c>
      <c r="AA978" s="31" t="str">
        <f aca="false">IF(T978="","",TEXT(T978,"YYYY-MM"))</f>
        <v/>
      </c>
      <c r="AB978" s="27" t="str">
        <f aca="false">IF(X978="","",X978/2)</f>
        <v/>
      </c>
      <c r="AC978" s="21"/>
    </row>
    <row r="979" customFormat="false" ht="15" hidden="false" customHeight="false" outlineLevel="0" collapsed="false">
      <c r="A979" s="20"/>
      <c r="B979" s="21"/>
      <c r="C979" s="21"/>
      <c r="D979" s="21"/>
      <c r="E979" s="21"/>
      <c r="F979" s="21"/>
      <c r="G979" s="22"/>
      <c r="H979" s="21"/>
      <c r="I979" s="21"/>
      <c r="J979" s="21"/>
      <c r="K979" s="23"/>
      <c r="L979" s="24"/>
      <c r="M979" s="21"/>
      <c r="N979" s="21"/>
      <c r="O979" s="25"/>
      <c r="P979" s="26"/>
      <c r="Q979" s="27" t="str">
        <f aca="false">IF(A979="","",SUMIF(Expenses!$B$2:$B$3000,A979,Expenses!$E$2:$E$3000))</f>
        <v/>
      </c>
      <c r="R979" s="27" t="str">
        <f aca="false">IF(A979="","",N(P979)+N(Q979))</f>
        <v/>
      </c>
      <c r="S979" s="28"/>
      <c r="T979" s="25"/>
      <c r="U979" s="26"/>
      <c r="V979" s="26"/>
      <c r="W979" s="26"/>
      <c r="X979" s="27" t="str">
        <f aca="false">IF(B979&lt;&gt;"SOLD","",IF(C979="Consignment",N(W979)-R979,N(U979)-R979-N(V979)))</f>
        <v/>
      </c>
      <c r="Y979" s="29" t="str">
        <f aca="false">IF(OR(X979="",N(R979)=0),"",X979/R979)</f>
        <v/>
      </c>
      <c r="Z979" s="30" t="str">
        <f aca="true">IF(O979="","",IF(T979="",TODAY(),T979)-O979)</f>
        <v/>
      </c>
      <c r="AA979" s="31" t="str">
        <f aca="false">IF(T979="","",TEXT(T979,"YYYY-MM"))</f>
        <v/>
      </c>
      <c r="AB979" s="27" t="str">
        <f aca="false">IF(X979="","",X979/2)</f>
        <v/>
      </c>
      <c r="AC979" s="21"/>
    </row>
    <row r="980" customFormat="false" ht="15" hidden="false" customHeight="false" outlineLevel="0" collapsed="false">
      <c r="A980" s="20"/>
      <c r="B980" s="21"/>
      <c r="C980" s="21"/>
      <c r="D980" s="21"/>
      <c r="E980" s="21"/>
      <c r="F980" s="21"/>
      <c r="G980" s="22"/>
      <c r="H980" s="21"/>
      <c r="I980" s="21"/>
      <c r="J980" s="21"/>
      <c r="K980" s="23"/>
      <c r="L980" s="24"/>
      <c r="M980" s="21"/>
      <c r="N980" s="21"/>
      <c r="O980" s="25"/>
      <c r="P980" s="26"/>
      <c r="Q980" s="27" t="str">
        <f aca="false">IF(A980="","",SUMIF(Expenses!$B$2:$B$3000,A980,Expenses!$E$2:$E$3000))</f>
        <v/>
      </c>
      <c r="R980" s="27" t="str">
        <f aca="false">IF(A980="","",N(P980)+N(Q980))</f>
        <v/>
      </c>
      <c r="S980" s="28"/>
      <c r="T980" s="25"/>
      <c r="U980" s="26"/>
      <c r="V980" s="26"/>
      <c r="W980" s="26"/>
      <c r="X980" s="27" t="str">
        <f aca="false">IF(B980&lt;&gt;"SOLD","",IF(C980="Consignment",N(W980)-R980,N(U980)-R980-N(V980)))</f>
        <v/>
      </c>
      <c r="Y980" s="29" t="str">
        <f aca="false">IF(OR(X980="",N(R980)=0),"",X980/R980)</f>
        <v/>
      </c>
      <c r="Z980" s="30" t="str">
        <f aca="true">IF(O980="","",IF(T980="",TODAY(),T980)-O980)</f>
        <v/>
      </c>
      <c r="AA980" s="31" t="str">
        <f aca="false">IF(T980="","",TEXT(T980,"YYYY-MM"))</f>
        <v/>
      </c>
      <c r="AB980" s="27" t="str">
        <f aca="false">IF(X980="","",X980/2)</f>
        <v/>
      </c>
      <c r="AC980" s="21"/>
    </row>
    <row r="981" customFormat="false" ht="15" hidden="false" customHeight="false" outlineLevel="0" collapsed="false">
      <c r="A981" s="20"/>
      <c r="B981" s="21"/>
      <c r="C981" s="21"/>
      <c r="D981" s="21"/>
      <c r="E981" s="21"/>
      <c r="F981" s="21"/>
      <c r="G981" s="22"/>
      <c r="H981" s="21"/>
      <c r="I981" s="21"/>
      <c r="J981" s="21"/>
      <c r="K981" s="23"/>
      <c r="L981" s="24"/>
      <c r="M981" s="21"/>
      <c r="N981" s="21"/>
      <c r="O981" s="25"/>
      <c r="P981" s="26"/>
      <c r="Q981" s="27" t="str">
        <f aca="false">IF(A981="","",SUMIF(Expenses!$B$2:$B$3000,A981,Expenses!$E$2:$E$3000))</f>
        <v/>
      </c>
      <c r="R981" s="27" t="str">
        <f aca="false">IF(A981="","",N(P981)+N(Q981))</f>
        <v/>
      </c>
      <c r="S981" s="28"/>
      <c r="T981" s="25"/>
      <c r="U981" s="26"/>
      <c r="V981" s="26"/>
      <c r="W981" s="26"/>
      <c r="X981" s="27" t="str">
        <f aca="false">IF(B981&lt;&gt;"SOLD","",IF(C981="Consignment",N(W981)-R981,N(U981)-R981-N(V981)))</f>
        <v/>
      </c>
      <c r="Y981" s="29" t="str">
        <f aca="false">IF(OR(X981="",N(R981)=0),"",X981/R981)</f>
        <v/>
      </c>
      <c r="Z981" s="30" t="str">
        <f aca="true">IF(O981="","",IF(T981="",TODAY(),T981)-O981)</f>
        <v/>
      </c>
      <c r="AA981" s="31" t="str">
        <f aca="false">IF(T981="","",TEXT(T981,"YYYY-MM"))</f>
        <v/>
      </c>
      <c r="AB981" s="27" t="str">
        <f aca="false">IF(X981="","",X981/2)</f>
        <v/>
      </c>
      <c r="AC981" s="21"/>
    </row>
    <row r="982" customFormat="false" ht="15" hidden="false" customHeight="false" outlineLevel="0" collapsed="false">
      <c r="A982" s="20"/>
      <c r="B982" s="21"/>
      <c r="C982" s="21"/>
      <c r="D982" s="21"/>
      <c r="E982" s="21"/>
      <c r="F982" s="21"/>
      <c r="G982" s="22"/>
      <c r="H982" s="21"/>
      <c r="I982" s="21"/>
      <c r="J982" s="21"/>
      <c r="K982" s="23"/>
      <c r="L982" s="24"/>
      <c r="M982" s="21"/>
      <c r="N982" s="21"/>
      <c r="O982" s="25"/>
      <c r="P982" s="26"/>
      <c r="Q982" s="27" t="str">
        <f aca="false">IF(A982="","",SUMIF(Expenses!$B$2:$B$3000,A982,Expenses!$E$2:$E$3000))</f>
        <v/>
      </c>
      <c r="R982" s="27" t="str">
        <f aca="false">IF(A982="","",N(P982)+N(Q982))</f>
        <v/>
      </c>
      <c r="S982" s="28"/>
      <c r="T982" s="25"/>
      <c r="U982" s="26"/>
      <c r="V982" s="26"/>
      <c r="W982" s="26"/>
      <c r="X982" s="27" t="str">
        <f aca="false">IF(B982&lt;&gt;"SOLD","",IF(C982="Consignment",N(W982)-R982,N(U982)-R982-N(V982)))</f>
        <v/>
      </c>
      <c r="Y982" s="29" t="str">
        <f aca="false">IF(OR(X982="",N(R982)=0),"",X982/R982)</f>
        <v/>
      </c>
      <c r="Z982" s="30" t="str">
        <f aca="true">IF(O982="","",IF(T982="",TODAY(),T982)-O982)</f>
        <v/>
      </c>
      <c r="AA982" s="31" t="str">
        <f aca="false">IF(T982="","",TEXT(T982,"YYYY-MM"))</f>
        <v/>
      </c>
      <c r="AB982" s="27" t="str">
        <f aca="false">IF(X982="","",X982/2)</f>
        <v/>
      </c>
      <c r="AC982" s="21"/>
    </row>
    <row r="983" customFormat="false" ht="15" hidden="false" customHeight="false" outlineLevel="0" collapsed="false">
      <c r="A983" s="20"/>
      <c r="B983" s="21"/>
      <c r="C983" s="21"/>
      <c r="D983" s="21"/>
      <c r="E983" s="21"/>
      <c r="F983" s="21"/>
      <c r="G983" s="22"/>
      <c r="H983" s="21"/>
      <c r="I983" s="21"/>
      <c r="J983" s="21"/>
      <c r="K983" s="23"/>
      <c r="L983" s="24"/>
      <c r="M983" s="21"/>
      <c r="N983" s="21"/>
      <c r="O983" s="25"/>
      <c r="P983" s="26"/>
      <c r="Q983" s="27" t="str">
        <f aca="false">IF(A983="","",SUMIF(Expenses!$B$2:$B$3000,A983,Expenses!$E$2:$E$3000))</f>
        <v/>
      </c>
      <c r="R983" s="27" t="str">
        <f aca="false">IF(A983="","",N(P983)+N(Q983))</f>
        <v/>
      </c>
      <c r="S983" s="28"/>
      <c r="T983" s="25"/>
      <c r="U983" s="26"/>
      <c r="V983" s="26"/>
      <c r="W983" s="26"/>
      <c r="X983" s="27" t="str">
        <f aca="false">IF(B983&lt;&gt;"SOLD","",IF(C983="Consignment",N(W983)-R983,N(U983)-R983-N(V983)))</f>
        <v/>
      </c>
      <c r="Y983" s="29" t="str">
        <f aca="false">IF(OR(X983="",N(R983)=0),"",X983/R983)</f>
        <v/>
      </c>
      <c r="Z983" s="30" t="str">
        <f aca="true">IF(O983="","",IF(T983="",TODAY(),T983)-O983)</f>
        <v/>
      </c>
      <c r="AA983" s="31" t="str">
        <f aca="false">IF(T983="","",TEXT(T983,"YYYY-MM"))</f>
        <v/>
      </c>
      <c r="AB983" s="27" t="str">
        <f aca="false">IF(X983="","",X983/2)</f>
        <v/>
      </c>
      <c r="AC983" s="21"/>
    </row>
    <row r="984" customFormat="false" ht="15" hidden="false" customHeight="false" outlineLevel="0" collapsed="false">
      <c r="A984" s="20"/>
      <c r="B984" s="21"/>
      <c r="C984" s="21"/>
      <c r="D984" s="21"/>
      <c r="E984" s="21"/>
      <c r="F984" s="21"/>
      <c r="G984" s="22"/>
      <c r="H984" s="21"/>
      <c r="I984" s="21"/>
      <c r="J984" s="21"/>
      <c r="K984" s="23"/>
      <c r="L984" s="24"/>
      <c r="M984" s="21"/>
      <c r="N984" s="21"/>
      <c r="O984" s="25"/>
      <c r="P984" s="26"/>
      <c r="Q984" s="27" t="str">
        <f aca="false">IF(A984="","",SUMIF(Expenses!$B$2:$B$3000,A984,Expenses!$E$2:$E$3000))</f>
        <v/>
      </c>
      <c r="R984" s="27" t="str">
        <f aca="false">IF(A984="","",N(P984)+N(Q984))</f>
        <v/>
      </c>
      <c r="S984" s="28"/>
      <c r="T984" s="25"/>
      <c r="U984" s="26"/>
      <c r="V984" s="26"/>
      <c r="W984" s="26"/>
      <c r="X984" s="27" t="str">
        <f aca="false">IF(B984&lt;&gt;"SOLD","",IF(C984="Consignment",N(W984)-R984,N(U984)-R984-N(V984)))</f>
        <v/>
      </c>
      <c r="Y984" s="29" t="str">
        <f aca="false">IF(OR(X984="",N(R984)=0),"",X984/R984)</f>
        <v/>
      </c>
      <c r="Z984" s="30" t="str">
        <f aca="true">IF(O984="","",IF(T984="",TODAY(),T984)-O984)</f>
        <v/>
      </c>
      <c r="AA984" s="31" t="str">
        <f aca="false">IF(T984="","",TEXT(T984,"YYYY-MM"))</f>
        <v/>
      </c>
      <c r="AB984" s="27" t="str">
        <f aca="false">IF(X984="","",X984/2)</f>
        <v/>
      </c>
      <c r="AC984" s="21"/>
    </row>
    <row r="985" customFormat="false" ht="15" hidden="false" customHeight="false" outlineLevel="0" collapsed="false">
      <c r="A985" s="20"/>
      <c r="B985" s="21"/>
      <c r="C985" s="21"/>
      <c r="D985" s="21"/>
      <c r="E985" s="21"/>
      <c r="F985" s="21"/>
      <c r="G985" s="22"/>
      <c r="H985" s="21"/>
      <c r="I985" s="21"/>
      <c r="J985" s="21"/>
      <c r="K985" s="23"/>
      <c r="L985" s="24"/>
      <c r="M985" s="21"/>
      <c r="N985" s="21"/>
      <c r="O985" s="25"/>
      <c r="P985" s="26"/>
      <c r="Q985" s="27" t="str">
        <f aca="false">IF(A985="","",SUMIF(Expenses!$B$2:$B$3000,A985,Expenses!$E$2:$E$3000))</f>
        <v/>
      </c>
      <c r="R985" s="27" t="str">
        <f aca="false">IF(A985="","",N(P985)+N(Q985))</f>
        <v/>
      </c>
      <c r="S985" s="28"/>
      <c r="T985" s="25"/>
      <c r="U985" s="26"/>
      <c r="V985" s="26"/>
      <c r="W985" s="26"/>
      <c r="X985" s="27" t="str">
        <f aca="false">IF(B985&lt;&gt;"SOLD","",IF(C985="Consignment",N(W985)-R985,N(U985)-R985-N(V985)))</f>
        <v/>
      </c>
      <c r="Y985" s="29" t="str">
        <f aca="false">IF(OR(X985="",N(R985)=0),"",X985/R985)</f>
        <v/>
      </c>
      <c r="Z985" s="30" t="str">
        <f aca="true">IF(O985="","",IF(T985="",TODAY(),T985)-O985)</f>
        <v/>
      </c>
      <c r="AA985" s="31" t="str">
        <f aca="false">IF(T985="","",TEXT(T985,"YYYY-MM"))</f>
        <v/>
      </c>
      <c r="AB985" s="27" t="str">
        <f aca="false">IF(X985="","",X985/2)</f>
        <v/>
      </c>
      <c r="AC985" s="21"/>
    </row>
    <row r="986" customFormat="false" ht="15" hidden="false" customHeight="false" outlineLevel="0" collapsed="false">
      <c r="A986" s="20"/>
      <c r="B986" s="21"/>
      <c r="C986" s="21"/>
      <c r="D986" s="21"/>
      <c r="E986" s="21"/>
      <c r="F986" s="21"/>
      <c r="G986" s="22"/>
      <c r="H986" s="21"/>
      <c r="I986" s="21"/>
      <c r="J986" s="21"/>
      <c r="K986" s="23"/>
      <c r="L986" s="24"/>
      <c r="M986" s="21"/>
      <c r="N986" s="21"/>
      <c r="O986" s="25"/>
      <c r="P986" s="26"/>
      <c r="Q986" s="27" t="str">
        <f aca="false">IF(A986="","",SUMIF(Expenses!$B$2:$B$3000,A986,Expenses!$E$2:$E$3000))</f>
        <v/>
      </c>
      <c r="R986" s="27" t="str">
        <f aca="false">IF(A986="","",N(P986)+N(Q986))</f>
        <v/>
      </c>
      <c r="S986" s="28"/>
      <c r="T986" s="25"/>
      <c r="U986" s="26"/>
      <c r="V986" s="26"/>
      <c r="W986" s="26"/>
      <c r="X986" s="27" t="str">
        <f aca="false">IF(B986&lt;&gt;"SOLD","",IF(C986="Consignment",N(W986)-R986,N(U986)-R986-N(V986)))</f>
        <v/>
      </c>
      <c r="Y986" s="29" t="str">
        <f aca="false">IF(OR(X986="",N(R986)=0),"",X986/R986)</f>
        <v/>
      </c>
      <c r="Z986" s="30" t="str">
        <f aca="true">IF(O986="","",IF(T986="",TODAY(),T986)-O986)</f>
        <v/>
      </c>
      <c r="AA986" s="31" t="str">
        <f aca="false">IF(T986="","",TEXT(T986,"YYYY-MM"))</f>
        <v/>
      </c>
      <c r="AB986" s="27" t="str">
        <f aca="false">IF(X986="","",X986/2)</f>
        <v/>
      </c>
      <c r="AC986" s="21"/>
    </row>
    <row r="987" customFormat="false" ht="15" hidden="false" customHeight="false" outlineLevel="0" collapsed="false">
      <c r="A987" s="20"/>
      <c r="B987" s="21"/>
      <c r="C987" s="21"/>
      <c r="D987" s="21"/>
      <c r="E987" s="21"/>
      <c r="F987" s="21"/>
      <c r="G987" s="22"/>
      <c r="H987" s="21"/>
      <c r="I987" s="21"/>
      <c r="J987" s="21"/>
      <c r="K987" s="23"/>
      <c r="L987" s="24"/>
      <c r="M987" s="21"/>
      <c r="N987" s="21"/>
      <c r="O987" s="25"/>
      <c r="P987" s="26"/>
      <c r="Q987" s="27" t="str">
        <f aca="false">IF(A987="","",SUMIF(Expenses!$B$2:$B$3000,A987,Expenses!$E$2:$E$3000))</f>
        <v/>
      </c>
      <c r="R987" s="27" t="str">
        <f aca="false">IF(A987="","",N(P987)+N(Q987))</f>
        <v/>
      </c>
      <c r="S987" s="28"/>
      <c r="T987" s="25"/>
      <c r="U987" s="26"/>
      <c r="V987" s="26"/>
      <c r="W987" s="26"/>
      <c r="X987" s="27" t="str">
        <f aca="false">IF(B987&lt;&gt;"SOLD","",IF(C987="Consignment",N(W987)-R987,N(U987)-R987-N(V987)))</f>
        <v/>
      </c>
      <c r="Y987" s="29" t="str">
        <f aca="false">IF(OR(X987="",N(R987)=0),"",X987/R987)</f>
        <v/>
      </c>
      <c r="Z987" s="30" t="str">
        <f aca="true">IF(O987="","",IF(T987="",TODAY(),T987)-O987)</f>
        <v/>
      </c>
      <c r="AA987" s="31" t="str">
        <f aca="false">IF(T987="","",TEXT(T987,"YYYY-MM"))</f>
        <v/>
      </c>
      <c r="AB987" s="27" t="str">
        <f aca="false">IF(X987="","",X987/2)</f>
        <v/>
      </c>
      <c r="AC987" s="21"/>
    </row>
    <row r="988" customFormat="false" ht="15" hidden="false" customHeight="false" outlineLevel="0" collapsed="false">
      <c r="A988" s="20"/>
      <c r="B988" s="21"/>
      <c r="C988" s="21"/>
      <c r="D988" s="21"/>
      <c r="E988" s="21"/>
      <c r="F988" s="21"/>
      <c r="G988" s="22"/>
      <c r="H988" s="21"/>
      <c r="I988" s="21"/>
      <c r="J988" s="21"/>
      <c r="K988" s="23"/>
      <c r="L988" s="24"/>
      <c r="M988" s="21"/>
      <c r="N988" s="21"/>
      <c r="O988" s="25"/>
      <c r="P988" s="26"/>
      <c r="Q988" s="27" t="str">
        <f aca="false">IF(A988="","",SUMIF(Expenses!$B$2:$B$3000,A988,Expenses!$E$2:$E$3000))</f>
        <v/>
      </c>
      <c r="R988" s="27" t="str">
        <f aca="false">IF(A988="","",N(P988)+N(Q988))</f>
        <v/>
      </c>
      <c r="S988" s="28"/>
      <c r="T988" s="25"/>
      <c r="U988" s="26"/>
      <c r="V988" s="26"/>
      <c r="W988" s="26"/>
      <c r="X988" s="27" t="str">
        <f aca="false">IF(B988&lt;&gt;"SOLD","",IF(C988="Consignment",N(W988)-R988,N(U988)-R988-N(V988)))</f>
        <v/>
      </c>
      <c r="Y988" s="29" t="str">
        <f aca="false">IF(OR(X988="",N(R988)=0),"",X988/R988)</f>
        <v/>
      </c>
      <c r="Z988" s="30" t="str">
        <f aca="true">IF(O988="","",IF(T988="",TODAY(),T988)-O988)</f>
        <v/>
      </c>
      <c r="AA988" s="31" t="str">
        <f aca="false">IF(T988="","",TEXT(T988,"YYYY-MM"))</f>
        <v/>
      </c>
      <c r="AB988" s="27" t="str">
        <f aca="false">IF(X988="","",X988/2)</f>
        <v/>
      </c>
      <c r="AC988" s="21"/>
    </row>
    <row r="989" customFormat="false" ht="15" hidden="false" customHeight="false" outlineLevel="0" collapsed="false">
      <c r="A989" s="20"/>
      <c r="B989" s="21"/>
      <c r="C989" s="21"/>
      <c r="D989" s="21"/>
      <c r="E989" s="21"/>
      <c r="F989" s="21"/>
      <c r="G989" s="22"/>
      <c r="H989" s="21"/>
      <c r="I989" s="21"/>
      <c r="J989" s="21"/>
      <c r="K989" s="23"/>
      <c r="L989" s="24"/>
      <c r="M989" s="21"/>
      <c r="N989" s="21"/>
      <c r="O989" s="25"/>
      <c r="P989" s="26"/>
      <c r="Q989" s="27" t="str">
        <f aca="false">IF(A989="","",SUMIF(Expenses!$B$2:$B$3000,A989,Expenses!$E$2:$E$3000))</f>
        <v/>
      </c>
      <c r="R989" s="27" t="str">
        <f aca="false">IF(A989="","",N(P989)+N(Q989))</f>
        <v/>
      </c>
      <c r="S989" s="28"/>
      <c r="T989" s="25"/>
      <c r="U989" s="26"/>
      <c r="V989" s="26"/>
      <c r="W989" s="26"/>
      <c r="X989" s="27" t="str">
        <f aca="false">IF(B989&lt;&gt;"SOLD","",IF(C989="Consignment",N(W989)-R989,N(U989)-R989-N(V989)))</f>
        <v/>
      </c>
      <c r="Y989" s="29" t="str">
        <f aca="false">IF(OR(X989="",N(R989)=0),"",X989/R989)</f>
        <v/>
      </c>
      <c r="Z989" s="30" t="str">
        <f aca="true">IF(O989="","",IF(T989="",TODAY(),T989)-O989)</f>
        <v/>
      </c>
      <c r="AA989" s="31" t="str">
        <f aca="false">IF(T989="","",TEXT(T989,"YYYY-MM"))</f>
        <v/>
      </c>
      <c r="AB989" s="27" t="str">
        <f aca="false">IF(X989="","",X989/2)</f>
        <v/>
      </c>
      <c r="AC989" s="21"/>
    </row>
    <row r="990" customFormat="false" ht="15" hidden="false" customHeight="false" outlineLevel="0" collapsed="false">
      <c r="A990" s="20"/>
      <c r="B990" s="21"/>
      <c r="C990" s="21"/>
      <c r="D990" s="21"/>
      <c r="E990" s="21"/>
      <c r="F990" s="21"/>
      <c r="G990" s="22"/>
      <c r="H990" s="21"/>
      <c r="I990" s="21"/>
      <c r="J990" s="21"/>
      <c r="K990" s="23"/>
      <c r="L990" s="24"/>
      <c r="M990" s="21"/>
      <c r="N990" s="21"/>
      <c r="O990" s="25"/>
      <c r="P990" s="26"/>
      <c r="Q990" s="27" t="str">
        <f aca="false">IF(A990="","",SUMIF(Expenses!$B$2:$B$3000,A990,Expenses!$E$2:$E$3000))</f>
        <v/>
      </c>
      <c r="R990" s="27" t="str">
        <f aca="false">IF(A990="","",N(P990)+N(Q990))</f>
        <v/>
      </c>
      <c r="S990" s="28"/>
      <c r="T990" s="25"/>
      <c r="U990" s="26"/>
      <c r="V990" s="26"/>
      <c r="W990" s="26"/>
      <c r="X990" s="27" t="str">
        <f aca="false">IF(B990&lt;&gt;"SOLD","",IF(C990="Consignment",N(W990)-R990,N(U990)-R990-N(V990)))</f>
        <v/>
      </c>
      <c r="Y990" s="29" t="str">
        <f aca="false">IF(OR(X990="",N(R990)=0),"",X990/R990)</f>
        <v/>
      </c>
      <c r="Z990" s="30" t="str">
        <f aca="true">IF(O990="","",IF(T990="",TODAY(),T990)-O990)</f>
        <v/>
      </c>
      <c r="AA990" s="31" t="str">
        <f aca="false">IF(T990="","",TEXT(T990,"YYYY-MM"))</f>
        <v/>
      </c>
      <c r="AB990" s="27" t="str">
        <f aca="false">IF(X990="","",X990/2)</f>
        <v/>
      </c>
      <c r="AC990" s="21"/>
    </row>
    <row r="991" customFormat="false" ht="15" hidden="false" customHeight="false" outlineLevel="0" collapsed="false">
      <c r="A991" s="20"/>
      <c r="B991" s="21"/>
      <c r="C991" s="21"/>
      <c r="D991" s="21"/>
      <c r="E991" s="21"/>
      <c r="F991" s="21"/>
      <c r="G991" s="22"/>
      <c r="H991" s="21"/>
      <c r="I991" s="21"/>
      <c r="J991" s="21"/>
      <c r="K991" s="23"/>
      <c r="L991" s="24"/>
      <c r="M991" s="21"/>
      <c r="N991" s="21"/>
      <c r="O991" s="25"/>
      <c r="P991" s="26"/>
      <c r="Q991" s="27" t="str">
        <f aca="false">IF(A991="","",SUMIF(Expenses!$B$2:$B$3000,A991,Expenses!$E$2:$E$3000))</f>
        <v/>
      </c>
      <c r="R991" s="27" t="str">
        <f aca="false">IF(A991="","",N(P991)+N(Q991))</f>
        <v/>
      </c>
      <c r="S991" s="28"/>
      <c r="T991" s="25"/>
      <c r="U991" s="26"/>
      <c r="V991" s="26"/>
      <c r="W991" s="26"/>
      <c r="X991" s="27" t="str">
        <f aca="false">IF(B991&lt;&gt;"SOLD","",IF(C991="Consignment",N(W991)-R991,N(U991)-R991-N(V991)))</f>
        <v/>
      </c>
      <c r="Y991" s="29" t="str">
        <f aca="false">IF(OR(X991="",N(R991)=0),"",X991/R991)</f>
        <v/>
      </c>
      <c r="Z991" s="30" t="str">
        <f aca="true">IF(O991="","",IF(T991="",TODAY(),T991)-O991)</f>
        <v/>
      </c>
      <c r="AA991" s="31" t="str">
        <f aca="false">IF(T991="","",TEXT(T991,"YYYY-MM"))</f>
        <v/>
      </c>
      <c r="AB991" s="27" t="str">
        <f aca="false">IF(X991="","",X991/2)</f>
        <v/>
      </c>
      <c r="AC991" s="21"/>
    </row>
    <row r="992" customFormat="false" ht="15" hidden="false" customHeight="false" outlineLevel="0" collapsed="false">
      <c r="A992" s="20"/>
      <c r="B992" s="21"/>
      <c r="C992" s="21"/>
      <c r="D992" s="21"/>
      <c r="E992" s="21"/>
      <c r="F992" s="21"/>
      <c r="G992" s="22"/>
      <c r="H992" s="21"/>
      <c r="I992" s="21"/>
      <c r="J992" s="21"/>
      <c r="K992" s="23"/>
      <c r="L992" s="24"/>
      <c r="M992" s="21"/>
      <c r="N992" s="21"/>
      <c r="O992" s="25"/>
      <c r="P992" s="26"/>
      <c r="Q992" s="27" t="str">
        <f aca="false">IF(A992="","",SUMIF(Expenses!$B$2:$B$3000,A992,Expenses!$E$2:$E$3000))</f>
        <v/>
      </c>
      <c r="R992" s="27" t="str">
        <f aca="false">IF(A992="","",N(P992)+N(Q992))</f>
        <v/>
      </c>
      <c r="S992" s="28"/>
      <c r="T992" s="25"/>
      <c r="U992" s="26"/>
      <c r="V992" s="26"/>
      <c r="W992" s="26"/>
      <c r="X992" s="27" t="str">
        <f aca="false">IF(B992&lt;&gt;"SOLD","",IF(C992="Consignment",N(W992)-R992,N(U992)-R992-N(V992)))</f>
        <v/>
      </c>
      <c r="Y992" s="29" t="str">
        <f aca="false">IF(OR(X992="",N(R992)=0),"",X992/R992)</f>
        <v/>
      </c>
      <c r="Z992" s="30" t="str">
        <f aca="true">IF(O992="","",IF(T992="",TODAY(),T992)-O992)</f>
        <v/>
      </c>
      <c r="AA992" s="31" t="str">
        <f aca="false">IF(T992="","",TEXT(T992,"YYYY-MM"))</f>
        <v/>
      </c>
      <c r="AB992" s="27" t="str">
        <f aca="false">IF(X992="","",X992/2)</f>
        <v/>
      </c>
      <c r="AC992" s="21"/>
    </row>
    <row r="993" customFormat="false" ht="15" hidden="false" customHeight="false" outlineLevel="0" collapsed="false">
      <c r="A993" s="20"/>
      <c r="B993" s="21"/>
      <c r="C993" s="21"/>
      <c r="D993" s="21"/>
      <c r="E993" s="21"/>
      <c r="F993" s="21"/>
      <c r="G993" s="22"/>
      <c r="H993" s="21"/>
      <c r="I993" s="21"/>
      <c r="J993" s="21"/>
      <c r="K993" s="23"/>
      <c r="L993" s="24"/>
      <c r="M993" s="21"/>
      <c r="N993" s="21"/>
      <c r="O993" s="25"/>
      <c r="P993" s="26"/>
      <c r="Q993" s="27" t="str">
        <f aca="false">IF(A993="","",SUMIF(Expenses!$B$2:$B$3000,A993,Expenses!$E$2:$E$3000))</f>
        <v/>
      </c>
      <c r="R993" s="27" t="str">
        <f aca="false">IF(A993="","",N(P993)+N(Q993))</f>
        <v/>
      </c>
      <c r="S993" s="28"/>
      <c r="T993" s="25"/>
      <c r="U993" s="26"/>
      <c r="V993" s="26"/>
      <c r="W993" s="26"/>
      <c r="X993" s="27" t="str">
        <f aca="false">IF(B993&lt;&gt;"SOLD","",IF(C993="Consignment",N(W993)-R993,N(U993)-R993-N(V993)))</f>
        <v/>
      </c>
      <c r="Y993" s="29" t="str">
        <f aca="false">IF(OR(X993="",N(R993)=0),"",X993/R993)</f>
        <v/>
      </c>
      <c r="Z993" s="30" t="str">
        <f aca="true">IF(O993="","",IF(T993="",TODAY(),T993)-O993)</f>
        <v/>
      </c>
      <c r="AA993" s="31" t="str">
        <f aca="false">IF(T993="","",TEXT(T993,"YYYY-MM"))</f>
        <v/>
      </c>
      <c r="AB993" s="27" t="str">
        <f aca="false">IF(X993="","",X993/2)</f>
        <v/>
      </c>
      <c r="AC993" s="21"/>
    </row>
    <row r="994" customFormat="false" ht="15" hidden="false" customHeight="false" outlineLevel="0" collapsed="false">
      <c r="A994" s="20"/>
      <c r="B994" s="21"/>
      <c r="C994" s="21"/>
      <c r="D994" s="21"/>
      <c r="E994" s="21"/>
      <c r="F994" s="21"/>
      <c r="G994" s="22"/>
      <c r="H994" s="21"/>
      <c r="I994" s="21"/>
      <c r="J994" s="21"/>
      <c r="K994" s="23"/>
      <c r="L994" s="24"/>
      <c r="M994" s="21"/>
      <c r="N994" s="21"/>
      <c r="O994" s="25"/>
      <c r="P994" s="26"/>
      <c r="Q994" s="27" t="str">
        <f aca="false">IF(A994="","",SUMIF(Expenses!$B$2:$B$3000,A994,Expenses!$E$2:$E$3000))</f>
        <v/>
      </c>
      <c r="R994" s="27" t="str">
        <f aca="false">IF(A994="","",N(P994)+N(Q994))</f>
        <v/>
      </c>
      <c r="S994" s="28"/>
      <c r="T994" s="25"/>
      <c r="U994" s="26"/>
      <c r="V994" s="26"/>
      <c r="W994" s="26"/>
      <c r="X994" s="27" t="str">
        <f aca="false">IF(B994&lt;&gt;"SOLD","",IF(C994="Consignment",N(W994)-R994,N(U994)-R994-N(V994)))</f>
        <v/>
      </c>
      <c r="Y994" s="29" t="str">
        <f aca="false">IF(OR(X994="",N(R994)=0),"",X994/R994)</f>
        <v/>
      </c>
      <c r="Z994" s="30" t="str">
        <f aca="true">IF(O994="","",IF(T994="",TODAY(),T994)-O994)</f>
        <v/>
      </c>
      <c r="AA994" s="31" t="str">
        <f aca="false">IF(T994="","",TEXT(T994,"YYYY-MM"))</f>
        <v/>
      </c>
      <c r="AB994" s="27" t="str">
        <f aca="false">IF(X994="","",X994/2)</f>
        <v/>
      </c>
      <c r="AC994" s="21"/>
    </row>
    <row r="995" customFormat="false" ht="15" hidden="false" customHeight="false" outlineLevel="0" collapsed="false">
      <c r="A995" s="20"/>
      <c r="B995" s="21"/>
      <c r="C995" s="21"/>
      <c r="D995" s="21"/>
      <c r="E995" s="21"/>
      <c r="F995" s="21"/>
      <c r="G995" s="22"/>
      <c r="H995" s="21"/>
      <c r="I995" s="21"/>
      <c r="J995" s="21"/>
      <c r="K995" s="23"/>
      <c r="L995" s="24"/>
      <c r="M995" s="21"/>
      <c r="N995" s="21"/>
      <c r="O995" s="25"/>
      <c r="P995" s="26"/>
      <c r="Q995" s="27" t="str">
        <f aca="false">IF(A995="","",SUMIF(Expenses!$B$2:$B$3000,A995,Expenses!$E$2:$E$3000))</f>
        <v/>
      </c>
      <c r="R995" s="27" t="str">
        <f aca="false">IF(A995="","",N(P995)+N(Q995))</f>
        <v/>
      </c>
      <c r="S995" s="28"/>
      <c r="T995" s="25"/>
      <c r="U995" s="26"/>
      <c r="V995" s="26"/>
      <c r="W995" s="26"/>
      <c r="X995" s="27" t="str">
        <f aca="false">IF(B995&lt;&gt;"SOLD","",IF(C995="Consignment",N(W995)-R995,N(U995)-R995-N(V995)))</f>
        <v/>
      </c>
      <c r="Y995" s="29" t="str">
        <f aca="false">IF(OR(X995="",N(R995)=0),"",X995/R995)</f>
        <v/>
      </c>
      <c r="Z995" s="30" t="str">
        <f aca="true">IF(O995="","",IF(T995="",TODAY(),T995)-O995)</f>
        <v/>
      </c>
      <c r="AA995" s="31" t="str">
        <f aca="false">IF(T995="","",TEXT(T995,"YYYY-MM"))</f>
        <v/>
      </c>
      <c r="AB995" s="27" t="str">
        <f aca="false">IF(X995="","",X995/2)</f>
        <v/>
      </c>
      <c r="AC995" s="21"/>
    </row>
    <row r="996" customFormat="false" ht="15" hidden="false" customHeight="false" outlineLevel="0" collapsed="false">
      <c r="A996" s="20"/>
      <c r="B996" s="21"/>
      <c r="C996" s="21"/>
      <c r="D996" s="21"/>
      <c r="E996" s="21"/>
      <c r="F996" s="21"/>
      <c r="G996" s="22"/>
      <c r="H996" s="21"/>
      <c r="I996" s="21"/>
      <c r="J996" s="21"/>
      <c r="K996" s="23"/>
      <c r="L996" s="24"/>
      <c r="M996" s="21"/>
      <c r="N996" s="21"/>
      <c r="O996" s="25"/>
      <c r="P996" s="26"/>
      <c r="Q996" s="27" t="str">
        <f aca="false">IF(A996="","",SUMIF(Expenses!$B$2:$B$3000,A996,Expenses!$E$2:$E$3000))</f>
        <v/>
      </c>
      <c r="R996" s="27" t="str">
        <f aca="false">IF(A996="","",N(P996)+N(Q996))</f>
        <v/>
      </c>
      <c r="S996" s="28"/>
      <c r="T996" s="25"/>
      <c r="U996" s="26"/>
      <c r="V996" s="26"/>
      <c r="W996" s="26"/>
      <c r="X996" s="27" t="str">
        <f aca="false">IF(B996&lt;&gt;"SOLD","",IF(C996="Consignment",N(W996)-R996,N(U996)-R996-N(V996)))</f>
        <v/>
      </c>
      <c r="Y996" s="29" t="str">
        <f aca="false">IF(OR(X996="",N(R996)=0),"",X996/R996)</f>
        <v/>
      </c>
      <c r="Z996" s="30" t="str">
        <f aca="true">IF(O996="","",IF(T996="",TODAY(),T996)-O996)</f>
        <v/>
      </c>
      <c r="AA996" s="31" t="str">
        <f aca="false">IF(T996="","",TEXT(T996,"YYYY-MM"))</f>
        <v/>
      </c>
      <c r="AB996" s="27" t="str">
        <f aca="false">IF(X996="","",X996/2)</f>
        <v/>
      </c>
      <c r="AC996" s="21"/>
    </row>
    <row r="997" customFormat="false" ht="15" hidden="false" customHeight="false" outlineLevel="0" collapsed="false">
      <c r="A997" s="20"/>
      <c r="B997" s="21"/>
      <c r="C997" s="21"/>
      <c r="D997" s="21"/>
      <c r="E997" s="21"/>
      <c r="F997" s="21"/>
      <c r="G997" s="22"/>
      <c r="H997" s="21"/>
      <c r="I997" s="21"/>
      <c r="J997" s="21"/>
      <c r="K997" s="23"/>
      <c r="L997" s="24"/>
      <c r="M997" s="21"/>
      <c r="N997" s="21"/>
      <c r="O997" s="25"/>
      <c r="P997" s="26"/>
      <c r="Q997" s="27" t="str">
        <f aca="false">IF(A997="","",SUMIF(Expenses!$B$2:$B$3000,A997,Expenses!$E$2:$E$3000))</f>
        <v/>
      </c>
      <c r="R997" s="27" t="str">
        <f aca="false">IF(A997="","",N(P997)+N(Q997))</f>
        <v/>
      </c>
      <c r="S997" s="28"/>
      <c r="T997" s="25"/>
      <c r="U997" s="26"/>
      <c r="V997" s="26"/>
      <c r="W997" s="26"/>
      <c r="X997" s="27" t="str">
        <f aca="false">IF(B997&lt;&gt;"SOLD","",IF(C997="Consignment",N(W997)-R997,N(U997)-R997-N(V997)))</f>
        <v/>
      </c>
      <c r="Y997" s="29" t="str">
        <f aca="false">IF(OR(X997="",N(R997)=0),"",X997/R997)</f>
        <v/>
      </c>
      <c r="Z997" s="30" t="str">
        <f aca="true">IF(O997="","",IF(T997="",TODAY(),T997)-O997)</f>
        <v/>
      </c>
      <c r="AA997" s="31" t="str">
        <f aca="false">IF(T997="","",TEXT(T997,"YYYY-MM"))</f>
        <v/>
      </c>
      <c r="AB997" s="27" t="str">
        <f aca="false">IF(X997="","",X997/2)</f>
        <v/>
      </c>
      <c r="AC997" s="21"/>
    </row>
    <row r="998" customFormat="false" ht="15" hidden="false" customHeight="false" outlineLevel="0" collapsed="false">
      <c r="A998" s="20"/>
      <c r="B998" s="21"/>
      <c r="C998" s="21"/>
      <c r="D998" s="21"/>
      <c r="E998" s="21"/>
      <c r="F998" s="21"/>
      <c r="G998" s="22"/>
      <c r="H998" s="21"/>
      <c r="I998" s="21"/>
      <c r="J998" s="21"/>
      <c r="K998" s="23"/>
      <c r="L998" s="24"/>
      <c r="M998" s="21"/>
      <c r="N998" s="21"/>
      <c r="O998" s="25"/>
      <c r="P998" s="26"/>
      <c r="Q998" s="27" t="str">
        <f aca="false">IF(A998="","",SUMIF(Expenses!$B$2:$B$3000,A998,Expenses!$E$2:$E$3000))</f>
        <v/>
      </c>
      <c r="R998" s="27" t="str">
        <f aca="false">IF(A998="","",N(P998)+N(Q998))</f>
        <v/>
      </c>
      <c r="S998" s="28"/>
      <c r="T998" s="25"/>
      <c r="U998" s="26"/>
      <c r="V998" s="26"/>
      <c r="W998" s="26"/>
      <c r="X998" s="27" t="str">
        <f aca="false">IF(B998&lt;&gt;"SOLD","",IF(C998="Consignment",N(W998)-R998,N(U998)-R998-N(V998)))</f>
        <v/>
      </c>
      <c r="Y998" s="29" t="str">
        <f aca="false">IF(OR(X998="",N(R998)=0),"",X998/R998)</f>
        <v/>
      </c>
      <c r="Z998" s="30" t="str">
        <f aca="true">IF(O998="","",IF(T998="",TODAY(),T998)-O998)</f>
        <v/>
      </c>
      <c r="AA998" s="31" t="str">
        <f aca="false">IF(T998="","",TEXT(T998,"YYYY-MM"))</f>
        <v/>
      </c>
      <c r="AB998" s="27" t="str">
        <f aca="false">IF(X998="","",X998/2)</f>
        <v/>
      </c>
      <c r="AC998" s="21"/>
    </row>
    <row r="999" customFormat="false" ht="15" hidden="false" customHeight="false" outlineLevel="0" collapsed="false">
      <c r="A999" s="20"/>
      <c r="B999" s="21"/>
      <c r="C999" s="21"/>
      <c r="D999" s="21"/>
      <c r="E999" s="21"/>
      <c r="F999" s="21"/>
      <c r="G999" s="22"/>
      <c r="H999" s="21"/>
      <c r="I999" s="21"/>
      <c r="J999" s="21"/>
      <c r="K999" s="23"/>
      <c r="L999" s="24"/>
      <c r="M999" s="21"/>
      <c r="N999" s="21"/>
      <c r="O999" s="25"/>
      <c r="P999" s="26"/>
      <c r="Q999" s="27" t="str">
        <f aca="false">IF(A999="","",SUMIF(Expenses!$B$2:$B$3000,A999,Expenses!$E$2:$E$3000))</f>
        <v/>
      </c>
      <c r="R999" s="27" t="str">
        <f aca="false">IF(A999="","",N(P999)+N(Q999))</f>
        <v/>
      </c>
      <c r="S999" s="28"/>
      <c r="T999" s="25"/>
      <c r="U999" s="26"/>
      <c r="V999" s="26"/>
      <c r="W999" s="26"/>
      <c r="X999" s="27" t="str">
        <f aca="false">IF(B999&lt;&gt;"SOLD","",IF(C999="Consignment",N(W999)-R999,N(U999)-R999-N(V999)))</f>
        <v/>
      </c>
      <c r="Y999" s="29" t="str">
        <f aca="false">IF(OR(X999="",N(R999)=0),"",X999/R999)</f>
        <v/>
      </c>
      <c r="Z999" s="30" t="str">
        <f aca="true">IF(O999="","",IF(T999="",TODAY(),T999)-O999)</f>
        <v/>
      </c>
      <c r="AA999" s="31" t="str">
        <f aca="false">IF(T999="","",TEXT(T999,"YYYY-MM"))</f>
        <v/>
      </c>
      <c r="AB999" s="27" t="str">
        <f aca="false">IF(X999="","",X999/2)</f>
        <v/>
      </c>
      <c r="AC999" s="21"/>
    </row>
    <row r="1000" customFormat="false" ht="15" hidden="false" customHeight="false" outlineLevel="0" collapsed="false">
      <c r="A1000" s="20"/>
      <c r="B1000" s="21"/>
      <c r="C1000" s="21"/>
      <c r="D1000" s="21"/>
      <c r="E1000" s="21"/>
      <c r="F1000" s="21"/>
      <c r="G1000" s="22"/>
      <c r="H1000" s="21"/>
      <c r="I1000" s="21"/>
      <c r="J1000" s="21"/>
      <c r="K1000" s="23"/>
      <c r="L1000" s="24"/>
      <c r="M1000" s="21"/>
      <c r="N1000" s="21"/>
      <c r="O1000" s="25"/>
      <c r="P1000" s="26"/>
      <c r="Q1000" s="27" t="str">
        <f aca="false">IF(A1000="","",SUMIF(Expenses!$B$2:$B$3000,A1000,Expenses!$E$2:$E$3000))</f>
        <v/>
      </c>
      <c r="R1000" s="27" t="str">
        <f aca="false">IF(A1000="","",N(P1000)+N(Q1000))</f>
        <v/>
      </c>
      <c r="S1000" s="28"/>
      <c r="T1000" s="25"/>
      <c r="U1000" s="26"/>
      <c r="V1000" s="26"/>
      <c r="W1000" s="26"/>
      <c r="X1000" s="27" t="str">
        <f aca="false">IF(B1000&lt;&gt;"SOLD","",IF(C1000="Consignment",N(W1000)-R1000,N(U1000)-R1000-N(V1000)))</f>
        <v/>
      </c>
      <c r="Y1000" s="29" t="str">
        <f aca="false">IF(OR(X1000="",N(R1000)=0),"",X1000/R1000)</f>
        <v/>
      </c>
      <c r="Z1000" s="30" t="str">
        <f aca="true">IF(O1000="","",IF(T1000="",TODAY(),T1000)-O1000)</f>
        <v/>
      </c>
      <c r="AA1000" s="31" t="str">
        <f aca="false">IF(T1000="","",TEXT(T1000,"YYYY-MM"))</f>
        <v/>
      </c>
      <c r="AB1000" s="27" t="str">
        <f aca="false">IF(X1000="","",X1000/2)</f>
        <v/>
      </c>
      <c r="AC1000" s="21"/>
    </row>
  </sheetData>
  <autoFilter ref="A1:AC1000"/>
  <conditionalFormatting sqref="A2:AC1000">
    <cfRule type="expression" priority="2" aboveAverage="0" equalAverage="0" bottom="0" percent="0" rank="0" text="" dxfId="9">
      <formula>$B2="SOLD"</formula>
    </cfRule>
  </conditionalFormatting>
  <conditionalFormatting sqref="B2:B1000">
    <cfRule type="expression" priority="3" aboveAverage="0" equalAverage="0" bottom="0" percent="0" rank="0" text="" dxfId="10">
      <formula>B2="STOCK"</formula>
    </cfRule>
    <cfRule type="expression" priority="4" aboveAverage="0" equalAverage="0" bottom="0" percent="0" rank="0" text="" dxfId="11">
      <formula>B2="RESERVED"</formula>
    </cfRule>
  </conditionalFormatting>
  <conditionalFormatting sqref="Z2:Z1000">
    <cfRule type="expression" priority="5" aboveAverage="0" equalAverage="0" bottom="0" percent="0" rank="0" text="" dxfId="12">
      <formula>AND($B2&lt;&gt;"SOLD",N(Z2)&gt;90)</formula>
    </cfRule>
  </conditionalFormatting>
  <conditionalFormatting sqref="X2:X1000">
    <cfRule type="expression" priority="6" aboveAverage="0" equalAverage="0" bottom="0" percent="0" rank="0" text="" dxfId="13">
      <formula>AND(X2&lt;&gt;"",X2&lt;0)</formula>
    </cfRule>
  </conditionalFormatting>
  <conditionalFormatting sqref="O2:O1000">
    <cfRule type="expression" priority="7" aboveAverage="0" equalAverage="0" bottom="0" percent="0" rank="0" text="" dxfId="11">
      <formula>AND($A2&lt;&gt;"",O2="")</formula>
    </cfRule>
  </conditionalFormatting>
  <conditionalFormatting sqref="G2:G1000">
    <cfRule type="expression" priority="8" aboveAverage="0" equalAverage="0" bottom="0" percent="0" rank="0" text="" dxfId="11">
      <formula>AND($A2&lt;&gt;"",G2="")</formula>
    </cfRule>
  </conditionalFormatting>
  <dataValidations count="12">
    <dataValidation allowBlank="true" errorStyle="stop" operator="between" showDropDown="false" showErrorMessage="true" showInputMessage="false" sqref="B2:B1000" type="list">
      <formula1>Lists!$A$2:$A$60</formula1>
      <formula2>0</formula2>
    </dataValidation>
    <dataValidation allowBlank="true" errorStyle="stop" operator="between" showDropDown="false" showErrorMessage="true" showInputMessage="false" sqref="C2:C1000" type="list">
      <formula1>Lists!$B$2:$B$60</formula1>
      <formula2>0</formula2>
    </dataValidation>
    <dataValidation allowBlank="true" errorStyle="warning" operator="between" showDropDown="false" showErrorMessage="false" showInputMessage="false" sqref="D2:D1000" type="list">
      <formula1>Lists!$C$2:$C$60</formula1>
      <formula2>0</formula2>
    </dataValidation>
    <dataValidation allowBlank="true" errorStyle="warning" operator="between" showDropDown="false" showErrorMessage="false" showInputMessage="false" sqref="I2:I1000" type="list">
      <formula1>Lists!$D$2:$D$60</formula1>
      <formula2>0</formula2>
    </dataValidation>
    <dataValidation allowBlank="true" errorStyle="stop" operator="between" showDropDown="false" showErrorMessage="true" showInputMessage="false" sqref="J2:J1000" type="list">
      <formula1>Lists!$E$2:$E$60</formula1>
      <formula2>0</formula2>
    </dataValidation>
    <dataValidation allowBlank="true" errorStyle="warning" operator="between" showDropDown="false" showErrorMessage="false" showInputMessage="false" sqref="M2:M1000" type="list">
      <formula1>Lists!$F$2:$F$60</formula1>
      <formula2>0</formula2>
    </dataValidation>
    <dataValidation allowBlank="true" errorStyle="stop" operator="between" showDropDown="false" showErrorMessage="true" showInputMessage="false" sqref="N2:N1000" type="list">
      <formula1>Lists!$G$2:$G$60</formula1>
      <formula2>0</formula2>
    </dataValidation>
    <dataValidation allowBlank="true" error="Please enter a real date, e.g. 15.03.2026" errorStyle="stop" operator="greaterThan" showDropDown="false" showErrorMessage="true" showInputMessage="false" sqref="O2:O1000" type="date">
      <formula1>DATE(1990,1,1)</formula1>
      <formula2>0</formula2>
    </dataValidation>
    <dataValidation allowBlank="true" error="Please enter a real date, e.g. 15.03.2026" errorStyle="stop" operator="greaterThan" showDropDown="false" showErrorMessage="true" showInputMessage="false" sqref="T2:T1000" type="date">
      <formula1>DATE(1990,1,1)</formula1>
      <formula2>0</formula2>
    </dataValidation>
    <dataValidation allowBlank="true" error="Please enter a real date, e.g. 15.03.2026" errorStyle="stop" operator="greaterThan" showDropDown="false" showErrorMessage="true" showInputMessage="false" sqref="G2:G1000" type="date">
      <formula1>DATE(1990,1,1)</formula1>
      <formula2>0</formula2>
    </dataValidation>
    <dataValidation allowBlank="true" error="Numbers only (no € sign, no text)." errorStyle="stop" operator="greaterThanOrEqual" showDropDown="false" showErrorMessage="true" showInputMessage="false" sqref="K2:K1000 P2:P1000 S2:S1000 U2:W1000" type="decimal">
      <formula1>0</formula1>
      <formula2>0</formula2>
    </dataValidation>
    <dataValidation allowBlank="true" error="This Car ID is already used." errorStyle="stop" operator="between" showDropDown="false" showErrorMessage="true" showInputMessage="false" sqref="A2:A1000" type="custom">
      <formula1>COUNTIF($A$2:$A$1000,A2)=1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42" hidden="false" customHeight="true" outlineLevel="0" collapsed="false">
      <c r="A1" s="18" t="s">
        <v>284</v>
      </c>
      <c r="B1" s="18" t="s">
        <v>73</v>
      </c>
      <c r="C1" s="18" t="s">
        <v>285</v>
      </c>
      <c r="D1" s="18" t="s">
        <v>286</v>
      </c>
      <c r="E1" s="18" t="s">
        <v>287</v>
      </c>
      <c r="F1" s="18" t="s">
        <v>68</v>
      </c>
      <c r="G1" s="18" t="s">
        <v>288</v>
      </c>
    </row>
    <row r="2" customFormat="false" ht="15" hidden="false" customHeight="false" outlineLevel="0" collapsed="false">
      <c r="A2" s="32" t="n">
        <v>46223</v>
      </c>
      <c r="B2" s="33" t="s">
        <v>289</v>
      </c>
      <c r="C2" s="34" t="s">
        <v>290</v>
      </c>
      <c r="D2" s="34" t="s">
        <v>291</v>
      </c>
      <c r="E2" s="35" t="n">
        <v>240</v>
      </c>
      <c r="F2" s="34" t="s">
        <v>70</v>
      </c>
      <c r="G2" s="36" t="s">
        <v>292</v>
      </c>
    </row>
    <row r="3" customFormat="false" ht="15" hidden="false" customHeight="false" outlineLevel="0" collapsed="false">
      <c r="A3" s="25"/>
      <c r="B3" s="20"/>
      <c r="C3" s="21"/>
      <c r="D3" s="21"/>
      <c r="E3" s="26"/>
      <c r="F3" s="21"/>
      <c r="G3" s="24"/>
    </row>
    <row r="4" customFormat="false" ht="15" hidden="false" customHeight="false" outlineLevel="0" collapsed="false">
      <c r="A4" s="25"/>
      <c r="B4" s="20"/>
      <c r="C4" s="21"/>
      <c r="D4" s="21"/>
      <c r="E4" s="26"/>
      <c r="F4" s="21"/>
      <c r="G4" s="24"/>
    </row>
    <row r="5" customFormat="false" ht="15" hidden="false" customHeight="false" outlineLevel="0" collapsed="false">
      <c r="A5" s="25"/>
      <c r="B5" s="20"/>
      <c r="C5" s="21"/>
      <c r="D5" s="21"/>
      <c r="E5" s="26"/>
      <c r="F5" s="21"/>
      <c r="G5" s="24"/>
    </row>
    <row r="6" customFormat="false" ht="15" hidden="false" customHeight="false" outlineLevel="0" collapsed="false">
      <c r="A6" s="25"/>
      <c r="B6" s="20"/>
      <c r="C6" s="21"/>
      <c r="D6" s="21"/>
      <c r="E6" s="26"/>
      <c r="F6" s="21"/>
      <c r="G6" s="24"/>
    </row>
    <row r="7" customFormat="false" ht="15" hidden="false" customHeight="false" outlineLevel="0" collapsed="false">
      <c r="A7" s="25"/>
      <c r="B7" s="20"/>
      <c r="C7" s="21"/>
      <c r="D7" s="21"/>
      <c r="E7" s="26"/>
      <c r="F7" s="21"/>
      <c r="G7" s="24"/>
    </row>
    <row r="8" customFormat="false" ht="15" hidden="false" customHeight="false" outlineLevel="0" collapsed="false">
      <c r="A8" s="25"/>
      <c r="B8" s="20"/>
      <c r="C8" s="21"/>
      <c r="D8" s="21"/>
      <c r="E8" s="26"/>
      <c r="F8" s="21"/>
      <c r="G8" s="24"/>
    </row>
    <row r="9" customFormat="false" ht="15" hidden="false" customHeight="false" outlineLevel="0" collapsed="false">
      <c r="A9" s="25"/>
      <c r="B9" s="20"/>
      <c r="C9" s="21"/>
      <c r="D9" s="21"/>
      <c r="E9" s="26"/>
      <c r="F9" s="21"/>
      <c r="G9" s="24"/>
    </row>
    <row r="10" customFormat="false" ht="15" hidden="false" customHeight="false" outlineLevel="0" collapsed="false">
      <c r="A10" s="25"/>
      <c r="B10" s="20"/>
      <c r="C10" s="21"/>
      <c r="D10" s="21"/>
      <c r="E10" s="26"/>
      <c r="F10" s="21"/>
      <c r="G10" s="24"/>
    </row>
    <row r="11" customFormat="false" ht="15" hidden="false" customHeight="false" outlineLevel="0" collapsed="false">
      <c r="A11" s="25"/>
      <c r="B11" s="20"/>
      <c r="C11" s="21"/>
      <c r="D11" s="21"/>
      <c r="E11" s="26"/>
      <c r="F11" s="21"/>
      <c r="G11" s="24"/>
    </row>
    <row r="12" customFormat="false" ht="15" hidden="false" customHeight="false" outlineLevel="0" collapsed="false">
      <c r="A12" s="25"/>
      <c r="B12" s="20"/>
      <c r="C12" s="21"/>
      <c r="D12" s="21"/>
      <c r="E12" s="26"/>
      <c r="F12" s="21"/>
      <c r="G12" s="24"/>
    </row>
    <row r="13" customFormat="false" ht="15" hidden="false" customHeight="false" outlineLevel="0" collapsed="false">
      <c r="A13" s="25"/>
      <c r="B13" s="20"/>
      <c r="C13" s="21"/>
      <c r="D13" s="21"/>
      <c r="E13" s="26"/>
      <c r="F13" s="21"/>
      <c r="G13" s="24"/>
    </row>
    <row r="14" customFormat="false" ht="15" hidden="false" customHeight="false" outlineLevel="0" collapsed="false">
      <c r="A14" s="25"/>
      <c r="B14" s="20"/>
      <c r="C14" s="21"/>
      <c r="D14" s="21"/>
      <c r="E14" s="26"/>
      <c r="F14" s="21"/>
      <c r="G14" s="24"/>
    </row>
    <row r="15" customFormat="false" ht="15" hidden="false" customHeight="false" outlineLevel="0" collapsed="false">
      <c r="A15" s="25"/>
      <c r="B15" s="20"/>
      <c r="C15" s="21"/>
      <c r="D15" s="21"/>
      <c r="E15" s="26"/>
      <c r="F15" s="21"/>
      <c r="G15" s="24"/>
    </row>
    <row r="16" customFormat="false" ht="15" hidden="false" customHeight="false" outlineLevel="0" collapsed="false">
      <c r="A16" s="25"/>
      <c r="B16" s="20"/>
      <c r="C16" s="21"/>
      <c r="D16" s="21"/>
      <c r="E16" s="26"/>
      <c r="F16" s="21"/>
      <c r="G16" s="24"/>
    </row>
    <row r="17" customFormat="false" ht="15" hidden="false" customHeight="false" outlineLevel="0" collapsed="false">
      <c r="A17" s="25"/>
      <c r="B17" s="20"/>
      <c r="C17" s="21"/>
      <c r="D17" s="21"/>
      <c r="E17" s="26"/>
      <c r="F17" s="21"/>
      <c r="G17" s="24"/>
    </row>
    <row r="18" customFormat="false" ht="15" hidden="false" customHeight="false" outlineLevel="0" collapsed="false">
      <c r="A18" s="25"/>
      <c r="B18" s="20"/>
      <c r="C18" s="21"/>
      <c r="D18" s="21"/>
      <c r="E18" s="26"/>
      <c r="F18" s="21"/>
      <c r="G18" s="24"/>
    </row>
    <row r="19" customFormat="false" ht="15" hidden="false" customHeight="false" outlineLevel="0" collapsed="false">
      <c r="A19" s="25"/>
      <c r="B19" s="20"/>
      <c r="C19" s="21"/>
      <c r="D19" s="21"/>
      <c r="E19" s="26"/>
      <c r="F19" s="21"/>
      <c r="G19" s="24"/>
    </row>
    <row r="20" customFormat="false" ht="15" hidden="false" customHeight="false" outlineLevel="0" collapsed="false">
      <c r="A20" s="25"/>
      <c r="B20" s="20"/>
      <c r="C20" s="21"/>
      <c r="D20" s="21"/>
      <c r="E20" s="26"/>
      <c r="F20" s="21"/>
      <c r="G20" s="24"/>
    </row>
    <row r="21" customFormat="false" ht="15" hidden="false" customHeight="false" outlineLevel="0" collapsed="false">
      <c r="A21" s="25"/>
      <c r="B21" s="20"/>
      <c r="C21" s="21"/>
      <c r="D21" s="21"/>
      <c r="E21" s="26"/>
      <c r="F21" s="21"/>
      <c r="G21" s="24"/>
    </row>
    <row r="22" customFormat="false" ht="15" hidden="false" customHeight="false" outlineLevel="0" collapsed="false">
      <c r="A22" s="25"/>
      <c r="B22" s="20"/>
      <c r="C22" s="21"/>
      <c r="D22" s="21"/>
      <c r="E22" s="26"/>
      <c r="F22" s="21"/>
      <c r="G22" s="24"/>
    </row>
    <row r="23" customFormat="false" ht="15" hidden="false" customHeight="false" outlineLevel="0" collapsed="false">
      <c r="A23" s="25"/>
      <c r="B23" s="20"/>
      <c r="C23" s="21"/>
      <c r="D23" s="21"/>
      <c r="E23" s="26"/>
      <c r="F23" s="21"/>
      <c r="G23" s="24"/>
    </row>
    <row r="24" customFormat="false" ht="15" hidden="false" customHeight="false" outlineLevel="0" collapsed="false">
      <c r="A24" s="25"/>
      <c r="B24" s="20"/>
      <c r="C24" s="21"/>
      <c r="D24" s="21"/>
      <c r="E24" s="26"/>
      <c r="F24" s="21"/>
      <c r="G24" s="24"/>
    </row>
    <row r="25" customFormat="false" ht="15" hidden="false" customHeight="false" outlineLevel="0" collapsed="false">
      <c r="A25" s="25"/>
      <c r="B25" s="20"/>
      <c r="C25" s="21"/>
      <c r="D25" s="21"/>
      <c r="E25" s="26"/>
      <c r="F25" s="21"/>
      <c r="G25" s="24"/>
    </row>
    <row r="26" customFormat="false" ht="15" hidden="false" customHeight="false" outlineLevel="0" collapsed="false">
      <c r="A26" s="25"/>
      <c r="B26" s="20"/>
      <c r="C26" s="21"/>
      <c r="D26" s="21"/>
      <c r="E26" s="26"/>
      <c r="F26" s="21"/>
      <c r="G26" s="24"/>
    </row>
    <row r="27" customFormat="false" ht="15" hidden="false" customHeight="false" outlineLevel="0" collapsed="false">
      <c r="A27" s="25"/>
      <c r="B27" s="20"/>
      <c r="C27" s="21"/>
      <c r="D27" s="21"/>
      <c r="E27" s="26"/>
      <c r="F27" s="21"/>
      <c r="G27" s="24"/>
    </row>
    <row r="28" customFormat="false" ht="15" hidden="false" customHeight="false" outlineLevel="0" collapsed="false">
      <c r="A28" s="25"/>
      <c r="B28" s="20"/>
      <c r="C28" s="21"/>
      <c r="D28" s="21"/>
      <c r="E28" s="26"/>
      <c r="F28" s="21"/>
      <c r="G28" s="24"/>
    </row>
    <row r="29" customFormat="false" ht="15" hidden="false" customHeight="false" outlineLevel="0" collapsed="false">
      <c r="A29" s="25"/>
      <c r="B29" s="20"/>
      <c r="C29" s="21"/>
      <c r="D29" s="21"/>
      <c r="E29" s="26"/>
      <c r="F29" s="21"/>
      <c r="G29" s="24"/>
    </row>
    <row r="30" customFormat="false" ht="15" hidden="false" customHeight="false" outlineLevel="0" collapsed="false">
      <c r="A30" s="25"/>
      <c r="B30" s="20"/>
      <c r="C30" s="21"/>
      <c r="D30" s="21"/>
      <c r="E30" s="26"/>
      <c r="F30" s="21"/>
      <c r="G30" s="24"/>
    </row>
    <row r="31" customFormat="false" ht="15" hidden="false" customHeight="false" outlineLevel="0" collapsed="false">
      <c r="A31" s="25"/>
      <c r="B31" s="20"/>
      <c r="C31" s="21"/>
      <c r="D31" s="21"/>
      <c r="E31" s="26"/>
      <c r="F31" s="21"/>
      <c r="G31" s="24"/>
    </row>
    <row r="32" customFormat="false" ht="15" hidden="false" customHeight="false" outlineLevel="0" collapsed="false">
      <c r="A32" s="25"/>
      <c r="B32" s="20"/>
      <c r="C32" s="21"/>
      <c r="D32" s="21"/>
      <c r="E32" s="26"/>
      <c r="F32" s="21"/>
      <c r="G32" s="24"/>
    </row>
    <row r="33" customFormat="false" ht="15" hidden="false" customHeight="false" outlineLevel="0" collapsed="false">
      <c r="A33" s="25"/>
      <c r="B33" s="20"/>
      <c r="C33" s="21"/>
      <c r="D33" s="21"/>
      <c r="E33" s="26"/>
      <c r="F33" s="21"/>
      <c r="G33" s="24"/>
    </row>
    <row r="34" customFormat="false" ht="15" hidden="false" customHeight="false" outlineLevel="0" collapsed="false">
      <c r="A34" s="25"/>
      <c r="B34" s="20"/>
      <c r="C34" s="21"/>
      <c r="D34" s="21"/>
      <c r="E34" s="26"/>
      <c r="F34" s="21"/>
      <c r="G34" s="24"/>
    </row>
    <row r="35" customFormat="false" ht="15" hidden="false" customHeight="false" outlineLevel="0" collapsed="false">
      <c r="A35" s="25"/>
      <c r="B35" s="20"/>
      <c r="C35" s="21"/>
      <c r="D35" s="21"/>
      <c r="E35" s="26"/>
      <c r="F35" s="21"/>
      <c r="G35" s="24"/>
    </row>
    <row r="36" customFormat="false" ht="15" hidden="false" customHeight="false" outlineLevel="0" collapsed="false">
      <c r="A36" s="25"/>
      <c r="B36" s="20"/>
      <c r="C36" s="21"/>
      <c r="D36" s="21"/>
      <c r="E36" s="26"/>
      <c r="F36" s="21"/>
      <c r="G36" s="24"/>
    </row>
    <row r="37" customFormat="false" ht="15" hidden="false" customHeight="false" outlineLevel="0" collapsed="false">
      <c r="A37" s="25"/>
      <c r="B37" s="20"/>
      <c r="C37" s="21"/>
      <c r="D37" s="21"/>
      <c r="E37" s="26"/>
      <c r="F37" s="21"/>
      <c r="G37" s="24"/>
    </row>
    <row r="38" customFormat="false" ht="15" hidden="false" customHeight="false" outlineLevel="0" collapsed="false">
      <c r="A38" s="25"/>
      <c r="B38" s="20"/>
      <c r="C38" s="21"/>
      <c r="D38" s="21"/>
      <c r="E38" s="26"/>
      <c r="F38" s="21"/>
      <c r="G38" s="24"/>
    </row>
    <row r="39" customFormat="false" ht="15" hidden="false" customHeight="false" outlineLevel="0" collapsed="false">
      <c r="A39" s="25"/>
      <c r="B39" s="20"/>
      <c r="C39" s="21"/>
      <c r="D39" s="21"/>
      <c r="E39" s="26"/>
      <c r="F39" s="21"/>
      <c r="G39" s="24"/>
    </row>
    <row r="40" customFormat="false" ht="15" hidden="false" customHeight="false" outlineLevel="0" collapsed="false">
      <c r="A40" s="25"/>
      <c r="B40" s="20"/>
      <c r="C40" s="21"/>
      <c r="D40" s="21"/>
      <c r="E40" s="26"/>
      <c r="F40" s="21"/>
      <c r="G40" s="24"/>
    </row>
    <row r="41" customFormat="false" ht="15" hidden="false" customHeight="false" outlineLevel="0" collapsed="false">
      <c r="A41" s="25"/>
      <c r="B41" s="20"/>
      <c r="C41" s="21"/>
      <c r="D41" s="21"/>
      <c r="E41" s="26"/>
      <c r="F41" s="21"/>
      <c r="G41" s="24"/>
    </row>
    <row r="42" customFormat="false" ht="15" hidden="false" customHeight="false" outlineLevel="0" collapsed="false">
      <c r="A42" s="25"/>
      <c r="B42" s="20"/>
      <c r="C42" s="21"/>
      <c r="D42" s="21"/>
      <c r="E42" s="26"/>
      <c r="F42" s="21"/>
      <c r="G42" s="24"/>
    </row>
    <row r="43" customFormat="false" ht="15" hidden="false" customHeight="false" outlineLevel="0" collapsed="false">
      <c r="A43" s="25"/>
      <c r="B43" s="20"/>
      <c r="C43" s="21"/>
      <c r="D43" s="21"/>
      <c r="E43" s="26"/>
      <c r="F43" s="21"/>
      <c r="G43" s="24"/>
    </row>
    <row r="44" customFormat="false" ht="15" hidden="false" customHeight="false" outlineLevel="0" collapsed="false">
      <c r="A44" s="25"/>
      <c r="B44" s="20"/>
      <c r="C44" s="21"/>
      <c r="D44" s="21"/>
      <c r="E44" s="26"/>
      <c r="F44" s="21"/>
      <c r="G44" s="24"/>
    </row>
    <row r="45" customFormat="false" ht="15" hidden="false" customHeight="false" outlineLevel="0" collapsed="false">
      <c r="A45" s="25"/>
      <c r="B45" s="20"/>
      <c r="C45" s="21"/>
      <c r="D45" s="21"/>
      <c r="E45" s="26"/>
      <c r="F45" s="21"/>
      <c r="G45" s="24"/>
    </row>
    <row r="46" customFormat="false" ht="15" hidden="false" customHeight="false" outlineLevel="0" collapsed="false">
      <c r="A46" s="25"/>
      <c r="B46" s="20"/>
      <c r="C46" s="21"/>
      <c r="D46" s="21"/>
      <c r="E46" s="26"/>
      <c r="F46" s="21"/>
      <c r="G46" s="24"/>
    </row>
    <row r="47" customFormat="false" ht="15" hidden="false" customHeight="false" outlineLevel="0" collapsed="false">
      <c r="A47" s="25"/>
      <c r="B47" s="20"/>
      <c r="C47" s="21"/>
      <c r="D47" s="21"/>
      <c r="E47" s="26"/>
      <c r="F47" s="21"/>
      <c r="G47" s="24"/>
    </row>
    <row r="48" customFormat="false" ht="15" hidden="false" customHeight="false" outlineLevel="0" collapsed="false">
      <c r="A48" s="25"/>
      <c r="B48" s="20"/>
      <c r="C48" s="21"/>
      <c r="D48" s="21"/>
      <c r="E48" s="26"/>
      <c r="F48" s="21"/>
      <c r="G48" s="24"/>
    </row>
    <row r="49" customFormat="false" ht="15" hidden="false" customHeight="false" outlineLevel="0" collapsed="false">
      <c r="A49" s="25"/>
      <c r="B49" s="20"/>
      <c r="C49" s="21"/>
      <c r="D49" s="21"/>
      <c r="E49" s="26"/>
      <c r="F49" s="21"/>
      <c r="G49" s="24"/>
    </row>
    <row r="50" customFormat="false" ht="15" hidden="false" customHeight="false" outlineLevel="0" collapsed="false">
      <c r="A50" s="25"/>
      <c r="B50" s="20"/>
      <c r="C50" s="21"/>
      <c r="D50" s="21"/>
      <c r="E50" s="26"/>
      <c r="F50" s="21"/>
      <c r="G50" s="24"/>
    </row>
    <row r="51" customFormat="false" ht="15" hidden="false" customHeight="false" outlineLevel="0" collapsed="false">
      <c r="A51" s="25"/>
      <c r="B51" s="20"/>
      <c r="C51" s="21"/>
      <c r="D51" s="21"/>
      <c r="E51" s="26"/>
      <c r="F51" s="21"/>
      <c r="G51" s="24"/>
    </row>
    <row r="52" customFormat="false" ht="15" hidden="false" customHeight="false" outlineLevel="0" collapsed="false">
      <c r="A52" s="25"/>
      <c r="B52" s="20"/>
      <c r="C52" s="21"/>
      <c r="D52" s="21"/>
      <c r="E52" s="26"/>
      <c r="F52" s="21"/>
      <c r="G52" s="24"/>
    </row>
    <row r="53" customFormat="false" ht="15" hidden="false" customHeight="false" outlineLevel="0" collapsed="false">
      <c r="A53" s="25"/>
      <c r="B53" s="20"/>
      <c r="C53" s="21"/>
      <c r="D53" s="21"/>
      <c r="E53" s="26"/>
      <c r="F53" s="21"/>
      <c r="G53" s="24"/>
    </row>
    <row r="54" customFormat="false" ht="15" hidden="false" customHeight="false" outlineLevel="0" collapsed="false">
      <c r="A54" s="25"/>
      <c r="B54" s="20"/>
      <c r="C54" s="21"/>
      <c r="D54" s="21"/>
      <c r="E54" s="26"/>
      <c r="F54" s="21"/>
      <c r="G54" s="24"/>
    </row>
    <row r="55" customFormat="false" ht="15" hidden="false" customHeight="false" outlineLevel="0" collapsed="false">
      <c r="A55" s="25"/>
      <c r="B55" s="20"/>
      <c r="C55" s="21"/>
      <c r="D55" s="21"/>
      <c r="E55" s="26"/>
      <c r="F55" s="21"/>
      <c r="G55" s="24"/>
    </row>
    <row r="56" customFormat="false" ht="15" hidden="false" customHeight="false" outlineLevel="0" collapsed="false">
      <c r="A56" s="25"/>
      <c r="B56" s="20"/>
      <c r="C56" s="21"/>
      <c r="D56" s="21"/>
      <c r="E56" s="26"/>
      <c r="F56" s="21"/>
      <c r="G56" s="24"/>
    </row>
    <row r="57" customFormat="false" ht="15" hidden="false" customHeight="false" outlineLevel="0" collapsed="false">
      <c r="A57" s="25"/>
      <c r="B57" s="20"/>
      <c r="C57" s="21"/>
      <c r="D57" s="21"/>
      <c r="E57" s="26"/>
      <c r="F57" s="21"/>
      <c r="G57" s="24"/>
    </row>
    <row r="58" customFormat="false" ht="15" hidden="false" customHeight="false" outlineLevel="0" collapsed="false">
      <c r="A58" s="25"/>
      <c r="B58" s="20"/>
      <c r="C58" s="21"/>
      <c r="D58" s="21"/>
      <c r="E58" s="26"/>
      <c r="F58" s="21"/>
      <c r="G58" s="24"/>
    </row>
    <row r="59" customFormat="false" ht="15" hidden="false" customHeight="false" outlineLevel="0" collapsed="false">
      <c r="A59" s="25"/>
      <c r="B59" s="20"/>
      <c r="C59" s="21"/>
      <c r="D59" s="21"/>
      <c r="E59" s="26"/>
      <c r="F59" s="21"/>
      <c r="G59" s="24"/>
    </row>
    <row r="60" customFormat="false" ht="15" hidden="false" customHeight="false" outlineLevel="0" collapsed="false">
      <c r="A60" s="25"/>
      <c r="B60" s="20"/>
      <c r="C60" s="21"/>
      <c r="D60" s="21"/>
      <c r="E60" s="26"/>
      <c r="F60" s="21"/>
      <c r="G60" s="24"/>
    </row>
    <row r="61" customFormat="false" ht="15" hidden="false" customHeight="false" outlineLevel="0" collapsed="false">
      <c r="A61" s="25"/>
      <c r="B61" s="20"/>
      <c r="C61" s="21"/>
      <c r="D61" s="21"/>
      <c r="E61" s="26"/>
      <c r="F61" s="21"/>
      <c r="G61" s="24"/>
    </row>
    <row r="62" customFormat="false" ht="15" hidden="false" customHeight="false" outlineLevel="0" collapsed="false">
      <c r="A62" s="25"/>
      <c r="B62" s="20"/>
      <c r="C62" s="21"/>
      <c r="D62" s="21"/>
      <c r="E62" s="26"/>
      <c r="F62" s="21"/>
      <c r="G62" s="24"/>
    </row>
    <row r="63" customFormat="false" ht="15" hidden="false" customHeight="false" outlineLevel="0" collapsed="false">
      <c r="A63" s="25"/>
      <c r="B63" s="20"/>
      <c r="C63" s="21"/>
      <c r="D63" s="21"/>
      <c r="E63" s="26"/>
      <c r="F63" s="21"/>
      <c r="G63" s="24"/>
    </row>
    <row r="64" customFormat="false" ht="15" hidden="false" customHeight="false" outlineLevel="0" collapsed="false">
      <c r="A64" s="25"/>
      <c r="B64" s="20"/>
      <c r="C64" s="21"/>
      <c r="D64" s="21"/>
      <c r="E64" s="26"/>
      <c r="F64" s="21"/>
      <c r="G64" s="24"/>
    </row>
    <row r="65" customFormat="false" ht="15" hidden="false" customHeight="false" outlineLevel="0" collapsed="false">
      <c r="A65" s="25"/>
      <c r="B65" s="20"/>
      <c r="C65" s="21"/>
      <c r="D65" s="21"/>
      <c r="E65" s="26"/>
      <c r="F65" s="21"/>
      <c r="G65" s="24"/>
    </row>
    <row r="66" customFormat="false" ht="15" hidden="false" customHeight="false" outlineLevel="0" collapsed="false">
      <c r="A66" s="25"/>
      <c r="B66" s="20"/>
      <c r="C66" s="21"/>
      <c r="D66" s="21"/>
      <c r="E66" s="26"/>
      <c r="F66" s="21"/>
      <c r="G66" s="24"/>
    </row>
    <row r="67" customFormat="false" ht="15" hidden="false" customHeight="false" outlineLevel="0" collapsed="false">
      <c r="A67" s="25"/>
      <c r="B67" s="20"/>
      <c r="C67" s="21"/>
      <c r="D67" s="21"/>
      <c r="E67" s="26"/>
      <c r="F67" s="21"/>
      <c r="G67" s="24"/>
    </row>
    <row r="68" customFormat="false" ht="15" hidden="false" customHeight="false" outlineLevel="0" collapsed="false">
      <c r="A68" s="25"/>
      <c r="B68" s="20"/>
      <c r="C68" s="21"/>
      <c r="D68" s="21"/>
      <c r="E68" s="26"/>
      <c r="F68" s="21"/>
      <c r="G68" s="24"/>
    </row>
    <row r="69" customFormat="false" ht="15" hidden="false" customHeight="false" outlineLevel="0" collapsed="false">
      <c r="A69" s="25"/>
      <c r="B69" s="20"/>
      <c r="C69" s="21"/>
      <c r="D69" s="21"/>
      <c r="E69" s="26"/>
      <c r="F69" s="21"/>
      <c r="G69" s="24"/>
    </row>
    <row r="70" customFormat="false" ht="15" hidden="false" customHeight="false" outlineLevel="0" collapsed="false">
      <c r="A70" s="25"/>
      <c r="B70" s="20"/>
      <c r="C70" s="21"/>
      <c r="D70" s="21"/>
      <c r="E70" s="26"/>
      <c r="F70" s="21"/>
      <c r="G70" s="24"/>
    </row>
    <row r="71" customFormat="false" ht="15" hidden="false" customHeight="false" outlineLevel="0" collapsed="false">
      <c r="A71" s="25"/>
      <c r="B71" s="20"/>
      <c r="C71" s="21"/>
      <c r="D71" s="21"/>
      <c r="E71" s="26"/>
      <c r="F71" s="21"/>
      <c r="G71" s="24"/>
    </row>
    <row r="72" customFormat="false" ht="15" hidden="false" customHeight="false" outlineLevel="0" collapsed="false">
      <c r="A72" s="25"/>
      <c r="B72" s="20"/>
      <c r="C72" s="21"/>
      <c r="D72" s="21"/>
      <c r="E72" s="26"/>
      <c r="F72" s="21"/>
      <c r="G72" s="24"/>
    </row>
    <row r="73" customFormat="false" ht="15" hidden="false" customHeight="false" outlineLevel="0" collapsed="false">
      <c r="A73" s="25"/>
      <c r="B73" s="20"/>
      <c r="C73" s="21"/>
      <c r="D73" s="21"/>
      <c r="E73" s="26"/>
      <c r="F73" s="21"/>
      <c r="G73" s="24"/>
    </row>
    <row r="74" customFormat="false" ht="15" hidden="false" customHeight="false" outlineLevel="0" collapsed="false">
      <c r="A74" s="25"/>
      <c r="B74" s="20"/>
      <c r="C74" s="21"/>
      <c r="D74" s="21"/>
      <c r="E74" s="26"/>
      <c r="F74" s="21"/>
      <c r="G74" s="24"/>
    </row>
    <row r="75" customFormat="false" ht="15" hidden="false" customHeight="false" outlineLevel="0" collapsed="false">
      <c r="A75" s="25"/>
      <c r="B75" s="20"/>
      <c r="C75" s="21"/>
      <c r="D75" s="21"/>
      <c r="E75" s="26"/>
      <c r="F75" s="21"/>
      <c r="G75" s="24"/>
    </row>
    <row r="76" customFormat="false" ht="15" hidden="false" customHeight="false" outlineLevel="0" collapsed="false">
      <c r="A76" s="25"/>
      <c r="B76" s="20"/>
      <c r="C76" s="21"/>
      <c r="D76" s="21"/>
      <c r="E76" s="26"/>
      <c r="F76" s="21"/>
      <c r="G76" s="24"/>
    </row>
    <row r="77" customFormat="false" ht="15" hidden="false" customHeight="false" outlineLevel="0" collapsed="false">
      <c r="A77" s="25"/>
      <c r="B77" s="20"/>
      <c r="C77" s="21"/>
      <c r="D77" s="21"/>
      <c r="E77" s="26"/>
      <c r="F77" s="21"/>
      <c r="G77" s="24"/>
    </row>
    <row r="78" customFormat="false" ht="15" hidden="false" customHeight="false" outlineLevel="0" collapsed="false">
      <c r="A78" s="25"/>
      <c r="B78" s="20"/>
      <c r="C78" s="21"/>
      <c r="D78" s="21"/>
      <c r="E78" s="26"/>
      <c r="F78" s="21"/>
      <c r="G78" s="24"/>
    </row>
    <row r="79" customFormat="false" ht="15" hidden="false" customHeight="false" outlineLevel="0" collapsed="false">
      <c r="A79" s="25"/>
      <c r="B79" s="20"/>
      <c r="C79" s="21"/>
      <c r="D79" s="21"/>
      <c r="E79" s="26"/>
      <c r="F79" s="21"/>
      <c r="G79" s="24"/>
    </row>
    <row r="80" customFormat="false" ht="15" hidden="false" customHeight="false" outlineLevel="0" collapsed="false">
      <c r="A80" s="25"/>
      <c r="B80" s="20"/>
      <c r="C80" s="21"/>
      <c r="D80" s="21"/>
      <c r="E80" s="26"/>
      <c r="F80" s="21"/>
      <c r="G80" s="24"/>
    </row>
    <row r="81" customFormat="false" ht="15" hidden="false" customHeight="false" outlineLevel="0" collapsed="false">
      <c r="A81" s="25"/>
      <c r="B81" s="20"/>
      <c r="C81" s="21"/>
      <c r="D81" s="21"/>
      <c r="E81" s="26"/>
      <c r="F81" s="21"/>
      <c r="G81" s="24"/>
    </row>
    <row r="82" customFormat="false" ht="15" hidden="false" customHeight="false" outlineLevel="0" collapsed="false">
      <c r="A82" s="25"/>
      <c r="B82" s="20"/>
      <c r="C82" s="21"/>
      <c r="D82" s="21"/>
      <c r="E82" s="26"/>
      <c r="F82" s="21"/>
      <c r="G82" s="24"/>
    </row>
    <row r="83" customFormat="false" ht="15" hidden="false" customHeight="false" outlineLevel="0" collapsed="false">
      <c r="A83" s="25"/>
      <c r="B83" s="20"/>
      <c r="C83" s="21"/>
      <c r="D83" s="21"/>
      <c r="E83" s="26"/>
      <c r="F83" s="21"/>
      <c r="G83" s="24"/>
    </row>
    <row r="84" customFormat="false" ht="15" hidden="false" customHeight="false" outlineLevel="0" collapsed="false">
      <c r="A84" s="25"/>
      <c r="B84" s="20"/>
      <c r="C84" s="21"/>
      <c r="D84" s="21"/>
      <c r="E84" s="26"/>
      <c r="F84" s="21"/>
      <c r="G84" s="24"/>
    </row>
    <row r="85" customFormat="false" ht="15" hidden="false" customHeight="false" outlineLevel="0" collapsed="false">
      <c r="A85" s="25"/>
      <c r="B85" s="20"/>
      <c r="C85" s="21"/>
      <c r="D85" s="21"/>
      <c r="E85" s="26"/>
      <c r="F85" s="21"/>
      <c r="G85" s="24"/>
    </row>
    <row r="86" customFormat="false" ht="15" hidden="false" customHeight="false" outlineLevel="0" collapsed="false">
      <c r="A86" s="25"/>
      <c r="B86" s="20"/>
      <c r="C86" s="21"/>
      <c r="D86" s="21"/>
      <c r="E86" s="26"/>
      <c r="F86" s="21"/>
      <c r="G86" s="24"/>
    </row>
    <row r="87" customFormat="false" ht="15" hidden="false" customHeight="false" outlineLevel="0" collapsed="false">
      <c r="A87" s="25"/>
      <c r="B87" s="20"/>
      <c r="C87" s="21"/>
      <c r="D87" s="21"/>
      <c r="E87" s="26"/>
      <c r="F87" s="21"/>
      <c r="G87" s="24"/>
    </row>
    <row r="88" customFormat="false" ht="15" hidden="false" customHeight="false" outlineLevel="0" collapsed="false">
      <c r="A88" s="25"/>
      <c r="B88" s="20"/>
      <c r="C88" s="21"/>
      <c r="D88" s="21"/>
      <c r="E88" s="26"/>
      <c r="F88" s="21"/>
      <c r="G88" s="24"/>
    </row>
    <row r="89" customFormat="false" ht="15" hidden="false" customHeight="false" outlineLevel="0" collapsed="false">
      <c r="A89" s="25"/>
      <c r="B89" s="20"/>
      <c r="C89" s="21"/>
      <c r="D89" s="21"/>
      <c r="E89" s="26"/>
      <c r="F89" s="21"/>
      <c r="G89" s="24"/>
    </row>
    <row r="90" customFormat="false" ht="15" hidden="false" customHeight="false" outlineLevel="0" collapsed="false">
      <c r="A90" s="25"/>
      <c r="B90" s="20"/>
      <c r="C90" s="21"/>
      <c r="D90" s="21"/>
      <c r="E90" s="26"/>
      <c r="F90" s="21"/>
      <c r="G90" s="24"/>
    </row>
    <row r="91" customFormat="false" ht="15" hidden="false" customHeight="false" outlineLevel="0" collapsed="false">
      <c r="A91" s="25"/>
      <c r="B91" s="20"/>
      <c r="C91" s="21"/>
      <c r="D91" s="21"/>
      <c r="E91" s="26"/>
      <c r="F91" s="21"/>
      <c r="G91" s="24"/>
    </row>
    <row r="92" customFormat="false" ht="15" hidden="false" customHeight="false" outlineLevel="0" collapsed="false">
      <c r="A92" s="25"/>
      <c r="B92" s="20"/>
      <c r="C92" s="21"/>
      <c r="D92" s="21"/>
      <c r="E92" s="26"/>
      <c r="F92" s="21"/>
      <c r="G92" s="24"/>
    </row>
    <row r="93" customFormat="false" ht="15" hidden="false" customHeight="false" outlineLevel="0" collapsed="false">
      <c r="A93" s="25"/>
      <c r="B93" s="20"/>
      <c r="C93" s="21"/>
      <c r="D93" s="21"/>
      <c r="E93" s="26"/>
      <c r="F93" s="21"/>
      <c r="G93" s="24"/>
    </row>
    <row r="94" customFormat="false" ht="15" hidden="false" customHeight="false" outlineLevel="0" collapsed="false">
      <c r="A94" s="25"/>
      <c r="B94" s="20"/>
      <c r="C94" s="21"/>
      <c r="D94" s="21"/>
      <c r="E94" s="26"/>
      <c r="F94" s="21"/>
      <c r="G94" s="24"/>
    </row>
    <row r="95" customFormat="false" ht="15" hidden="false" customHeight="false" outlineLevel="0" collapsed="false">
      <c r="A95" s="25"/>
      <c r="B95" s="20"/>
      <c r="C95" s="21"/>
      <c r="D95" s="21"/>
      <c r="E95" s="26"/>
      <c r="F95" s="21"/>
      <c r="G95" s="24"/>
    </row>
    <row r="96" customFormat="false" ht="15" hidden="false" customHeight="false" outlineLevel="0" collapsed="false">
      <c r="A96" s="25"/>
      <c r="B96" s="20"/>
      <c r="C96" s="21"/>
      <c r="D96" s="21"/>
      <c r="E96" s="26"/>
      <c r="F96" s="21"/>
      <c r="G96" s="24"/>
    </row>
    <row r="97" customFormat="false" ht="15" hidden="false" customHeight="false" outlineLevel="0" collapsed="false">
      <c r="A97" s="25"/>
      <c r="B97" s="20"/>
      <c r="C97" s="21"/>
      <c r="D97" s="21"/>
      <c r="E97" s="26"/>
      <c r="F97" s="21"/>
      <c r="G97" s="24"/>
    </row>
    <row r="98" customFormat="false" ht="15" hidden="false" customHeight="false" outlineLevel="0" collapsed="false">
      <c r="A98" s="25"/>
      <c r="B98" s="20"/>
      <c r="C98" s="21"/>
      <c r="D98" s="21"/>
      <c r="E98" s="26"/>
      <c r="F98" s="21"/>
      <c r="G98" s="24"/>
    </row>
    <row r="99" customFormat="false" ht="15" hidden="false" customHeight="false" outlineLevel="0" collapsed="false">
      <c r="A99" s="25"/>
      <c r="B99" s="20"/>
      <c r="C99" s="21"/>
      <c r="D99" s="21"/>
      <c r="E99" s="26"/>
      <c r="F99" s="21"/>
      <c r="G99" s="24"/>
    </row>
    <row r="100" customFormat="false" ht="15" hidden="false" customHeight="false" outlineLevel="0" collapsed="false">
      <c r="A100" s="25"/>
      <c r="B100" s="20"/>
      <c r="C100" s="21"/>
      <c r="D100" s="21"/>
      <c r="E100" s="26"/>
      <c r="F100" s="21"/>
      <c r="G100" s="24"/>
    </row>
    <row r="101" customFormat="false" ht="15" hidden="false" customHeight="false" outlineLevel="0" collapsed="false">
      <c r="A101" s="25"/>
      <c r="B101" s="20"/>
      <c r="C101" s="21"/>
      <c r="D101" s="21"/>
      <c r="E101" s="26"/>
      <c r="F101" s="21"/>
      <c r="G101" s="24"/>
    </row>
    <row r="102" customFormat="false" ht="15" hidden="false" customHeight="false" outlineLevel="0" collapsed="false">
      <c r="A102" s="25"/>
      <c r="B102" s="20"/>
      <c r="C102" s="21"/>
      <c r="D102" s="21"/>
      <c r="E102" s="26"/>
      <c r="F102" s="21"/>
      <c r="G102" s="24"/>
    </row>
    <row r="103" customFormat="false" ht="15" hidden="false" customHeight="false" outlineLevel="0" collapsed="false">
      <c r="A103" s="25"/>
      <c r="B103" s="20"/>
      <c r="C103" s="21"/>
      <c r="D103" s="21"/>
      <c r="E103" s="26"/>
      <c r="F103" s="21"/>
      <c r="G103" s="24"/>
    </row>
    <row r="104" customFormat="false" ht="15" hidden="false" customHeight="false" outlineLevel="0" collapsed="false">
      <c r="A104" s="25"/>
      <c r="B104" s="20"/>
      <c r="C104" s="21"/>
      <c r="D104" s="21"/>
      <c r="E104" s="26"/>
      <c r="F104" s="21"/>
      <c r="G104" s="24"/>
    </row>
    <row r="105" customFormat="false" ht="15" hidden="false" customHeight="false" outlineLevel="0" collapsed="false">
      <c r="A105" s="25"/>
      <c r="B105" s="20"/>
      <c r="C105" s="21"/>
      <c r="D105" s="21"/>
      <c r="E105" s="26"/>
      <c r="F105" s="21"/>
      <c r="G105" s="24"/>
    </row>
    <row r="106" customFormat="false" ht="15" hidden="false" customHeight="false" outlineLevel="0" collapsed="false">
      <c r="A106" s="25"/>
      <c r="B106" s="20"/>
      <c r="C106" s="21"/>
      <c r="D106" s="21"/>
      <c r="E106" s="26"/>
      <c r="F106" s="21"/>
      <c r="G106" s="24"/>
    </row>
    <row r="107" customFormat="false" ht="15" hidden="false" customHeight="false" outlineLevel="0" collapsed="false">
      <c r="A107" s="25"/>
      <c r="B107" s="20"/>
      <c r="C107" s="21"/>
      <c r="D107" s="21"/>
      <c r="E107" s="26"/>
      <c r="F107" s="21"/>
      <c r="G107" s="24"/>
    </row>
    <row r="108" customFormat="false" ht="15" hidden="false" customHeight="false" outlineLevel="0" collapsed="false">
      <c r="A108" s="25"/>
      <c r="B108" s="20"/>
      <c r="C108" s="21"/>
      <c r="D108" s="21"/>
      <c r="E108" s="26"/>
      <c r="F108" s="21"/>
      <c r="G108" s="24"/>
    </row>
    <row r="109" customFormat="false" ht="15" hidden="false" customHeight="false" outlineLevel="0" collapsed="false">
      <c r="A109" s="25"/>
      <c r="B109" s="20"/>
      <c r="C109" s="21"/>
      <c r="D109" s="21"/>
      <c r="E109" s="26"/>
      <c r="F109" s="21"/>
      <c r="G109" s="24"/>
    </row>
    <row r="110" customFormat="false" ht="15" hidden="false" customHeight="false" outlineLevel="0" collapsed="false">
      <c r="A110" s="25"/>
      <c r="B110" s="20"/>
      <c r="C110" s="21"/>
      <c r="D110" s="21"/>
      <c r="E110" s="26"/>
      <c r="F110" s="21"/>
      <c r="G110" s="24"/>
    </row>
    <row r="111" customFormat="false" ht="15" hidden="false" customHeight="false" outlineLevel="0" collapsed="false">
      <c r="A111" s="25"/>
      <c r="B111" s="20"/>
      <c r="C111" s="21"/>
      <c r="D111" s="21"/>
      <c r="E111" s="26"/>
      <c r="F111" s="21"/>
      <c r="G111" s="24"/>
    </row>
    <row r="112" customFormat="false" ht="15" hidden="false" customHeight="false" outlineLevel="0" collapsed="false">
      <c r="A112" s="25"/>
      <c r="B112" s="20"/>
      <c r="C112" s="21"/>
      <c r="D112" s="21"/>
      <c r="E112" s="26"/>
      <c r="F112" s="21"/>
      <c r="G112" s="24"/>
    </row>
    <row r="113" customFormat="false" ht="15" hidden="false" customHeight="false" outlineLevel="0" collapsed="false">
      <c r="A113" s="25"/>
      <c r="B113" s="20"/>
      <c r="C113" s="21"/>
      <c r="D113" s="21"/>
      <c r="E113" s="26"/>
      <c r="F113" s="21"/>
      <c r="G113" s="24"/>
    </row>
    <row r="114" customFormat="false" ht="15" hidden="false" customHeight="false" outlineLevel="0" collapsed="false">
      <c r="A114" s="25"/>
      <c r="B114" s="20"/>
      <c r="C114" s="21"/>
      <c r="D114" s="21"/>
      <c r="E114" s="26"/>
      <c r="F114" s="21"/>
      <c r="G114" s="24"/>
    </row>
    <row r="115" customFormat="false" ht="15" hidden="false" customHeight="false" outlineLevel="0" collapsed="false">
      <c r="A115" s="25"/>
      <c r="B115" s="20"/>
      <c r="C115" s="21"/>
      <c r="D115" s="21"/>
      <c r="E115" s="26"/>
      <c r="F115" s="21"/>
      <c r="G115" s="24"/>
    </row>
    <row r="116" customFormat="false" ht="15" hidden="false" customHeight="false" outlineLevel="0" collapsed="false">
      <c r="A116" s="25"/>
      <c r="B116" s="20"/>
      <c r="C116" s="21"/>
      <c r="D116" s="21"/>
      <c r="E116" s="26"/>
      <c r="F116" s="21"/>
      <c r="G116" s="24"/>
    </row>
    <row r="117" customFormat="false" ht="15" hidden="false" customHeight="false" outlineLevel="0" collapsed="false">
      <c r="A117" s="25"/>
      <c r="B117" s="20"/>
      <c r="C117" s="21"/>
      <c r="D117" s="21"/>
      <c r="E117" s="26"/>
      <c r="F117" s="21"/>
      <c r="G117" s="24"/>
    </row>
    <row r="118" customFormat="false" ht="15" hidden="false" customHeight="false" outlineLevel="0" collapsed="false">
      <c r="A118" s="25"/>
      <c r="B118" s="20"/>
      <c r="C118" s="21"/>
      <c r="D118" s="21"/>
      <c r="E118" s="26"/>
      <c r="F118" s="21"/>
      <c r="G118" s="24"/>
    </row>
    <row r="119" customFormat="false" ht="15" hidden="false" customHeight="false" outlineLevel="0" collapsed="false">
      <c r="A119" s="25"/>
      <c r="B119" s="20"/>
      <c r="C119" s="21"/>
      <c r="D119" s="21"/>
      <c r="E119" s="26"/>
      <c r="F119" s="21"/>
      <c r="G119" s="24"/>
    </row>
    <row r="120" customFormat="false" ht="15" hidden="false" customHeight="false" outlineLevel="0" collapsed="false">
      <c r="A120" s="25"/>
      <c r="B120" s="20"/>
      <c r="C120" s="21"/>
      <c r="D120" s="21"/>
      <c r="E120" s="26"/>
      <c r="F120" s="21"/>
      <c r="G120" s="24"/>
    </row>
    <row r="121" customFormat="false" ht="15" hidden="false" customHeight="false" outlineLevel="0" collapsed="false">
      <c r="A121" s="25"/>
      <c r="B121" s="20"/>
      <c r="C121" s="21"/>
      <c r="D121" s="21"/>
      <c r="E121" s="26"/>
      <c r="F121" s="21"/>
      <c r="G121" s="24"/>
    </row>
    <row r="122" customFormat="false" ht="15" hidden="false" customHeight="false" outlineLevel="0" collapsed="false">
      <c r="A122" s="25"/>
      <c r="B122" s="20"/>
      <c r="C122" s="21"/>
      <c r="D122" s="21"/>
      <c r="E122" s="26"/>
      <c r="F122" s="21"/>
      <c r="G122" s="24"/>
    </row>
    <row r="123" customFormat="false" ht="15" hidden="false" customHeight="false" outlineLevel="0" collapsed="false">
      <c r="A123" s="25"/>
      <c r="B123" s="20"/>
      <c r="C123" s="21"/>
      <c r="D123" s="21"/>
      <c r="E123" s="26"/>
      <c r="F123" s="21"/>
      <c r="G123" s="24"/>
    </row>
    <row r="124" customFormat="false" ht="15" hidden="false" customHeight="false" outlineLevel="0" collapsed="false">
      <c r="A124" s="25"/>
      <c r="B124" s="20"/>
      <c r="C124" s="21"/>
      <c r="D124" s="21"/>
      <c r="E124" s="26"/>
      <c r="F124" s="21"/>
      <c r="G124" s="24"/>
    </row>
    <row r="125" customFormat="false" ht="15" hidden="false" customHeight="false" outlineLevel="0" collapsed="false">
      <c r="A125" s="25"/>
      <c r="B125" s="20"/>
      <c r="C125" s="21"/>
      <c r="D125" s="21"/>
      <c r="E125" s="26"/>
      <c r="F125" s="21"/>
      <c r="G125" s="24"/>
    </row>
    <row r="126" customFormat="false" ht="15" hidden="false" customHeight="false" outlineLevel="0" collapsed="false">
      <c r="A126" s="25"/>
      <c r="B126" s="20"/>
      <c r="C126" s="21"/>
      <c r="D126" s="21"/>
      <c r="E126" s="26"/>
      <c r="F126" s="21"/>
      <c r="G126" s="24"/>
    </row>
    <row r="127" customFormat="false" ht="15" hidden="false" customHeight="false" outlineLevel="0" collapsed="false">
      <c r="A127" s="25"/>
      <c r="B127" s="20"/>
      <c r="C127" s="21"/>
      <c r="D127" s="21"/>
      <c r="E127" s="26"/>
      <c r="F127" s="21"/>
      <c r="G127" s="24"/>
    </row>
    <row r="128" customFormat="false" ht="15" hidden="false" customHeight="false" outlineLevel="0" collapsed="false">
      <c r="A128" s="25"/>
      <c r="B128" s="20"/>
      <c r="C128" s="21"/>
      <c r="D128" s="21"/>
      <c r="E128" s="26"/>
      <c r="F128" s="21"/>
      <c r="G128" s="24"/>
    </row>
    <row r="129" customFormat="false" ht="15" hidden="false" customHeight="false" outlineLevel="0" collapsed="false">
      <c r="A129" s="25"/>
      <c r="B129" s="20"/>
      <c r="C129" s="21"/>
      <c r="D129" s="21"/>
      <c r="E129" s="26"/>
      <c r="F129" s="21"/>
      <c r="G129" s="24"/>
    </row>
    <row r="130" customFormat="false" ht="15" hidden="false" customHeight="false" outlineLevel="0" collapsed="false">
      <c r="A130" s="25"/>
      <c r="B130" s="20"/>
      <c r="C130" s="21"/>
      <c r="D130" s="21"/>
      <c r="E130" s="26"/>
      <c r="F130" s="21"/>
      <c r="G130" s="24"/>
    </row>
    <row r="131" customFormat="false" ht="15" hidden="false" customHeight="false" outlineLevel="0" collapsed="false">
      <c r="A131" s="25"/>
      <c r="B131" s="20"/>
      <c r="C131" s="21"/>
      <c r="D131" s="21"/>
      <c r="E131" s="26"/>
      <c r="F131" s="21"/>
      <c r="G131" s="24"/>
    </row>
    <row r="132" customFormat="false" ht="15" hidden="false" customHeight="false" outlineLevel="0" collapsed="false">
      <c r="A132" s="25"/>
      <c r="B132" s="20"/>
      <c r="C132" s="21"/>
      <c r="D132" s="21"/>
      <c r="E132" s="26"/>
      <c r="F132" s="21"/>
      <c r="G132" s="24"/>
    </row>
    <row r="133" customFormat="false" ht="15" hidden="false" customHeight="false" outlineLevel="0" collapsed="false">
      <c r="A133" s="25"/>
      <c r="B133" s="20"/>
      <c r="C133" s="21"/>
      <c r="D133" s="21"/>
      <c r="E133" s="26"/>
      <c r="F133" s="21"/>
      <c r="G133" s="24"/>
    </row>
    <row r="134" customFormat="false" ht="15" hidden="false" customHeight="false" outlineLevel="0" collapsed="false">
      <c r="A134" s="25"/>
      <c r="B134" s="20"/>
      <c r="C134" s="21"/>
      <c r="D134" s="21"/>
      <c r="E134" s="26"/>
      <c r="F134" s="21"/>
      <c r="G134" s="24"/>
    </row>
    <row r="135" customFormat="false" ht="15" hidden="false" customHeight="false" outlineLevel="0" collapsed="false">
      <c r="A135" s="25"/>
      <c r="B135" s="20"/>
      <c r="C135" s="21"/>
      <c r="D135" s="21"/>
      <c r="E135" s="26"/>
      <c r="F135" s="21"/>
      <c r="G135" s="24"/>
    </row>
    <row r="136" customFormat="false" ht="15" hidden="false" customHeight="false" outlineLevel="0" collapsed="false">
      <c r="A136" s="25"/>
      <c r="B136" s="20"/>
      <c r="C136" s="21"/>
      <c r="D136" s="21"/>
      <c r="E136" s="26"/>
      <c r="F136" s="21"/>
      <c r="G136" s="24"/>
    </row>
    <row r="137" customFormat="false" ht="15" hidden="false" customHeight="false" outlineLevel="0" collapsed="false">
      <c r="A137" s="25"/>
      <c r="B137" s="20"/>
      <c r="C137" s="21"/>
      <c r="D137" s="21"/>
      <c r="E137" s="26"/>
      <c r="F137" s="21"/>
      <c r="G137" s="24"/>
    </row>
    <row r="138" customFormat="false" ht="15" hidden="false" customHeight="false" outlineLevel="0" collapsed="false">
      <c r="A138" s="25"/>
      <c r="B138" s="20"/>
      <c r="C138" s="21"/>
      <c r="D138" s="21"/>
      <c r="E138" s="26"/>
      <c r="F138" s="21"/>
      <c r="G138" s="24"/>
    </row>
    <row r="139" customFormat="false" ht="15" hidden="false" customHeight="false" outlineLevel="0" collapsed="false">
      <c r="A139" s="25"/>
      <c r="B139" s="20"/>
      <c r="C139" s="21"/>
      <c r="D139" s="21"/>
      <c r="E139" s="26"/>
      <c r="F139" s="21"/>
      <c r="G139" s="24"/>
    </row>
    <row r="140" customFormat="false" ht="15" hidden="false" customHeight="false" outlineLevel="0" collapsed="false">
      <c r="A140" s="25"/>
      <c r="B140" s="20"/>
      <c r="C140" s="21"/>
      <c r="D140" s="21"/>
      <c r="E140" s="26"/>
      <c r="F140" s="21"/>
      <c r="G140" s="24"/>
    </row>
    <row r="141" customFormat="false" ht="15" hidden="false" customHeight="false" outlineLevel="0" collapsed="false">
      <c r="A141" s="25"/>
      <c r="B141" s="20"/>
      <c r="C141" s="21"/>
      <c r="D141" s="21"/>
      <c r="E141" s="26"/>
      <c r="F141" s="21"/>
      <c r="G141" s="24"/>
    </row>
    <row r="142" customFormat="false" ht="15" hidden="false" customHeight="false" outlineLevel="0" collapsed="false">
      <c r="A142" s="25"/>
      <c r="B142" s="20"/>
      <c r="C142" s="21"/>
      <c r="D142" s="21"/>
      <c r="E142" s="26"/>
      <c r="F142" s="21"/>
      <c r="G142" s="24"/>
    </row>
    <row r="143" customFormat="false" ht="15" hidden="false" customHeight="false" outlineLevel="0" collapsed="false">
      <c r="A143" s="25"/>
      <c r="B143" s="20"/>
      <c r="C143" s="21"/>
      <c r="D143" s="21"/>
      <c r="E143" s="26"/>
      <c r="F143" s="21"/>
      <c r="G143" s="24"/>
    </row>
    <row r="144" customFormat="false" ht="15" hidden="false" customHeight="false" outlineLevel="0" collapsed="false">
      <c r="A144" s="25"/>
      <c r="B144" s="20"/>
      <c r="C144" s="21"/>
      <c r="D144" s="21"/>
      <c r="E144" s="26"/>
      <c r="F144" s="21"/>
      <c r="G144" s="24"/>
    </row>
    <row r="145" customFormat="false" ht="15" hidden="false" customHeight="false" outlineLevel="0" collapsed="false">
      <c r="A145" s="25"/>
      <c r="B145" s="20"/>
      <c r="C145" s="21"/>
      <c r="D145" s="21"/>
      <c r="E145" s="26"/>
      <c r="F145" s="21"/>
      <c r="G145" s="24"/>
    </row>
    <row r="146" customFormat="false" ht="15" hidden="false" customHeight="false" outlineLevel="0" collapsed="false">
      <c r="A146" s="25"/>
      <c r="B146" s="20"/>
      <c r="C146" s="21"/>
      <c r="D146" s="21"/>
      <c r="E146" s="26"/>
      <c r="F146" s="21"/>
      <c r="G146" s="24"/>
    </row>
    <row r="147" customFormat="false" ht="15" hidden="false" customHeight="false" outlineLevel="0" collapsed="false">
      <c r="A147" s="25"/>
      <c r="B147" s="20"/>
      <c r="C147" s="21"/>
      <c r="D147" s="21"/>
      <c r="E147" s="26"/>
      <c r="F147" s="21"/>
      <c r="G147" s="24"/>
    </row>
    <row r="148" customFormat="false" ht="15" hidden="false" customHeight="false" outlineLevel="0" collapsed="false">
      <c r="A148" s="25"/>
      <c r="B148" s="20"/>
      <c r="C148" s="21"/>
      <c r="D148" s="21"/>
      <c r="E148" s="26"/>
      <c r="F148" s="21"/>
      <c r="G148" s="24"/>
    </row>
    <row r="149" customFormat="false" ht="15" hidden="false" customHeight="false" outlineLevel="0" collapsed="false">
      <c r="A149" s="25"/>
      <c r="B149" s="20"/>
      <c r="C149" s="21"/>
      <c r="D149" s="21"/>
      <c r="E149" s="26"/>
      <c r="F149" s="21"/>
      <c r="G149" s="24"/>
    </row>
    <row r="150" customFormat="false" ht="15" hidden="false" customHeight="false" outlineLevel="0" collapsed="false">
      <c r="A150" s="25"/>
      <c r="B150" s="20"/>
      <c r="C150" s="21"/>
      <c r="D150" s="21"/>
      <c r="E150" s="26"/>
      <c r="F150" s="21"/>
      <c r="G150" s="24"/>
    </row>
    <row r="151" customFormat="false" ht="15" hidden="false" customHeight="false" outlineLevel="0" collapsed="false">
      <c r="A151" s="25"/>
      <c r="B151" s="20"/>
      <c r="C151" s="21"/>
      <c r="D151" s="21"/>
      <c r="E151" s="26"/>
      <c r="F151" s="21"/>
      <c r="G151" s="24"/>
    </row>
    <row r="152" customFormat="false" ht="15" hidden="false" customHeight="false" outlineLevel="0" collapsed="false">
      <c r="A152" s="25"/>
      <c r="B152" s="20"/>
      <c r="C152" s="21"/>
      <c r="D152" s="21"/>
      <c r="E152" s="26"/>
      <c r="F152" s="21"/>
      <c r="G152" s="24"/>
    </row>
    <row r="153" customFormat="false" ht="15" hidden="false" customHeight="false" outlineLevel="0" collapsed="false">
      <c r="A153" s="25"/>
      <c r="B153" s="20"/>
      <c r="C153" s="21"/>
      <c r="D153" s="21"/>
      <c r="E153" s="26"/>
      <c r="F153" s="21"/>
      <c r="G153" s="24"/>
    </row>
    <row r="154" customFormat="false" ht="15" hidden="false" customHeight="false" outlineLevel="0" collapsed="false">
      <c r="A154" s="25"/>
      <c r="B154" s="20"/>
      <c r="C154" s="21"/>
      <c r="D154" s="21"/>
      <c r="E154" s="26"/>
      <c r="F154" s="21"/>
      <c r="G154" s="24"/>
    </row>
    <row r="155" customFormat="false" ht="15" hidden="false" customHeight="false" outlineLevel="0" collapsed="false">
      <c r="A155" s="25"/>
      <c r="B155" s="20"/>
      <c r="C155" s="21"/>
      <c r="D155" s="21"/>
      <c r="E155" s="26"/>
      <c r="F155" s="21"/>
      <c r="G155" s="24"/>
    </row>
    <row r="156" customFormat="false" ht="15" hidden="false" customHeight="false" outlineLevel="0" collapsed="false">
      <c r="A156" s="25"/>
      <c r="B156" s="20"/>
      <c r="C156" s="21"/>
      <c r="D156" s="21"/>
      <c r="E156" s="26"/>
      <c r="F156" s="21"/>
      <c r="G156" s="24"/>
    </row>
    <row r="157" customFormat="false" ht="15" hidden="false" customHeight="false" outlineLevel="0" collapsed="false">
      <c r="A157" s="25"/>
      <c r="B157" s="20"/>
      <c r="C157" s="21"/>
      <c r="D157" s="21"/>
      <c r="E157" s="26"/>
      <c r="F157" s="21"/>
      <c r="G157" s="24"/>
    </row>
    <row r="158" customFormat="false" ht="15" hidden="false" customHeight="false" outlineLevel="0" collapsed="false">
      <c r="A158" s="25"/>
      <c r="B158" s="20"/>
      <c r="C158" s="21"/>
      <c r="D158" s="21"/>
      <c r="E158" s="26"/>
      <c r="F158" s="21"/>
      <c r="G158" s="24"/>
    </row>
    <row r="159" customFormat="false" ht="15" hidden="false" customHeight="false" outlineLevel="0" collapsed="false">
      <c r="A159" s="25"/>
      <c r="B159" s="20"/>
      <c r="C159" s="21"/>
      <c r="D159" s="21"/>
      <c r="E159" s="26"/>
      <c r="F159" s="21"/>
      <c r="G159" s="24"/>
    </row>
    <row r="160" customFormat="false" ht="15" hidden="false" customHeight="false" outlineLevel="0" collapsed="false">
      <c r="A160" s="25"/>
      <c r="B160" s="20"/>
      <c r="C160" s="21"/>
      <c r="D160" s="21"/>
      <c r="E160" s="26"/>
      <c r="F160" s="21"/>
      <c r="G160" s="24"/>
    </row>
    <row r="161" customFormat="false" ht="15" hidden="false" customHeight="false" outlineLevel="0" collapsed="false">
      <c r="A161" s="25"/>
      <c r="B161" s="20"/>
      <c r="C161" s="21"/>
      <c r="D161" s="21"/>
      <c r="E161" s="26"/>
      <c r="F161" s="21"/>
      <c r="G161" s="24"/>
    </row>
    <row r="162" customFormat="false" ht="15" hidden="false" customHeight="false" outlineLevel="0" collapsed="false">
      <c r="A162" s="25"/>
      <c r="B162" s="20"/>
      <c r="C162" s="21"/>
      <c r="D162" s="21"/>
      <c r="E162" s="26"/>
      <c r="F162" s="21"/>
      <c r="G162" s="24"/>
    </row>
    <row r="163" customFormat="false" ht="15" hidden="false" customHeight="false" outlineLevel="0" collapsed="false">
      <c r="A163" s="25"/>
      <c r="B163" s="20"/>
      <c r="C163" s="21"/>
      <c r="D163" s="21"/>
      <c r="E163" s="26"/>
      <c r="F163" s="21"/>
      <c r="G163" s="24"/>
    </row>
    <row r="164" customFormat="false" ht="15" hidden="false" customHeight="false" outlineLevel="0" collapsed="false">
      <c r="A164" s="25"/>
      <c r="B164" s="20"/>
      <c r="C164" s="21"/>
      <c r="D164" s="21"/>
      <c r="E164" s="26"/>
      <c r="F164" s="21"/>
      <c r="G164" s="24"/>
    </row>
    <row r="165" customFormat="false" ht="15" hidden="false" customHeight="false" outlineLevel="0" collapsed="false">
      <c r="A165" s="25"/>
      <c r="B165" s="20"/>
      <c r="C165" s="21"/>
      <c r="D165" s="21"/>
      <c r="E165" s="26"/>
      <c r="F165" s="21"/>
      <c r="G165" s="24"/>
    </row>
    <row r="166" customFormat="false" ht="15" hidden="false" customHeight="false" outlineLevel="0" collapsed="false">
      <c r="A166" s="25"/>
      <c r="B166" s="20"/>
      <c r="C166" s="21"/>
      <c r="D166" s="21"/>
      <c r="E166" s="26"/>
      <c r="F166" s="21"/>
      <c r="G166" s="24"/>
    </row>
    <row r="167" customFormat="false" ht="15" hidden="false" customHeight="false" outlineLevel="0" collapsed="false">
      <c r="A167" s="25"/>
      <c r="B167" s="20"/>
      <c r="C167" s="21"/>
      <c r="D167" s="21"/>
      <c r="E167" s="26"/>
      <c r="F167" s="21"/>
      <c r="G167" s="24"/>
    </row>
    <row r="168" customFormat="false" ht="15" hidden="false" customHeight="false" outlineLevel="0" collapsed="false">
      <c r="A168" s="25"/>
      <c r="B168" s="20"/>
      <c r="C168" s="21"/>
      <c r="D168" s="21"/>
      <c r="E168" s="26"/>
      <c r="F168" s="21"/>
      <c r="G168" s="24"/>
    </row>
    <row r="169" customFormat="false" ht="15" hidden="false" customHeight="false" outlineLevel="0" collapsed="false">
      <c r="A169" s="25"/>
      <c r="B169" s="20"/>
      <c r="C169" s="21"/>
      <c r="D169" s="21"/>
      <c r="E169" s="26"/>
      <c r="F169" s="21"/>
      <c r="G169" s="24"/>
    </row>
    <row r="170" customFormat="false" ht="15" hidden="false" customHeight="false" outlineLevel="0" collapsed="false">
      <c r="A170" s="25"/>
      <c r="B170" s="20"/>
      <c r="C170" s="21"/>
      <c r="D170" s="21"/>
      <c r="E170" s="26"/>
      <c r="F170" s="21"/>
      <c r="G170" s="24"/>
    </row>
    <row r="171" customFormat="false" ht="15" hidden="false" customHeight="false" outlineLevel="0" collapsed="false">
      <c r="A171" s="25"/>
      <c r="B171" s="20"/>
      <c r="C171" s="21"/>
      <c r="D171" s="21"/>
      <c r="E171" s="26"/>
      <c r="F171" s="21"/>
      <c r="G171" s="24"/>
    </row>
    <row r="172" customFormat="false" ht="15" hidden="false" customHeight="false" outlineLevel="0" collapsed="false">
      <c r="A172" s="25"/>
      <c r="B172" s="20"/>
      <c r="C172" s="21"/>
      <c r="D172" s="21"/>
      <c r="E172" s="26"/>
      <c r="F172" s="21"/>
      <c r="G172" s="24"/>
    </row>
    <row r="173" customFormat="false" ht="15" hidden="false" customHeight="false" outlineLevel="0" collapsed="false">
      <c r="A173" s="25"/>
      <c r="B173" s="20"/>
      <c r="C173" s="21"/>
      <c r="D173" s="21"/>
      <c r="E173" s="26"/>
      <c r="F173" s="21"/>
      <c r="G173" s="24"/>
    </row>
    <row r="174" customFormat="false" ht="15" hidden="false" customHeight="false" outlineLevel="0" collapsed="false">
      <c r="A174" s="25"/>
      <c r="B174" s="20"/>
      <c r="C174" s="21"/>
      <c r="D174" s="21"/>
      <c r="E174" s="26"/>
      <c r="F174" s="21"/>
      <c r="G174" s="24"/>
    </row>
    <row r="175" customFormat="false" ht="15" hidden="false" customHeight="false" outlineLevel="0" collapsed="false">
      <c r="A175" s="25"/>
      <c r="B175" s="20"/>
      <c r="C175" s="21"/>
      <c r="D175" s="21"/>
      <c r="E175" s="26"/>
      <c r="F175" s="21"/>
      <c r="G175" s="24"/>
    </row>
    <row r="176" customFormat="false" ht="15" hidden="false" customHeight="false" outlineLevel="0" collapsed="false">
      <c r="A176" s="25"/>
      <c r="B176" s="20"/>
      <c r="C176" s="21"/>
      <c r="D176" s="21"/>
      <c r="E176" s="26"/>
      <c r="F176" s="21"/>
      <c r="G176" s="24"/>
    </row>
    <row r="177" customFormat="false" ht="15" hidden="false" customHeight="false" outlineLevel="0" collapsed="false">
      <c r="A177" s="25"/>
      <c r="B177" s="20"/>
      <c r="C177" s="21"/>
      <c r="D177" s="21"/>
      <c r="E177" s="26"/>
      <c r="F177" s="21"/>
      <c r="G177" s="24"/>
    </row>
    <row r="178" customFormat="false" ht="15" hidden="false" customHeight="false" outlineLevel="0" collapsed="false">
      <c r="A178" s="25"/>
      <c r="B178" s="20"/>
      <c r="C178" s="21"/>
      <c r="D178" s="21"/>
      <c r="E178" s="26"/>
      <c r="F178" s="21"/>
      <c r="G178" s="24"/>
    </row>
    <row r="179" customFormat="false" ht="15" hidden="false" customHeight="false" outlineLevel="0" collapsed="false">
      <c r="A179" s="25"/>
      <c r="B179" s="20"/>
      <c r="C179" s="21"/>
      <c r="D179" s="21"/>
      <c r="E179" s="26"/>
      <c r="F179" s="21"/>
      <c r="G179" s="24"/>
    </row>
    <row r="180" customFormat="false" ht="15" hidden="false" customHeight="false" outlineLevel="0" collapsed="false">
      <c r="A180" s="25"/>
      <c r="B180" s="20"/>
      <c r="C180" s="21"/>
      <c r="D180" s="21"/>
      <c r="E180" s="26"/>
      <c r="F180" s="21"/>
      <c r="G180" s="24"/>
    </row>
    <row r="181" customFormat="false" ht="15" hidden="false" customHeight="false" outlineLevel="0" collapsed="false">
      <c r="A181" s="25"/>
      <c r="B181" s="20"/>
      <c r="C181" s="21"/>
      <c r="D181" s="21"/>
      <c r="E181" s="26"/>
      <c r="F181" s="21"/>
      <c r="G181" s="24"/>
    </row>
    <row r="182" customFormat="false" ht="15" hidden="false" customHeight="false" outlineLevel="0" collapsed="false">
      <c r="A182" s="25"/>
      <c r="B182" s="20"/>
      <c r="C182" s="21"/>
      <c r="D182" s="21"/>
      <c r="E182" s="26"/>
      <c r="F182" s="21"/>
      <c r="G182" s="24"/>
    </row>
    <row r="183" customFormat="false" ht="15" hidden="false" customHeight="false" outlineLevel="0" collapsed="false">
      <c r="A183" s="25"/>
      <c r="B183" s="20"/>
      <c r="C183" s="21"/>
      <c r="D183" s="21"/>
      <c r="E183" s="26"/>
      <c r="F183" s="21"/>
      <c r="G183" s="24"/>
    </row>
    <row r="184" customFormat="false" ht="15" hidden="false" customHeight="false" outlineLevel="0" collapsed="false">
      <c r="A184" s="25"/>
      <c r="B184" s="20"/>
      <c r="C184" s="21"/>
      <c r="D184" s="21"/>
      <c r="E184" s="26"/>
      <c r="F184" s="21"/>
      <c r="G184" s="24"/>
    </row>
    <row r="185" customFormat="false" ht="15" hidden="false" customHeight="false" outlineLevel="0" collapsed="false">
      <c r="A185" s="25"/>
      <c r="B185" s="20"/>
      <c r="C185" s="21"/>
      <c r="D185" s="21"/>
      <c r="E185" s="26"/>
      <c r="F185" s="21"/>
      <c r="G185" s="24"/>
    </row>
    <row r="186" customFormat="false" ht="15" hidden="false" customHeight="false" outlineLevel="0" collapsed="false">
      <c r="A186" s="25"/>
      <c r="B186" s="20"/>
      <c r="C186" s="21"/>
      <c r="D186" s="21"/>
      <c r="E186" s="26"/>
      <c r="F186" s="21"/>
      <c r="G186" s="24"/>
    </row>
    <row r="187" customFormat="false" ht="15" hidden="false" customHeight="false" outlineLevel="0" collapsed="false">
      <c r="A187" s="25"/>
      <c r="B187" s="20"/>
      <c r="C187" s="21"/>
      <c r="D187" s="21"/>
      <c r="E187" s="26"/>
      <c r="F187" s="21"/>
      <c r="G187" s="24"/>
    </row>
    <row r="188" customFormat="false" ht="15" hidden="false" customHeight="false" outlineLevel="0" collapsed="false">
      <c r="A188" s="25"/>
      <c r="B188" s="20"/>
      <c r="C188" s="21"/>
      <c r="D188" s="21"/>
      <c r="E188" s="26"/>
      <c r="F188" s="21"/>
      <c r="G188" s="24"/>
    </row>
    <row r="189" customFormat="false" ht="15" hidden="false" customHeight="false" outlineLevel="0" collapsed="false">
      <c r="A189" s="25"/>
      <c r="B189" s="20"/>
      <c r="C189" s="21"/>
      <c r="D189" s="21"/>
      <c r="E189" s="26"/>
      <c r="F189" s="21"/>
      <c r="G189" s="24"/>
    </row>
    <row r="190" customFormat="false" ht="15" hidden="false" customHeight="false" outlineLevel="0" collapsed="false">
      <c r="A190" s="25"/>
      <c r="B190" s="20"/>
      <c r="C190" s="21"/>
      <c r="D190" s="21"/>
      <c r="E190" s="26"/>
      <c r="F190" s="21"/>
      <c r="G190" s="24"/>
    </row>
    <row r="191" customFormat="false" ht="15" hidden="false" customHeight="false" outlineLevel="0" collapsed="false">
      <c r="A191" s="25"/>
      <c r="B191" s="20"/>
      <c r="C191" s="21"/>
      <c r="D191" s="21"/>
      <c r="E191" s="26"/>
      <c r="F191" s="21"/>
      <c r="G191" s="24"/>
    </row>
    <row r="192" customFormat="false" ht="15" hidden="false" customHeight="false" outlineLevel="0" collapsed="false">
      <c r="A192" s="25"/>
      <c r="B192" s="20"/>
      <c r="C192" s="21"/>
      <c r="D192" s="21"/>
      <c r="E192" s="26"/>
      <c r="F192" s="21"/>
      <c r="G192" s="24"/>
    </row>
    <row r="193" customFormat="false" ht="15" hidden="false" customHeight="false" outlineLevel="0" collapsed="false">
      <c r="A193" s="25"/>
      <c r="B193" s="20"/>
      <c r="C193" s="21"/>
      <c r="D193" s="21"/>
      <c r="E193" s="26"/>
      <c r="F193" s="21"/>
      <c r="G193" s="24"/>
    </row>
    <row r="194" customFormat="false" ht="15" hidden="false" customHeight="false" outlineLevel="0" collapsed="false">
      <c r="A194" s="25"/>
      <c r="B194" s="20"/>
      <c r="C194" s="21"/>
      <c r="D194" s="21"/>
      <c r="E194" s="26"/>
      <c r="F194" s="21"/>
      <c r="G194" s="24"/>
    </row>
    <row r="195" customFormat="false" ht="15" hidden="false" customHeight="false" outlineLevel="0" collapsed="false">
      <c r="A195" s="25"/>
      <c r="B195" s="20"/>
      <c r="C195" s="21"/>
      <c r="D195" s="21"/>
      <c r="E195" s="26"/>
      <c r="F195" s="21"/>
      <c r="G195" s="24"/>
    </row>
    <row r="196" customFormat="false" ht="15" hidden="false" customHeight="false" outlineLevel="0" collapsed="false">
      <c r="A196" s="25"/>
      <c r="B196" s="20"/>
      <c r="C196" s="21"/>
      <c r="D196" s="21"/>
      <c r="E196" s="26"/>
      <c r="F196" s="21"/>
      <c r="G196" s="24"/>
    </row>
    <row r="197" customFormat="false" ht="15" hidden="false" customHeight="false" outlineLevel="0" collapsed="false">
      <c r="A197" s="25"/>
      <c r="B197" s="20"/>
      <c r="C197" s="21"/>
      <c r="D197" s="21"/>
      <c r="E197" s="26"/>
      <c r="F197" s="21"/>
      <c r="G197" s="24"/>
    </row>
    <row r="198" customFormat="false" ht="15" hidden="false" customHeight="false" outlineLevel="0" collapsed="false">
      <c r="A198" s="25"/>
      <c r="B198" s="20"/>
      <c r="C198" s="21"/>
      <c r="D198" s="21"/>
      <c r="E198" s="26"/>
      <c r="F198" s="21"/>
      <c r="G198" s="24"/>
    </row>
    <row r="199" customFormat="false" ht="15" hidden="false" customHeight="false" outlineLevel="0" collapsed="false">
      <c r="A199" s="25"/>
      <c r="B199" s="20"/>
      <c r="C199" s="21"/>
      <c r="D199" s="21"/>
      <c r="E199" s="26"/>
      <c r="F199" s="21"/>
      <c r="G199" s="24"/>
    </row>
    <row r="200" customFormat="false" ht="15" hidden="false" customHeight="false" outlineLevel="0" collapsed="false">
      <c r="A200" s="25"/>
      <c r="B200" s="20"/>
      <c r="C200" s="21"/>
      <c r="D200" s="21"/>
      <c r="E200" s="26"/>
      <c r="F200" s="21"/>
      <c r="G200" s="24"/>
    </row>
    <row r="201" customFormat="false" ht="15" hidden="false" customHeight="false" outlineLevel="0" collapsed="false">
      <c r="A201" s="25"/>
      <c r="B201" s="20"/>
      <c r="C201" s="21"/>
      <c r="D201" s="21"/>
      <c r="E201" s="26"/>
      <c r="F201" s="21"/>
      <c r="G201" s="24"/>
    </row>
    <row r="202" customFormat="false" ht="15" hidden="false" customHeight="false" outlineLevel="0" collapsed="false">
      <c r="A202" s="25"/>
      <c r="B202" s="20"/>
      <c r="C202" s="21"/>
      <c r="D202" s="21"/>
      <c r="E202" s="26"/>
      <c r="F202" s="21"/>
      <c r="G202" s="24"/>
    </row>
    <row r="203" customFormat="false" ht="15" hidden="false" customHeight="false" outlineLevel="0" collapsed="false">
      <c r="A203" s="25"/>
      <c r="B203" s="20"/>
      <c r="C203" s="21"/>
      <c r="D203" s="21"/>
      <c r="E203" s="26"/>
      <c r="F203" s="21"/>
      <c r="G203" s="24"/>
    </row>
    <row r="204" customFormat="false" ht="15" hidden="false" customHeight="false" outlineLevel="0" collapsed="false">
      <c r="A204" s="25"/>
      <c r="B204" s="20"/>
      <c r="C204" s="21"/>
      <c r="D204" s="21"/>
      <c r="E204" s="26"/>
      <c r="F204" s="21"/>
      <c r="G204" s="24"/>
    </row>
    <row r="205" customFormat="false" ht="15" hidden="false" customHeight="false" outlineLevel="0" collapsed="false">
      <c r="A205" s="25"/>
      <c r="B205" s="20"/>
      <c r="C205" s="21"/>
      <c r="D205" s="21"/>
      <c r="E205" s="26"/>
      <c r="F205" s="21"/>
      <c r="G205" s="24"/>
    </row>
    <row r="206" customFormat="false" ht="15" hidden="false" customHeight="false" outlineLevel="0" collapsed="false">
      <c r="A206" s="25"/>
      <c r="B206" s="20"/>
      <c r="C206" s="21"/>
      <c r="D206" s="21"/>
      <c r="E206" s="26"/>
      <c r="F206" s="21"/>
      <c r="G206" s="24"/>
    </row>
    <row r="207" customFormat="false" ht="15" hidden="false" customHeight="false" outlineLevel="0" collapsed="false">
      <c r="A207" s="25"/>
      <c r="B207" s="20"/>
      <c r="C207" s="21"/>
      <c r="D207" s="21"/>
      <c r="E207" s="26"/>
      <c r="F207" s="21"/>
      <c r="G207" s="24"/>
    </row>
    <row r="208" customFormat="false" ht="15" hidden="false" customHeight="false" outlineLevel="0" collapsed="false">
      <c r="A208" s="25"/>
      <c r="B208" s="20"/>
      <c r="C208" s="21"/>
      <c r="D208" s="21"/>
      <c r="E208" s="26"/>
      <c r="F208" s="21"/>
      <c r="G208" s="24"/>
    </row>
    <row r="209" customFormat="false" ht="15" hidden="false" customHeight="false" outlineLevel="0" collapsed="false">
      <c r="A209" s="25"/>
      <c r="B209" s="20"/>
      <c r="C209" s="21"/>
      <c r="D209" s="21"/>
      <c r="E209" s="26"/>
      <c r="F209" s="21"/>
      <c r="G209" s="24"/>
    </row>
    <row r="210" customFormat="false" ht="15" hidden="false" customHeight="false" outlineLevel="0" collapsed="false">
      <c r="A210" s="25"/>
      <c r="B210" s="20"/>
      <c r="C210" s="21"/>
      <c r="D210" s="21"/>
      <c r="E210" s="26"/>
      <c r="F210" s="21"/>
      <c r="G210" s="24"/>
    </row>
    <row r="211" customFormat="false" ht="15" hidden="false" customHeight="false" outlineLevel="0" collapsed="false">
      <c r="A211" s="25"/>
      <c r="B211" s="20"/>
      <c r="C211" s="21"/>
      <c r="D211" s="21"/>
      <c r="E211" s="26"/>
      <c r="F211" s="21"/>
      <c r="G211" s="24"/>
    </row>
    <row r="212" customFormat="false" ht="15" hidden="false" customHeight="false" outlineLevel="0" collapsed="false">
      <c r="A212" s="25"/>
      <c r="B212" s="20"/>
      <c r="C212" s="21"/>
      <c r="D212" s="21"/>
      <c r="E212" s="26"/>
      <c r="F212" s="21"/>
      <c r="G212" s="24"/>
    </row>
    <row r="213" customFormat="false" ht="15" hidden="false" customHeight="false" outlineLevel="0" collapsed="false">
      <c r="A213" s="25"/>
      <c r="B213" s="20"/>
      <c r="C213" s="21"/>
      <c r="D213" s="21"/>
      <c r="E213" s="26"/>
      <c r="F213" s="21"/>
      <c r="G213" s="24"/>
    </row>
    <row r="214" customFormat="false" ht="15" hidden="false" customHeight="false" outlineLevel="0" collapsed="false">
      <c r="A214" s="25"/>
      <c r="B214" s="20"/>
      <c r="C214" s="21"/>
      <c r="D214" s="21"/>
      <c r="E214" s="26"/>
      <c r="F214" s="21"/>
      <c r="G214" s="24"/>
    </row>
    <row r="215" customFormat="false" ht="15" hidden="false" customHeight="false" outlineLevel="0" collapsed="false">
      <c r="A215" s="25"/>
      <c r="B215" s="20"/>
      <c r="C215" s="21"/>
      <c r="D215" s="21"/>
      <c r="E215" s="26"/>
      <c r="F215" s="21"/>
      <c r="G215" s="24"/>
    </row>
    <row r="216" customFormat="false" ht="15" hidden="false" customHeight="false" outlineLevel="0" collapsed="false">
      <c r="A216" s="25"/>
      <c r="B216" s="20"/>
      <c r="C216" s="21"/>
      <c r="D216" s="21"/>
      <c r="E216" s="26"/>
      <c r="F216" s="21"/>
      <c r="G216" s="24"/>
    </row>
    <row r="217" customFormat="false" ht="15" hidden="false" customHeight="false" outlineLevel="0" collapsed="false">
      <c r="A217" s="25"/>
      <c r="B217" s="20"/>
      <c r="C217" s="21"/>
      <c r="D217" s="21"/>
      <c r="E217" s="26"/>
      <c r="F217" s="21"/>
      <c r="G217" s="24"/>
    </row>
    <row r="218" customFormat="false" ht="15" hidden="false" customHeight="false" outlineLevel="0" collapsed="false">
      <c r="A218" s="25"/>
      <c r="B218" s="20"/>
      <c r="C218" s="21"/>
      <c r="D218" s="21"/>
      <c r="E218" s="26"/>
      <c r="F218" s="21"/>
      <c r="G218" s="24"/>
    </row>
    <row r="219" customFormat="false" ht="15" hidden="false" customHeight="false" outlineLevel="0" collapsed="false">
      <c r="A219" s="25"/>
      <c r="B219" s="20"/>
      <c r="C219" s="21"/>
      <c r="D219" s="21"/>
      <c r="E219" s="26"/>
      <c r="F219" s="21"/>
      <c r="G219" s="24"/>
    </row>
    <row r="220" customFormat="false" ht="15" hidden="false" customHeight="false" outlineLevel="0" collapsed="false">
      <c r="A220" s="25"/>
      <c r="B220" s="20"/>
      <c r="C220" s="21"/>
      <c r="D220" s="21"/>
      <c r="E220" s="26"/>
      <c r="F220" s="21"/>
      <c r="G220" s="24"/>
    </row>
    <row r="221" customFormat="false" ht="15" hidden="false" customHeight="false" outlineLevel="0" collapsed="false">
      <c r="A221" s="25"/>
      <c r="B221" s="20"/>
      <c r="C221" s="21"/>
      <c r="D221" s="21"/>
      <c r="E221" s="26"/>
      <c r="F221" s="21"/>
      <c r="G221" s="24"/>
    </row>
    <row r="222" customFormat="false" ht="15" hidden="false" customHeight="false" outlineLevel="0" collapsed="false">
      <c r="A222" s="25"/>
      <c r="B222" s="20"/>
      <c r="C222" s="21"/>
      <c r="D222" s="21"/>
      <c r="E222" s="26"/>
      <c r="F222" s="21"/>
      <c r="G222" s="24"/>
    </row>
    <row r="223" customFormat="false" ht="15" hidden="false" customHeight="false" outlineLevel="0" collapsed="false">
      <c r="A223" s="25"/>
      <c r="B223" s="20"/>
      <c r="C223" s="21"/>
      <c r="D223" s="21"/>
      <c r="E223" s="26"/>
      <c r="F223" s="21"/>
      <c r="G223" s="24"/>
    </row>
    <row r="224" customFormat="false" ht="15" hidden="false" customHeight="false" outlineLevel="0" collapsed="false">
      <c r="A224" s="25"/>
      <c r="B224" s="20"/>
      <c r="C224" s="21"/>
      <c r="D224" s="21"/>
      <c r="E224" s="26"/>
      <c r="F224" s="21"/>
      <c r="G224" s="24"/>
    </row>
    <row r="225" customFormat="false" ht="15" hidden="false" customHeight="false" outlineLevel="0" collapsed="false">
      <c r="A225" s="25"/>
      <c r="B225" s="20"/>
      <c r="C225" s="21"/>
      <c r="D225" s="21"/>
      <c r="E225" s="26"/>
      <c r="F225" s="21"/>
      <c r="G225" s="24"/>
    </row>
    <row r="226" customFormat="false" ht="15" hidden="false" customHeight="false" outlineLevel="0" collapsed="false">
      <c r="A226" s="25"/>
      <c r="B226" s="20"/>
      <c r="C226" s="21"/>
      <c r="D226" s="21"/>
      <c r="E226" s="26"/>
      <c r="F226" s="21"/>
      <c r="G226" s="24"/>
    </row>
    <row r="227" customFormat="false" ht="15" hidden="false" customHeight="false" outlineLevel="0" collapsed="false">
      <c r="A227" s="25"/>
      <c r="B227" s="20"/>
      <c r="C227" s="21"/>
      <c r="D227" s="21"/>
      <c r="E227" s="26"/>
      <c r="F227" s="21"/>
      <c r="G227" s="24"/>
    </row>
    <row r="228" customFormat="false" ht="15" hidden="false" customHeight="false" outlineLevel="0" collapsed="false">
      <c r="A228" s="25"/>
      <c r="B228" s="20"/>
      <c r="C228" s="21"/>
      <c r="D228" s="21"/>
      <c r="E228" s="26"/>
      <c r="F228" s="21"/>
      <c r="G228" s="24"/>
    </row>
    <row r="229" customFormat="false" ht="15" hidden="false" customHeight="false" outlineLevel="0" collapsed="false">
      <c r="A229" s="25"/>
      <c r="B229" s="20"/>
      <c r="C229" s="21"/>
      <c r="D229" s="21"/>
      <c r="E229" s="26"/>
      <c r="F229" s="21"/>
      <c r="G229" s="24"/>
    </row>
    <row r="230" customFormat="false" ht="15" hidden="false" customHeight="false" outlineLevel="0" collapsed="false">
      <c r="A230" s="25"/>
      <c r="B230" s="20"/>
      <c r="C230" s="21"/>
      <c r="D230" s="21"/>
      <c r="E230" s="26"/>
      <c r="F230" s="21"/>
      <c r="G230" s="24"/>
    </row>
    <row r="231" customFormat="false" ht="15" hidden="false" customHeight="false" outlineLevel="0" collapsed="false">
      <c r="A231" s="25"/>
      <c r="B231" s="20"/>
      <c r="C231" s="21"/>
      <c r="D231" s="21"/>
      <c r="E231" s="26"/>
      <c r="F231" s="21"/>
      <c r="G231" s="24"/>
    </row>
    <row r="232" customFormat="false" ht="15" hidden="false" customHeight="false" outlineLevel="0" collapsed="false">
      <c r="A232" s="25"/>
      <c r="B232" s="20"/>
      <c r="C232" s="21"/>
      <c r="D232" s="21"/>
      <c r="E232" s="26"/>
      <c r="F232" s="21"/>
      <c r="G232" s="24"/>
    </row>
    <row r="233" customFormat="false" ht="15" hidden="false" customHeight="false" outlineLevel="0" collapsed="false">
      <c r="A233" s="25"/>
      <c r="B233" s="20"/>
      <c r="C233" s="21"/>
      <c r="D233" s="21"/>
      <c r="E233" s="26"/>
      <c r="F233" s="21"/>
      <c r="G233" s="24"/>
    </row>
    <row r="234" customFormat="false" ht="15" hidden="false" customHeight="false" outlineLevel="0" collapsed="false">
      <c r="A234" s="25"/>
      <c r="B234" s="20"/>
      <c r="C234" s="21"/>
      <c r="D234" s="21"/>
      <c r="E234" s="26"/>
      <c r="F234" s="21"/>
      <c r="G234" s="24"/>
    </row>
    <row r="235" customFormat="false" ht="15" hidden="false" customHeight="false" outlineLevel="0" collapsed="false">
      <c r="A235" s="25"/>
      <c r="B235" s="20"/>
      <c r="C235" s="21"/>
      <c r="D235" s="21"/>
      <c r="E235" s="26"/>
      <c r="F235" s="21"/>
      <c r="G235" s="24"/>
    </row>
    <row r="236" customFormat="false" ht="15" hidden="false" customHeight="false" outlineLevel="0" collapsed="false">
      <c r="A236" s="25"/>
      <c r="B236" s="20"/>
      <c r="C236" s="21"/>
      <c r="D236" s="21"/>
      <c r="E236" s="26"/>
      <c r="F236" s="21"/>
      <c r="G236" s="24"/>
    </row>
    <row r="237" customFormat="false" ht="15" hidden="false" customHeight="false" outlineLevel="0" collapsed="false">
      <c r="A237" s="25"/>
      <c r="B237" s="20"/>
      <c r="C237" s="21"/>
      <c r="D237" s="21"/>
      <c r="E237" s="26"/>
      <c r="F237" s="21"/>
      <c r="G237" s="24"/>
    </row>
    <row r="238" customFormat="false" ht="15" hidden="false" customHeight="false" outlineLevel="0" collapsed="false">
      <c r="A238" s="25"/>
      <c r="B238" s="20"/>
      <c r="C238" s="21"/>
      <c r="D238" s="21"/>
      <c r="E238" s="26"/>
      <c r="F238" s="21"/>
      <c r="G238" s="24"/>
    </row>
    <row r="239" customFormat="false" ht="15" hidden="false" customHeight="false" outlineLevel="0" collapsed="false">
      <c r="A239" s="25"/>
      <c r="B239" s="20"/>
      <c r="C239" s="21"/>
      <c r="D239" s="21"/>
      <c r="E239" s="26"/>
      <c r="F239" s="21"/>
      <c r="G239" s="24"/>
    </row>
    <row r="240" customFormat="false" ht="15" hidden="false" customHeight="false" outlineLevel="0" collapsed="false">
      <c r="A240" s="25"/>
      <c r="B240" s="20"/>
      <c r="C240" s="21"/>
      <c r="D240" s="21"/>
      <c r="E240" s="26"/>
      <c r="F240" s="21"/>
      <c r="G240" s="24"/>
    </row>
    <row r="241" customFormat="false" ht="15" hidden="false" customHeight="false" outlineLevel="0" collapsed="false">
      <c r="A241" s="25"/>
      <c r="B241" s="20"/>
      <c r="C241" s="21"/>
      <c r="D241" s="21"/>
      <c r="E241" s="26"/>
      <c r="F241" s="21"/>
      <c r="G241" s="24"/>
    </row>
    <row r="242" customFormat="false" ht="15" hidden="false" customHeight="false" outlineLevel="0" collapsed="false">
      <c r="A242" s="25"/>
      <c r="B242" s="20"/>
      <c r="C242" s="21"/>
      <c r="D242" s="21"/>
      <c r="E242" s="26"/>
      <c r="F242" s="21"/>
      <c r="G242" s="24"/>
    </row>
    <row r="243" customFormat="false" ht="15" hidden="false" customHeight="false" outlineLevel="0" collapsed="false">
      <c r="A243" s="25"/>
      <c r="B243" s="20"/>
      <c r="C243" s="21"/>
      <c r="D243" s="21"/>
      <c r="E243" s="26"/>
      <c r="F243" s="21"/>
      <c r="G243" s="24"/>
    </row>
    <row r="244" customFormat="false" ht="15" hidden="false" customHeight="false" outlineLevel="0" collapsed="false">
      <c r="A244" s="25"/>
      <c r="B244" s="20"/>
      <c r="C244" s="21"/>
      <c r="D244" s="21"/>
      <c r="E244" s="26"/>
      <c r="F244" s="21"/>
      <c r="G244" s="24"/>
    </row>
    <row r="245" customFormat="false" ht="15" hidden="false" customHeight="false" outlineLevel="0" collapsed="false">
      <c r="A245" s="25"/>
      <c r="B245" s="20"/>
      <c r="C245" s="21"/>
      <c r="D245" s="21"/>
      <c r="E245" s="26"/>
      <c r="F245" s="21"/>
      <c r="G245" s="24"/>
    </row>
    <row r="246" customFormat="false" ht="15" hidden="false" customHeight="false" outlineLevel="0" collapsed="false">
      <c r="A246" s="25"/>
      <c r="B246" s="20"/>
      <c r="C246" s="21"/>
      <c r="D246" s="21"/>
      <c r="E246" s="26"/>
      <c r="F246" s="21"/>
      <c r="G246" s="24"/>
    </row>
    <row r="247" customFormat="false" ht="15" hidden="false" customHeight="false" outlineLevel="0" collapsed="false">
      <c r="A247" s="25"/>
      <c r="B247" s="20"/>
      <c r="C247" s="21"/>
      <c r="D247" s="21"/>
      <c r="E247" s="26"/>
      <c r="F247" s="21"/>
      <c r="G247" s="24"/>
    </row>
    <row r="248" customFormat="false" ht="15" hidden="false" customHeight="false" outlineLevel="0" collapsed="false">
      <c r="A248" s="25"/>
      <c r="B248" s="20"/>
      <c r="C248" s="21"/>
      <c r="D248" s="21"/>
      <c r="E248" s="26"/>
      <c r="F248" s="21"/>
      <c r="G248" s="24"/>
    </row>
    <row r="249" customFormat="false" ht="15" hidden="false" customHeight="false" outlineLevel="0" collapsed="false">
      <c r="A249" s="25"/>
      <c r="B249" s="20"/>
      <c r="C249" s="21"/>
      <c r="D249" s="21"/>
      <c r="E249" s="26"/>
      <c r="F249" s="21"/>
      <c r="G249" s="24"/>
    </row>
    <row r="250" customFormat="false" ht="15" hidden="false" customHeight="false" outlineLevel="0" collapsed="false">
      <c r="A250" s="25"/>
      <c r="B250" s="20"/>
      <c r="C250" s="21"/>
      <c r="D250" s="21"/>
      <c r="E250" s="26"/>
      <c r="F250" s="21"/>
      <c r="G250" s="24"/>
    </row>
    <row r="251" customFormat="false" ht="15" hidden="false" customHeight="false" outlineLevel="0" collapsed="false">
      <c r="A251" s="25"/>
      <c r="B251" s="20"/>
      <c r="C251" s="21"/>
      <c r="D251" s="21"/>
      <c r="E251" s="26"/>
      <c r="F251" s="21"/>
      <c r="G251" s="24"/>
    </row>
    <row r="252" customFormat="false" ht="15" hidden="false" customHeight="false" outlineLevel="0" collapsed="false">
      <c r="A252" s="25"/>
      <c r="B252" s="20"/>
      <c r="C252" s="21"/>
      <c r="D252" s="21"/>
      <c r="E252" s="26"/>
      <c r="F252" s="21"/>
      <c r="G252" s="24"/>
    </row>
    <row r="253" customFormat="false" ht="15" hidden="false" customHeight="false" outlineLevel="0" collapsed="false">
      <c r="A253" s="25"/>
      <c r="B253" s="20"/>
      <c r="C253" s="21"/>
      <c r="D253" s="21"/>
      <c r="E253" s="26"/>
      <c r="F253" s="21"/>
      <c r="G253" s="24"/>
    </row>
    <row r="254" customFormat="false" ht="15" hidden="false" customHeight="false" outlineLevel="0" collapsed="false">
      <c r="A254" s="25"/>
      <c r="B254" s="20"/>
      <c r="C254" s="21"/>
      <c r="D254" s="21"/>
      <c r="E254" s="26"/>
      <c r="F254" s="21"/>
      <c r="G254" s="24"/>
    </row>
    <row r="255" customFormat="false" ht="15" hidden="false" customHeight="false" outlineLevel="0" collapsed="false">
      <c r="A255" s="25"/>
      <c r="B255" s="20"/>
      <c r="C255" s="21"/>
      <c r="D255" s="21"/>
      <c r="E255" s="26"/>
      <c r="F255" s="21"/>
      <c r="G255" s="24"/>
    </row>
    <row r="256" customFormat="false" ht="15" hidden="false" customHeight="false" outlineLevel="0" collapsed="false">
      <c r="A256" s="25"/>
      <c r="B256" s="20"/>
      <c r="C256" s="21"/>
      <c r="D256" s="21"/>
      <c r="E256" s="26"/>
      <c r="F256" s="21"/>
      <c r="G256" s="24"/>
    </row>
    <row r="257" customFormat="false" ht="15" hidden="false" customHeight="false" outlineLevel="0" collapsed="false">
      <c r="A257" s="25"/>
      <c r="B257" s="20"/>
      <c r="C257" s="21"/>
      <c r="D257" s="21"/>
      <c r="E257" s="26"/>
      <c r="F257" s="21"/>
      <c r="G257" s="24"/>
    </row>
    <row r="258" customFormat="false" ht="15" hidden="false" customHeight="false" outlineLevel="0" collapsed="false">
      <c r="A258" s="25"/>
      <c r="B258" s="20"/>
      <c r="C258" s="21"/>
      <c r="D258" s="21"/>
      <c r="E258" s="26"/>
      <c r="F258" s="21"/>
      <c r="G258" s="24"/>
    </row>
    <row r="259" customFormat="false" ht="15" hidden="false" customHeight="false" outlineLevel="0" collapsed="false">
      <c r="A259" s="25"/>
      <c r="B259" s="20"/>
      <c r="C259" s="21"/>
      <c r="D259" s="21"/>
      <c r="E259" s="26"/>
      <c r="F259" s="21"/>
      <c r="G259" s="24"/>
    </row>
    <row r="260" customFormat="false" ht="15" hidden="false" customHeight="false" outlineLevel="0" collapsed="false">
      <c r="A260" s="25"/>
      <c r="B260" s="20"/>
      <c r="C260" s="21"/>
      <c r="D260" s="21"/>
      <c r="E260" s="26"/>
      <c r="F260" s="21"/>
      <c r="G260" s="24"/>
    </row>
    <row r="261" customFormat="false" ht="15" hidden="false" customHeight="false" outlineLevel="0" collapsed="false">
      <c r="A261" s="25"/>
      <c r="B261" s="20"/>
      <c r="C261" s="21"/>
      <c r="D261" s="21"/>
      <c r="E261" s="26"/>
      <c r="F261" s="21"/>
      <c r="G261" s="24"/>
    </row>
    <row r="262" customFormat="false" ht="15" hidden="false" customHeight="false" outlineLevel="0" collapsed="false">
      <c r="A262" s="25"/>
      <c r="B262" s="20"/>
      <c r="C262" s="21"/>
      <c r="D262" s="21"/>
      <c r="E262" s="26"/>
      <c r="F262" s="21"/>
      <c r="G262" s="24"/>
    </row>
    <row r="263" customFormat="false" ht="15" hidden="false" customHeight="false" outlineLevel="0" collapsed="false">
      <c r="A263" s="25"/>
      <c r="B263" s="20"/>
      <c r="C263" s="21"/>
      <c r="D263" s="21"/>
      <c r="E263" s="26"/>
      <c r="F263" s="21"/>
      <c r="G263" s="24"/>
    </row>
    <row r="264" customFormat="false" ht="15" hidden="false" customHeight="false" outlineLevel="0" collapsed="false">
      <c r="A264" s="25"/>
      <c r="B264" s="20"/>
      <c r="C264" s="21"/>
      <c r="D264" s="21"/>
      <c r="E264" s="26"/>
      <c r="F264" s="21"/>
      <c r="G264" s="24"/>
    </row>
    <row r="265" customFormat="false" ht="15" hidden="false" customHeight="false" outlineLevel="0" collapsed="false">
      <c r="A265" s="25"/>
      <c r="B265" s="20"/>
      <c r="C265" s="21"/>
      <c r="D265" s="21"/>
      <c r="E265" s="26"/>
      <c r="F265" s="21"/>
      <c r="G265" s="24"/>
    </row>
    <row r="266" customFormat="false" ht="15" hidden="false" customHeight="false" outlineLevel="0" collapsed="false">
      <c r="A266" s="25"/>
      <c r="B266" s="20"/>
      <c r="C266" s="21"/>
      <c r="D266" s="21"/>
      <c r="E266" s="26"/>
      <c r="F266" s="21"/>
      <c r="G266" s="24"/>
    </row>
    <row r="267" customFormat="false" ht="15" hidden="false" customHeight="false" outlineLevel="0" collapsed="false">
      <c r="A267" s="25"/>
      <c r="B267" s="20"/>
      <c r="C267" s="21"/>
      <c r="D267" s="21"/>
      <c r="E267" s="26"/>
      <c r="F267" s="21"/>
      <c r="G267" s="24"/>
    </row>
    <row r="268" customFormat="false" ht="15" hidden="false" customHeight="false" outlineLevel="0" collapsed="false">
      <c r="A268" s="25"/>
      <c r="B268" s="20"/>
      <c r="C268" s="21"/>
      <c r="D268" s="21"/>
      <c r="E268" s="26"/>
      <c r="F268" s="21"/>
      <c r="G268" s="24"/>
    </row>
    <row r="269" customFormat="false" ht="15" hidden="false" customHeight="false" outlineLevel="0" collapsed="false">
      <c r="A269" s="25"/>
      <c r="B269" s="20"/>
      <c r="C269" s="21"/>
      <c r="D269" s="21"/>
      <c r="E269" s="26"/>
      <c r="F269" s="21"/>
      <c r="G269" s="24"/>
    </row>
    <row r="270" customFormat="false" ht="15" hidden="false" customHeight="false" outlineLevel="0" collapsed="false">
      <c r="A270" s="25"/>
      <c r="B270" s="20"/>
      <c r="C270" s="21"/>
      <c r="D270" s="21"/>
      <c r="E270" s="26"/>
      <c r="F270" s="21"/>
      <c r="G270" s="24"/>
    </row>
    <row r="271" customFormat="false" ht="15" hidden="false" customHeight="false" outlineLevel="0" collapsed="false">
      <c r="A271" s="25"/>
      <c r="B271" s="20"/>
      <c r="C271" s="21"/>
      <c r="D271" s="21"/>
      <c r="E271" s="26"/>
      <c r="F271" s="21"/>
      <c r="G271" s="24"/>
    </row>
    <row r="272" customFormat="false" ht="15" hidden="false" customHeight="false" outlineLevel="0" collapsed="false">
      <c r="A272" s="25"/>
      <c r="B272" s="20"/>
      <c r="C272" s="21"/>
      <c r="D272" s="21"/>
      <c r="E272" s="26"/>
      <c r="F272" s="21"/>
      <c r="G272" s="24"/>
    </row>
    <row r="273" customFormat="false" ht="15" hidden="false" customHeight="false" outlineLevel="0" collapsed="false">
      <c r="A273" s="25"/>
      <c r="B273" s="20"/>
      <c r="C273" s="21"/>
      <c r="D273" s="21"/>
      <c r="E273" s="26"/>
      <c r="F273" s="21"/>
      <c r="G273" s="24"/>
    </row>
    <row r="274" customFormat="false" ht="15" hidden="false" customHeight="false" outlineLevel="0" collapsed="false">
      <c r="A274" s="25"/>
      <c r="B274" s="20"/>
      <c r="C274" s="21"/>
      <c r="D274" s="21"/>
      <c r="E274" s="26"/>
      <c r="F274" s="21"/>
      <c r="G274" s="24"/>
    </row>
    <row r="275" customFormat="false" ht="15" hidden="false" customHeight="false" outlineLevel="0" collapsed="false">
      <c r="A275" s="25"/>
      <c r="B275" s="20"/>
      <c r="C275" s="21"/>
      <c r="D275" s="21"/>
      <c r="E275" s="26"/>
      <c r="F275" s="21"/>
      <c r="G275" s="24"/>
    </row>
    <row r="276" customFormat="false" ht="15" hidden="false" customHeight="false" outlineLevel="0" collapsed="false">
      <c r="A276" s="25"/>
      <c r="B276" s="20"/>
      <c r="C276" s="21"/>
      <c r="D276" s="21"/>
      <c r="E276" s="26"/>
      <c r="F276" s="21"/>
      <c r="G276" s="24"/>
    </row>
    <row r="277" customFormat="false" ht="15" hidden="false" customHeight="false" outlineLevel="0" collapsed="false">
      <c r="A277" s="25"/>
      <c r="B277" s="20"/>
      <c r="C277" s="21"/>
      <c r="D277" s="21"/>
      <c r="E277" s="26"/>
      <c r="F277" s="21"/>
      <c r="G277" s="24"/>
    </row>
    <row r="278" customFormat="false" ht="15" hidden="false" customHeight="false" outlineLevel="0" collapsed="false">
      <c r="A278" s="25"/>
      <c r="B278" s="20"/>
      <c r="C278" s="21"/>
      <c r="D278" s="21"/>
      <c r="E278" s="26"/>
      <c r="F278" s="21"/>
      <c r="G278" s="24"/>
    </row>
    <row r="279" customFormat="false" ht="15" hidden="false" customHeight="false" outlineLevel="0" collapsed="false">
      <c r="A279" s="25"/>
      <c r="B279" s="20"/>
      <c r="C279" s="21"/>
      <c r="D279" s="21"/>
      <c r="E279" s="26"/>
      <c r="F279" s="21"/>
      <c r="G279" s="24"/>
    </row>
    <row r="280" customFormat="false" ht="15" hidden="false" customHeight="false" outlineLevel="0" collapsed="false">
      <c r="A280" s="25"/>
      <c r="B280" s="20"/>
      <c r="C280" s="21"/>
      <c r="D280" s="21"/>
      <c r="E280" s="26"/>
      <c r="F280" s="21"/>
      <c r="G280" s="24"/>
    </row>
    <row r="281" customFormat="false" ht="15" hidden="false" customHeight="false" outlineLevel="0" collapsed="false">
      <c r="A281" s="25"/>
      <c r="B281" s="20"/>
      <c r="C281" s="21"/>
      <c r="D281" s="21"/>
      <c r="E281" s="26"/>
      <c r="F281" s="21"/>
      <c r="G281" s="24"/>
    </row>
    <row r="282" customFormat="false" ht="15" hidden="false" customHeight="false" outlineLevel="0" collapsed="false">
      <c r="A282" s="25"/>
      <c r="B282" s="20"/>
      <c r="C282" s="21"/>
      <c r="D282" s="21"/>
      <c r="E282" s="26"/>
      <c r="F282" s="21"/>
      <c r="G282" s="24"/>
    </row>
    <row r="283" customFormat="false" ht="15" hidden="false" customHeight="false" outlineLevel="0" collapsed="false">
      <c r="A283" s="25"/>
      <c r="B283" s="20"/>
      <c r="C283" s="21"/>
      <c r="D283" s="21"/>
      <c r="E283" s="26"/>
      <c r="F283" s="21"/>
      <c r="G283" s="24"/>
    </row>
    <row r="284" customFormat="false" ht="15" hidden="false" customHeight="false" outlineLevel="0" collapsed="false">
      <c r="A284" s="25"/>
      <c r="B284" s="20"/>
      <c r="C284" s="21"/>
      <c r="D284" s="21"/>
      <c r="E284" s="26"/>
      <c r="F284" s="21"/>
      <c r="G284" s="24"/>
    </row>
    <row r="285" customFormat="false" ht="15" hidden="false" customHeight="false" outlineLevel="0" collapsed="false">
      <c r="A285" s="25"/>
      <c r="B285" s="20"/>
      <c r="C285" s="21"/>
      <c r="D285" s="21"/>
      <c r="E285" s="26"/>
      <c r="F285" s="21"/>
      <c r="G285" s="24"/>
    </row>
    <row r="286" customFormat="false" ht="15" hidden="false" customHeight="false" outlineLevel="0" collapsed="false">
      <c r="A286" s="25"/>
      <c r="B286" s="20"/>
      <c r="C286" s="21"/>
      <c r="D286" s="21"/>
      <c r="E286" s="26"/>
      <c r="F286" s="21"/>
      <c r="G286" s="24"/>
    </row>
    <row r="287" customFormat="false" ht="15" hidden="false" customHeight="false" outlineLevel="0" collapsed="false">
      <c r="A287" s="25"/>
      <c r="B287" s="20"/>
      <c r="C287" s="21"/>
      <c r="D287" s="21"/>
      <c r="E287" s="26"/>
      <c r="F287" s="21"/>
      <c r="G287" s="24"/>
    </row>
    <row r="288" customFormat="false" ht="15" hidden="false" customHeight="false" outlineLevel="0" collapsed="false">
      <c r="A288" s="25"/>
      <c r="B288" s="20"/>
      <c r="C288" s="21"/>
      <c r="D288" s="21"/>
      <c r="E288" s="26"/>
      <c r="F288" s="21"/>
      <c r="G288" s="24"/>
    </row>
    <row r="289" customFormat="false" ht="15" hidden="false" customHeight="false" outlineLevel="0" collapsed="false">
      <c r="A289" s="25"/>
      <c r="B289" s="20"/>
      <c r="C289" s="21"/>
      <c r="D289" s="21"/>
      <c r="E289" s="26"/>
      <c r="F289" s="21"/>
      <c r="G289" s="24"/>
    </row>
    <row r="290" customFormat="false" ht="15" hidden="false" customHeight="false" outlineLevel="0" collapsed="false">
      <c r="A290" s="25"/>
      <c r="B290" s="20"/>
      <c r="C290" s="21"/>
      <c r="D290" s="21"/>
      <c r="E290" s="26"/>
      <c r="F290" s="21"/>
      <c r="G290" s="24"/>
    </row>
    <row r="291" customFormat="false" ht="15" hidden="false" customHeight="false" outlineLevel="0" collapsed="false">
      <c r="A291" s="25"/>
      <c r="B291" s="20"/>
      <c r="C291" s="21"/>
      <c r="D291" s="21"/>
      <c r="E291" s="26"/>
      <c r="F291" s="21"/>
      <c r="G291" s="24"/>
    </row>
    <row r="292" customFormat="false" ht="15" hidden="false" customHeight="false" outlineLevel="0" collapsed="false">
      <c r="A292" s="25"/>
      <c r="B292" s="20"/>
      <c r="C292" s="21"/>
      <c r="D292" s="21"/>
      <c r="E292" s="26"/>
      <c r="F292" s="21"/>
      <c r="G292" s="24"/>
    </row>
    <row r="293" customFormat="false" ht="15" hidden="false" customHeight="false" outlineLevel="0" collapsed="false">
      <c r="A293" s="25"/>
      <c r="B293" s="20"/>
      <c r="C293" s="21"/>
      <c r="D293" s="21"/>
      <c r="E293" s="26"/>
      <c r="F293" s="21"/>
      <c r="G293" s="24"/>
    </row>
    <row r="294" customFormat="false" ht="15" hidden="false" customHeight="false" outlineLevel="0" collapsed="false">
      <c r="A294" s="25"/>
      <c r="B294" s="20"/>
      <c r="C294" s="21"/>
      <c r="D294" s="21"/>
      <c r="E294" s="26"/>
      <c r="F294" s="21"/>
      <c r="G294" s="24"/>
    </row>
    <row r="295" customFormat="false" ht="15" hidden="false" customHeight="false" outlineLevel="0" collapsed="false">
      <c r="A295" s="25"/>
      <c r="B295" s="20"/>
      <c r="C295" s="21"/>
      <c r="D295" s="21"/>
      <c r="E295" s="26"/>
      <c r="F295" s="21"/>
      <c r="G295" s="24"/>
    </row>
    <row r="296" customFormat="false" ht="15" hidden="false" customHeight="false" outlineLevel="0" collapsed="false">
      <c r="A296" s="25"/>
      <c r="B296" s="20"/>
      <c r="C296" s="21"/>
      <c r="D296" s="21"/>
      <c r="E296" s="26"/>
      <c r="F296" s="21"/>
      <c r="G296" s="24"/>
    </row>
    <row r="297" customFormat="false" ht="15" hidden="false" customHeight="false" outlineLevel="0" collapsed="false">
      <c r="A297" s="25"/>
      <c r="B297" s="20"/>
      <c r="C297" s="21"/>
      <c r="D297" s="21"/>
      <c r="E297" s="26"/>
      <c r="F297" s="21"/>
      <c r="G297" s="24"/>
    </row>
    <row r="298" customFormat="false" ht="15" hidden="false" customHeight="false" outlineLevel="0" collapsed="false">
      <c r="A298" s="25"/>
      <c r="B298" s="20"/>
      <c r="C298" s="21"/>
      <c r="D298" s="21"/>
      <c r="E298" s="26"/>
      <c r="F298" s="21"/>
      <c r="G298" s="24"/>
    </row>
    <row r="299" customFormat="false" ht="15" hidden="false" customHeight="false" outlineLevel="0" collapsed="false">
      <c r="A299" s="25"/>
      <c r="B299" s="20"/>
      <c r="C299" s="21"/>
      <c r="D299" s="21"/>
      <c r="E299" s="26"/>
      <c r="F299" s="21"/>
      <c r="G299" s="24"/>
    </row>
    <row r="300" customFormat="false" ht="15" hidden="false" customHeight="false" outlineLevel="0" collapsed="false">
      <c r="A300" s="25"/>
      <c r="B300" s="20"/>
      <c r="C300" s="21"/>
      <c r="D300" s="21"/>
      <c r="E300" s="26"/>
      <c r="F300" s="21"/>
      <c r="G300" s="24"/>
    </row>
    <row r="301" customFormat="false" ht="15" hidden="false" customHeight="false" outlineLevel="0" collapsed="false">
      <c r="A301" s="25"/>
      <c r="B301" s="20"/>
      <c r="C301" s="21"/>
      <c r="D301" s="21"/>
      <c r="E301" s="26"/>
      <c r="F301" s="21"/>
      <c r="G301" s="24"/>
    </row>
    <row r="302" customFormat="false" ht="15" hidden="false" customHeight="false" outlineLevel="0" collapsed="false">
      <c r="A302" s="25"/>
      <c r="B302" s="20"/>
      <c r="C302" s="21"/>
      <c r="D302" s="21"/>
      <c r="E302" s="26"/>
      <c r="F302" s="21"/>
      <c r="G302" s="24"/>
    </row>
    <row r="303" customFormat="false" ht="15" hidden="false" customHeight="false" outlineLevel="0" collapsed="false">
      <c r="A303" s="25"/>
      <c r="B303" s="20"/>
      <c r="C303" s="21"/>
      <c r="D303" s="21"/>
      <c r="E303" s="26"/>
      <c r="F303" s="21"/>
      <c r="G303" s="24"/>
    </row>
    <row r="304" customFormat="false" ht="15" hidden="false" customHeight="false" outlineLevel="0" collapsed="false">
      <c r="A304" s="25"/>
      <c r="B304" s="20"/>
      <c r="C304" s="21"/>
      <c r="D304" s="21"/>
      <c r="E304" s="26"/>
      <c r="F304" s="21"/>
      <c r="G304" s="24"/>
    </row>
    <row r="305" customFormat="false" ht="15" hidden="false" customHeight="false" outlineLevel="0" collapsed="false">
      <c r="A305" s="25"/>
      <c r="B305" s="20"/>
      <c r="C305" s="21"/>
      <c r="D305" s="21"/>
      <c r="E305" s="26"/>
      <c r="F305" s="21"/>
      <c r="G305" s="24"/>
    </row>
    <row r="306" customFormat="false" ht="15" hidden="false" customHeight="false" outlineLevel="0" collapsed="false">
      <c r="A306" s="25"/>
      <c r="B306" s="20"/>
      <c r="C306" s="21"/>
      <c r="D306" s="21"/>
      <c r="E306" s="26"/>
      <c r="F306" s="21"/>
      <c r="G306" s="24"/>
    </row>
    <row r="307" customFormat="false" ht="15" hidden="false" customHeight="false" outlineLevel="0" collapsed="false">
      <c r="A307" s="25"/>
      <c r="B307" s="20"/>
      <c r="C307" s="21"/>
      <c r="D307" s="21"/>
      <c r="E307" s="26"/>
      <c r="F307" s="21"/>
      <c r="G307" s="24"/>
    </row>
    <row r="308" customFormat="false" ht="15" hidden="false" customHeight="false" outlineLevel="0" collapsed="false">
      <c r="A308" s="25"/>
      <c r="B308" s="20"/>
      <c r="C308" s="21"/>
      <c r="D308" s="21"/>
      <c r="E308" s="26"/>
      <c r="F308" s="21"/>
      <c r="G308" s="24"/>
    </row>
    <row r="309" customFormat="false" ht="15" hidden="false" customHeight="false" outlineLevel="0" collapsed="false">
      <c r="A309" s="25"/>
      <c r="B309" s="20"/>
      <c r="C309" s="21"/>
      <c r="D309" s="21"/>
      <c r="E309" s="26"/>
      <c r="F309" s="21"/>
      <c r="G309" s="24"/>
    </row>
    <row r="310" customFormat="false" ht="15" hidden="false" customHeight="false" outlineLevel="0" collapsed="false">
      <c r="A310" s="25"/>
      <c r="B310" s="20"/>
      <c r="C310" s="21"/>
      <c r="D310" s="21"/>
      <c r="E310" s="26"/>
      <c r="F310" s="21"/>
      <c r="G310" s="24"/>
    </row>
    <row r="311" customFormat="false" ht="15" hidden="false" customHeight="false" outlineLevel="0" collapsed="false">
      <c r="A311" s="25"/>
      <c r="B311" s="20"/>
      <c r="C311" s="21"/>
      <c r="D311" s="21"/>
      <c r="E311" s="26"/>
      <c r="F311" s="21"/>
      <c r="G311" s="24"/>
    </row>
    <row r="312" customFormat="false" ht="15" hidden="false" customHeight="false" outlineLevel="0" collapsed="false">
      <c r="A312" s="25"/>
      <c r="B312" s="20"/>
      <c r="C312" s="21"/>
      <c r="D312" s="21"/>
      <c r="E312" s="26"/>
      <c r="F312" s="21"/>
      <c r="G312" s="24"/>
    </row>
    <row r="313" customFormat="false" ht="15" hidden="false" customHeight="false" outlineLevel="0" collapsed="false">
      <c r="A313" s="25"/>
      <c r="B313" s="20"/>
      <c r="C313" s="21"/>
      <c r="D313" s="21"/>
      <c r="E313" s="26"/>
      <c r="F313" s="21"/>
      <c r="G313" s="24"/>
    </row>
    <row r="314" customFormat="false" ht="15" hidden="false" customHeight="false" outlineLevel="0" collapsed="false">
      <c r="A314" s="25"/>
      <c r="B314" s="20"/>
      <c r="C314" s="21"/>
      <c r="D314" s="21"/>
      <c r="E314" s="26"/>
      <c r="F314" s="21"/>
      <c r="G314" s="24"/>
    </row>
    <row r="315" customFormat="false" ht="15" hidden="false" customHeight="false" outlineLevel="0" collapsed="false">
      <c r="A315" s="25"/>
      <c r="B315" s="20"/>
      <c r="C315" s="21"/>
      <c r="D315" s="21"/>
      <c r="E315" s="26"/>
      <c r="F315" s="21"/>
      <c r="G315" s="24"/>
    </row>
    <row r="316" customFormat="false" ht="15" hidden="false" customHeight="false" outlineLevel="0" collapsed="false">
      <c r="A316" s="25"/>
      <c r="B316" s="20"/>
      <c r="C316" s="21"/>
      <c r="D316" s="21"/>
      <c r="E316" s="26"/>
      <c r="F316" s="21"/>
      <c r="G316" s="24"/>
    </row>
    <row r="317" customFormat="false" ht="15" hidden="false" customHeight="false" outlineLevel="0" collapsed="false">
      <c r="A317" s="25"/>
      <c r="B317" s="20"/>
      <c r="C317" s="21"/>
      <c r="D317" s="21"/>
      <c r="E317" s="26"/>
      <c r="F317" s="21"/>
      <c r="G317" s="24"/>
    </row>
    <row r="318" customFormat="false" ht="15" hidden="false" customHeight="false" outlineLevel="0" collapsed="false">
      <c r="A318" s="25"/>
      <c r="B318" s="20"/>
      <c r="C318" s="21"/>
      <c r="D318" s="21"/>
      <c r="E318" s="26"/>
      <c r="F318" s="21"/>
      <c r="G318" s="24"/>
    </row>
    <row r="319" customFormat="false" ht="15" hidden="false" customHeight="false" outlineLevel="0" collapsed="false">
      <c r="A319" s="25"/>
      <c r="B319" s="20"/>
      <c r="C319" s="21"/>
      <c r="D319" s="21"/>
      <c r="E319" s="26"/>
      <c r="F319" s="21"/>
      <c r="G319" s="24"/>
    </row>
    <row r="320" customFormat="false" ht="15" hidden="false" customHeight="false" outlineLevel="0" collapsed="false">
      <c r="A320" s="25"/>
      <c r="B320" s="20"/>
      <c r="C320" s="21"/>
      <c r="D320" s="21"/>
      <c r="E320" s="26"/>
      <c r="F320" s="21"/>
      <c r="G320" s="24"/>
    </row>
    <row r="321" customFormat="false" ht="15" hidden="false" customHeight="false" outlineLevel="0" collapsed="false">
      <c r="A321" s="25"/>
      <c r="B321" s="20"/>
      <c r="C321" s="21"/>
      <c r="D321" s="21"/>
      <c r="E321" s="26"/>
      <c r="F321" s="21"/>
      <c r="G321" s="24"/>
    </row>
    <row r="322" customFormat="false" ht="15" hidden="false" customHeight="false" outlineLevel="0" collapsed="false">
      <c r="A322" s="25"/>
      <c r="B322" s="20"/>
      <c r="C322" s="21"/>
      <c r="D322" s="21"/>
      <c r="E322" s="26"/>
      <c r="F322" s="21"/>
      <c r="G322" s="24"/>
    </row>
    <row r="323" customFormat="false" ht="15" hidden="false" customHeight="false" outlineLevel="0" collapsed="false">
      <c r="A323" s="25"/>
      <c r="B323" s="20"/>
      <c r="C323" s="21"/>
      <c r="D323" s="21"/>
      <c r="E323" s="26"/>
      <c r="F323" s="21"/>
      <c r="G323" s="24"/>
    </row>
    <row r="324" customFormat="false" ht="15" hidden="false" customHeight="false" outlineLevel="0" collapsed="false">
      <c r="A324" s="25"/>
      <c r="B324" s="20"/>
      <c r="C324" s="21"/>
      <c r="D324" s="21"/>
      <c r="E324" s="26"/>
      <c r="F324" s="21"/>
      <c r="G324" s="24"/>
    </row>
    <row r="325" customFormat="false" ht="15" hidden="false" customHeight="false" outlineLevel="0" collapsed="false">
      <c r="A325" s="25"/>
      <c r="B325" s="20"/>
      <c r="C325" s="21"/>
      <c r="D325" s="21"/>
      <c r="E325" s="26"/>
      <c r="F325" s="21"/>
      <c r="G325" s="24"/>
    </row>
    <row r="326" customFormat="false" ht="15" hidden="false" customHeight="false" outlineLevel="0" collapsed="false">
      <c r="A326" s="25"/>
      <c r="B326" s="20"/>
      <c r="C326" s="21"/>
      <c r="D326" s="21"/>
      <c r="E326" s="26"/>
      <c r="F326" s="21"/>
      <c r="G326" s="24"/>
    </row>
    <row r="327" customFormat="false" ht="15" hidden="false" customHeight="false" outlineLevel="0" collapsed="false">
      <c r="A327" s="25"/>
      <c r="B327" s="20"/>
      <c r="C327" s="21"/>
      <c r="D327" s="21"/>
      <c r="E327" s="26"/>
      <c r="F327" s="21"/>
      <c r="G327" s="24"/>
    </row>
    <row r="328" customFormat="false" ht="15" hidden="false" customHeight="false" outlineLevel="0" collapsed="false">
      <c r="A328" s="25"/>
      <c r="B328" s="20"/>
      <c r="C328" s="21"/>
      <c r="D328" s="21"/>
      <c r="E328" s="26"/>
      <c r="F328" s="21"/>
      <c r="G328" s="24"/>
    </row>
    <row r="329" customFormat="false" ht="15" hidden="false" customHeight="false" outlineLevel="0" collapsed="false">
      <c r="A329" s="25"/>
      <c r="B329" s="20"/>
      <c r="C329" s="21"/>
      <c r="D329" s="21"/>
      <c r="E329" s="26"/>
      <c r="F329" s="21"/>
      <c r="G329" s="24"/>
    </row>
    <row r="330" customFormat="false" ht="15" hidden="false" customHeight="false" outlineLevel="0" collapsed="false">
      <c r="A330" s="25"/>
      <c r="B330" s="20"/>
      <c r="C330" s="21"/>
      <c r="D330" s="21"/>
      <c r="E330" s="26"/>
      <c r="F330" s="21"/>
      <c r="G330" s="24"/>
    </row>
    <row r="331" customFormat="false" ht="15" hidden="false" customHeight="false" outlineLevel="0" collapsed="false">
      <c r="A331" s="25"/>
      <c r="B331" s="20"/>
      <c r="C331" s="21"/>
      <c r="D331" s="21"/>
      <c r="E331" s="26"/>
      <c r="F331" s="21"/>
      <c r="G331" s="24"/>
    </row>
    <row r="332" customFormat="false" ht="15" hidden="false" customHeight="false" outlineLevel="0" collapsed="false">
      <c r="A332" s="25"/>
      <c r="B332" s="20"/>
      <c r="C332" s="21"/>
      <c r="D332" s="21"/>
      <c r="E332" s="26"/>
      <c r="F332" s="21"/>
      <c r="G332" s="24"/>
    </row>
    <row r="333" customFormat="false" ht="15" hidden="false" customHeight="false" outlineLevel="0" collapsed="false">
      <c r="A333" s="25"/>
      <c r="B333" s="20"/>
      <c r="C333" s="21"/>
      <c r="D333" s="21"/>
      <c r="E333" s="26"/>
      <c r="F333" s="21"/>
      <c r="G333" s="24"/>
    </row>
    <row r="334" customFormat="false" ht="15" hidden="false" customHeight="false" outlineLevel="0" collapsed="false">
      <c r="A334" s="25"/>
      <c r="B334" s="20"/>
      <c r="C334" s="21"/>
      <c r="D334" s="21"/>
      <c r="E334" s="26"/>
      <c r="F334" s="21"/>
      <c r="G334" s="24"/>
    </row>
    <row r="335" customFormat="false" ht="15" hidden="false" customHeight="false" outlineLevel="0" collapsed="false">
      <c r="A335" s="25"/>
      <c r="B335" s="20"/>
      <c r="C335" s="21"/>
      <c r="D335" s="21"/>
      <c r="E335" s="26"/>
      <c r="F335" s="21"/>
      <c r="G335" s="24"/>
    </row>
    <row r="336" customFormat="false" ht="15" hidden="false" customHeight="false" outlineLevel="0" collapsed="false">
      <c r="A336" s="25"/>
      <c r="B336" s="20"/>
      <c r="C336" s="21"/>
      <c r="D336" s="21"/>
      <c r="E336" s="26"/>
      <c r="F336" s="21"/>
      <c r="G336" s="24"/>
    </row>
    <row r="337" customFormat="false" ht="15" hidden="false" customHeight="false" outlineLevel="0" collapsed="false">
      <c r="A337" s="25"/>
      <c r="B337" s="20"/>
      <c r="C337" s="21"/>
      <c r="D337" s="21"/>
      <c r="E337" s="26"/>
      <c r="F337" s="21"/>
      <c r="G337" s="24"/>
    </row>
    <row r="338" customFormat="false" ht="15" hidden="false" customHeight="false" outlineLevel="0" collapsed="false">
      <c r="A338" s="25"/>
      <c r="B338" s="20"/>
      <c r="C338" s="21"/>
      <c r="D338" s="21"/>
      <c r="E338" s="26"/>
      <c r="F338" s="21"/>
      <c r="G338" s="24"/>
    </row>
    <row r="339" customFormat="false" ht="15" hidden="false" customHeight="false" outlineLevel="0" collapsed="false">
      <c r="A339" s="25"/>
      <c r="B339" s="20"/>
      <c r="C339" s="21"/>
      <c r="D339" s="21"/>
      <c r="E339" s="26"/>
      <c r="F339" s="21"/>
      <c r="G339" s="24"/>
    </row>
    <row r="340" customFormat="false" ht="15" hidden="false" customHeight="false" outlineLevel="0" collapsed="false">
      <c r="A340" s="25"/>
      <c r="B340" s="20"/>
      <c r="C340" s="21"/>
      <c r="D340" s="21"/>
      <c r="E340" s="26"/>
      <c r="F340" s="21"/>
      <c r="G340" s="24"/>
    </row>
    <row r="341" customFormat="false" ht="15" hidden="false" customHeight="false" outlineLevel="0" collapsed="false">
      <c r="A341" s="25"/>
      <c r="B341" s="20"/>
      <c r="C341" s="21"/>
      <c r="D341" s="21"/>
      <c r="E341" s="26"/>
      <c r="F341" s="21"/>
      <c r="G341" s="24"/>
    </row>
    <row r="342" customFormat="false" ht="15" hidden="false" customHeight="false" outlineLevel="0" collapsed="false">
      <c r="A342" s="25"/>
      <c r="B342" s="20"/>
      <c r="C342" s="21"/>
      <c r="D342" s="21"/>
      <c r="E342" s="26"/>
      <c r="F342" s="21"/>
      <c r="G342" s="24"/>
    </row>
    <row r="343" customFormat="false" ht="15" hidden="false" customHeight="false" outlineLevel="0" collapsed="false">
      <c r="A343" s="25"/>
      <c r="B343" s="20"/>
      <c r="C343" s="21"/>
      <c r="D343" s="21"/>
      <c r="E343" s="26"/>
      <c r="F343" s="21"/>
      <c r="G343" s="24"/>
    </row>
    <row r="344" customFormat="false" ht="15" hidden="false" customHeight="false" outlineLevel="0" collapsed="false">
      <c r="A344" s="25"/>
      <c r="B344" s="20"/>
      <c r="C344" s="21"/>
      <c r="D344" s="21"/>
      <c r="E344" s="26"/>
      <c r="F344" s="21"/>
      <c r="G344" s="24"/>
    </row>
    <row r="345" customFormat="false" ht="15" hidden="false" customHeight="false" outlineLevel="0" collapsed="false">
      <c r="A345" s="25"/>
      <c r="B345" s="20"/>
      <c r="C345" s="21"/>
      <c r="D345" s="21"/>
      <c r="E345" s="26"/>
      <c r="F345" s="21"/>
      <c r="G345" s="24"/>
    </row>
    <row r="346" customFormat="false" ht="15" hidden="false" customHeight="false" outlineLevel="0" collapsed="false">
      <c r="A346" s="25"/>
      <c r="B346" s="20"/>
      <c r="C346" s="21"/>
      <c r="D346" s="21"/>
      <c r="E346" s="26"/>
      <c r="F346" s="21"/>
      <c r="G346" s="24"/>
    </row>
    <row r="347" customFormat="false" ht="15" hidden="false" customHeight="false" outlineLevel="0" collapsed="false">
      <c r="A347" s="25"/>
      <c r="B347" s="20"/>
      <c r="C347" s="21"/>
      <c r="D347" s="21"/>
      <c r="E347" s="26"/>
      <c r="F347" s="21"/>
      <c r="G347" s="24"/>
    </row>
    <row r="348" customFormat="false" ht="15" hidden="false" customHeight="false" outlineLevel="0" collapsed="false">
      <c r="A348" s="25"/>
      <c r="B348" s="20"/>
      <c r="C348" s="21"/>
      <c r="D348" s="21"/>
      <c r="E348" s="26"/>
      <c r="F348" s="21"/>
      <c r="G348" s="24"/>
    </row>
    <row r="349" customFormat="false" ht="15" hidden="false" customHeight="false" outlineLevel="0" collapsed="false">
      <c r="A349" s="25"/>
      <c r="B349" s="20"/>
      <c r="C349" s="21"/>
      <c r="D349" s="21"/>
      <c r="E349" s="26"/>
      <c r="F349" s="21"/>
      <c r="G349" s="24"/>
    </row>
    <row r="350" customFormat="false" ht="15" hidden="false" customHeight="false" outlineLevel="0" collapsed="false">
      <c r="A350" s="25"/>
      <c r="B350" s="20"/>
      <c r="C350" s="21"/>
      <c r="D350" s="21"/>
      <c r="E350" s="26"/>
      <c r="F350" s="21"/>
      <c r="G350" s="24"/>
    </row>
    <row r="351" customFormat="false" ht="15" hidden="false" customHeight="false" outlineLevel="0" collapsed="false">
      <c r="A351" s="25"/>
      <c r="B351" s="20"/>
      <c r="C351" s="21"/>
      <c r="D351" s="21"/>
      <c r="E351" s="26"/>
      <c r="F351" s="21"/>
      <c r="G351" s="24"/>
    </row>
    <row r="352" customFormat="false" ht="15" hidden="false" customHeight="false" outlineLevel="0" collapsed="false">
      <c r="A352" s="25"/>
      <c r="B352" s="20"/>
      <c r="C352" s="21"/>
      <c r="D352" s="21"/>
      <c r="E352" s="26"/>
      <c r="F352" s="21"/>
      <c r="G352" s="24"/>
    </row>
    <row r="353" customFormat="false" ht="15" hidden="false" customHeight="false" outlineLevel="0" collapsed="false">
      <c r="A353" s="25"/>
      <c r="B353" s="20"/>
      <c r="C353" s="21"/>
      <c r="D353" s="21"/>
      <c r="E353" s="26"/>
      <c r="F353" s="21"/>
      <c r="G353" s="24"/>
    </row>
    <row r="354" customFormat="false" ht="15" hidden="false" customHeight="false" outlineLevel="0" collapsed="false">
      <c r="A354" s="25"/>
      <c r="B354" s="20"/>
      <c r="C354" s="21"/>
      <c r="D354" s="21"/>
      <c r="E354" s="26"/>
      <c r="F354" s="21"/>
      <c r="G354" s="24"/>
    </row>
    <row r="355" customFormat="false" ht="15" hidden="false" customHeight="false" outlineLevel="0" collapsed="false">
      <c r="A355" s="25"/>
      <c r="B355" s="20"/>
      <c r="C355" s="21"/>
      <c r="D355" s="21"/>
      <c r="E355" s="26"/>
      <c r="F355" s="21"/>
      <c r="G355" s="24"/>
    </row>
    <row r="356" customFormat="false" ht="15" hidden="false" customHeight="false" outlineLevel="0" collapsed="false">
      <c r="A356" s="25"/>
      <c r="B356" s="20"/>
      <c r="C356" s="21"/>
      <c r="D356" s="21"/>
      <c r="E356" s="26"/>
      <c r="F356" s="21"/>
      <c r="G356" s="24"/>
    </row>
    <row r="357" customFormat="false" ht="15" hidden="false" customHeight="false" outlineLevel="0" collapsed="false">
      <c r="A357" s="25"/>
      <c r="B357" s="20"/>
      <c r="C357" s="21"/>
      <c r="D357" s="21"/>
      <c r="E357" s="26"/>
      <c r="F357" s="21"/>
      <c r="G357" s="24"/>
    </row>
    <row r="358" customFormat="false" ht="15" hidden="false" customHeight="false" outlineLevel="0" collapsed="false">
      <c r="A358" s="25"/>
      <c r="B358" s="20"/>
      <c r="C358" s="21"/>
      <c r="D358" s="21"/>
      <c r="E358" s="26"/>
      <c r="F358" s="21"/>
      <c r="G358" s="24"/>
    </row>
    <row r="359" customFormat="false" ht="15" hidden="false" customHeight="false" outlineLevel="0" collapsed="false">
      <c r="A359" s="25"/>
      <c r="B359" s="20"/>
      <c r="C359" s="21"/>
      <c r="D359" s="21"/>
      <c r="E359" s="26"/>
      <c r="F359" s="21"/>
      <c r="G359" s="24"/>
    </row>
    <row r="360" customFormat="false" ht="15" hidden="false" customHeight="false" outlineLevel="0" collapsed="false">
      <c r="A360" s="25"/>
      <c r="B360" s="20"/>
      <c r="C360" s="21"/>
      <c r="D360" s="21"/>
      <c r="E360" s="26"/>
      <c r="F360" s="21"/>
      <c r="G360" s="24"/>
    </row>
    <row r="361" customFormat="false" ht="15" hidden="false" customHeight="false" outlineLevel="0" collapsed="false">
      <c r="A361" s="25"/>
      <c r="B361" s="20"/>
      <c r="C361" s="21"/>
      <c r="D361" s="21"/>
      <c r="E361" s="26"/>
      <c r="F361" s="21"/>
      <c r="G361" s="24"/>
    </row>
    <row r="362" customFormat="false" ht="15" hidden="false" customHeight="false" outlineLevel="0" collapsed="false">
      <c r="A362" s="25"/>
      <c r="B362" s="20"/>
      <c r="C362" s="21"/>
      <c r="D362" s="21"/>
      <c r="E362" s="26"/>
      <c r="F362" s="21"/>
      <c r="G362" s="24"/>
    </row>
    <row r="363" customFormat="false" ht="15" hidden="false" customHeight="false" outlineLevel="0" collapsed="false">
      <c r="A363" s="25"/>
      <c r="B363" s="20"/>
      <c r="C363" s="21"/>
      <c r="D363" s="21"/>
      <c r="E363" s="26"/>
      <c r="F363" s="21"/>
      <c r="G363" s="24"/>
    </row>
    <row r="364" customFormat="false" ht="15" hidden="false" customHeight="false" outlineLevel="0" collapsed="false">
      <c r="A364" s="25"/>
      <c r="B364" s="20"/>
      <c r="C364" s="21"/>
      <c r="D364" s="21"/>
      <c r="E364" s="26"/>
      <c r="F364" s="21"/>
      <c r="G364" s="24"/>
    </row>
    <row r="365" customFormat="false" ht="15" hidden="false" customHeight="false" outlineLevel="0" collapsed="false">
      <c r="A365" s="25"/>
      <c r="B365" s="20"/>
      <c r="C365" s="21"/>
      <c r="D365" s="21"/>
      <c r="E365" s="26"/>
      <c r="F365" s="21"/>
      <c r="G365" s="24"/>
    </row>
    <row r="366" customFormat="false" ht="15" hidden="false" customHeight="false" outlineLevel="0" collapsed="false">
      <c r="A366" s="25"/>
      <c r="B366" s="20"/>
      <c r="C366" s="21"/>
      <c r="D366" s="21"/>
      <c r="E366" s="26"/>
      <c r="F366" s="21"/>
      <c r="G366" s="24"/>
    </row>
    <row r="367" customFormat="false" ht="15" hidden="false" customHeight="false" outlineLevel="0" collapsed="false">
      <c r="A367" s="25"/>
      <c r="B367" s="20"/>
      <c r="C367" s="21"/>
      <c r="D367" s="21"/>
      <c r="E367" s="26"/>
      <c r="F367" s="21"/>
      <c r="G367" s="24"/>
    </row>
    <row r="368" customFormat="false" ht="15" hidden="false" customHeight="false" outlineLevel="0" collapsed="false">
      <c r="A368" s="25"/>
      <c r="B368" s="20"/>
      <c r="C368" s="21"/>
      <c r="D368" s="21"/>
      <c r="E368" s="26"/>
      <c r="F368" s="21"/>
      <c r="G368" s="24"/>
    </row>
    <row r="369" customFormat="false" ht="15" hidden="false" customHeight="false" outlineLevel="0" collapsed="false">
      <c r="A369" s="25"/>
      <c r="B369" s="20"/>
      <c r="C369" s="21"/>
      <c r="D369" s="21"/>
      <c r="E369" s="26"/>
      <c r="F369" s="21"/>
      <c r="G369" s="24"/>
    </row>
    <row r="370" customFormat="false" ht="15" hidden="false" customHeight="false" outlineLevel="0" collapsed="false">
      <c r="A370" s="25"/>
      <c r="B370" s="20"/>
      <c r="C370" s="21"/>
      <c r="D370" s="21"/>
      <c r="E370" s="26"/>
      <c r="F370" s="21"/>
      <c r="G370" s="24"/>
    </row>
    <row r="371" customFormat="false" ht="15" hidden="false" customHeight="false" outlineLevel="0" collapsed="false">
      <c r="A371" s="25"/>
      <c r="B371" s="20"/>
      <c r="C371" s="21"/>
      <c r="D371" s="21"/>
      <c r="E371" s="26"/>
      <c r="F371" s="21"/>
      <c r="G371" s="24"/>
    </row>
    <row r="372" customFormat="false" ht="15" hidden="false" customHeight="false" outlineLevel="0" collapsed="false">
      <c r="A372" s="25"/>
      <c r="B372" s="20"/>
      <c r="C372" s="21"/>
      <c r="D372" s="21"/>
      <c r="E372" s="26"/>
      <c r="F372" s="21"/>
      <c r="G372" s="24"/>
    </row>
    <row r="373" customFormat="false" ht="15" hidden="false" customHeight="false" outlineLevel="0" collapsed="false">
      <c r="A373" s="25"/>
      <c r="B373" s="20"/>
      <c r="C373" s="21"/>
      <c r="D373" s="21"/>
      <c r="E373" s="26"/>
      <c r="F373" s="21"/>
      <c r="G373" s="24"/>
    </row>
    <row r="374" customFormat="false" ht="15" hidden="false" customHeight="false" outlineLevel="0" collapsed="false">
      <c r="A374" s="25"/>
      <c r="B374" s="20"/>
      <c r="C374" s="21"/>
      <c r="D374" s="21"/>
      <c r="E374" s="26"/>
      <c r="F374" s="21"/>
      <c r="G374" s="24"/>
    </row>
    <row r="375" customFormat="false" ht="15" hidden="false" customHeight="false" outlineLevel="0" collapsed="false">
      <c r="A375" s="25"/>
      <c r="B375" s="20"/>
      <c r="C375" s="21"/>
      <c r="D375" s="21"/>
      <c r="E375" s="26"/>
      <c r="F375" s="21"/>
      <c r="G375" s="24"/>
    </row>
    <row r="376" customFormat="false" ht="15" hidden="false" customHeight="false" outlineLevel="0" collapsed="false">
      <c r="A376" s="25"/>
      <c r="B376" s="20"/>
      <c r="C376" s="21"/>
      <c r="D376" s="21"/>
      <c r="E376" s="26"/>
      <c r="F376" s="21"/>
      <c r="G376" s="24"/>
    </row>
    <row r="377" customFormat="false" ht="15" hidden="false" customHeight="false" outlineLevel="0" collapsed="false">
      <c r="A377" s="25"/>
      <c r="B377" s="20"/>
      <c r="C377" s="21"/>
      <c r="D377" s="21"/>
      <c r="E377" s="26"/>
      <c r="F377" s="21"/>
      <c r="G377" s="24"/>
    </row>
    <row r="378" customFormat="false" ht="15" hidden="false" customHeight="false" outlineLevel="0" collapsed="false">
      <c r="A378" s="25"/>
      <c r="B378" s="20"/>
      <c r="C378" s="21"/>
      <c r="D378" s="21"/>
      <c r="E378" s="26"/>
      <c r="F378" s="21"/>
      <c r="G378" s="24"/>
    </row>
    <row r="379" customFormat="false" ht="15" hidden="false" customHeight="false" outlineLevel="0" collapsed="false">
      <c r="A379" s="25"/>
      <c r="B379" s="20"/>
      <c r="C379" s="21"/>
      <c r="D379" s="21"/>
      <c r="E379" s="26"/>
      <c r="F379" s="21"/>
      <c r="G379" s="24"/>
    </row>
    <row r="380" customFormat="false" ht="15" hidden="false" customHeight="false" outlineLevel="0" collapsed="false">
      <c r="A380" s="25"/>
      <c r="B380" s="20"/>
      <c r="C380" s="21"/>
      <c r="D380" s="21"/>
      <c r="E380" s="26"/>
      <c r="F380" s="21"/>
      <c r="G380" s="24"/>
    </row>
    <row r="381" customFormat="false" ht="15" hidden="false" customHeight="false" outlineLevel="0" collapsed="false">
      <c r="A381" s="25"/>
      <c r="B381" s="20"/>
      <c r="C381" s="21"/>
      <c r="D381" s="21"/>
      <c r="E381" s="26"/>
      <c r="F381" s="21"/>
      <c r="G381" s="24"/>
    </row>
    <row r="382" customFormat="false" ht="15" hidden="false" customHeight="false" outlineLevel="0" collapsed="false">
      <c r="A382" s="25"/>
      <c r="B382" s="20"/>
      <c r="C382" s="21"/>
      <c r="D382" s="21"/>
      <c r="E382" s="26"/>
      <c r="F382" s="21"/>
      <c r="G382" s="24"/>
    </row>
    <row r="383" customFormat="false" ht="15" hidden="false" customHeight="false" outlineLevel="0" collapsed="false">
      <c r="A383" s="25"/>
      <c r="B383" s="20"/>
      <c r="C383" s="21"/>
      <c r="D383" s="21"/>
      <c r="E383" s="26"/>
      <c r="F383" s="21"/>
      <c r="G383" s="24"/>
    </row>
    <row r="384" customFormat="false" ht="15" hidden="false" customHeight="false" outlineLevel="0" collapsed="false">
      <c r="A384" s="25"/>
      <c r="B384" s="20"/>
      <c r="C384" s="21"/>
      <c r="D384" s="21"/>
      <c r="E384" s="26"/>
      <c r="F384" s="21"/>
      <c r="G384" s="24"/>
    </row>
    <row r="385" customFormat="false" ht="15" hidden="false" customHeight="false" outlineLevel="0" collapsed="false">
      <c r="A385" s="25"/>
      <c r="B385" s="20"/>
      <c r="C385" s="21"/>
      <c r="D385" s="21"/>
      <c r="E385" s="26"/>
      <c r="F385" s="21"/>
      <c r="G385" s="24"/>
    </row>
    <row r="386" customFormat="false" ht="15" hidden="false" customHeight="false" outlineLevel="0" collapsed="false">
      <c r="A386" s="25"/>
      <c r="B386" s="20"/>
      <c r="C386" s="21"/>
      <c r="D386" s="21"/>
      <c r="E386" s="26"/>
      <c r="F386" s="21"/>
      <c r="G386" s="24"/>
    </row>
    <row r="387" customFormat="false" ht="15" hidden="false" customHeight="false" outlineLevel="0" collapsed="false">
      <c r="A387" s="25"/>
      <c r="B387" s="20"/>
      <c r="C387" s="21"/>
      <c r="D387" s="21"/>
      <c r="E387" s="26"/>
      <c r="F387" s="21"/>
      <c r="G387" s="24"/>
    </row>
    <row r="388" customFormat="false" ht="15" hidden="false" customHeight="false" outlineLevel="0" collapsed="false">
      <c r="A388" s="25"/>
      <c r="B388" s="20"/>
      <c r="C388" s="21"/>
      <c r="D388" s="21"/>
      <c r="E388" s="26"/>
      <c r="F388" s="21"/>
      <c r="G388" s="24"/>
    </row>
    <row r="389" customFormat="false" ht="15" hidden="false" customHeight="false" outlineLevel="0" collapsed="false">
      <c r="A389" s="25"/>
      <c r="B389" s="20"/>
      <c r="C389" s="21"/>
      <c r="D389" s="21"/>
      <c r="E389" s="26"/>
      <c r="F389" s="21"/>
      <c r="G389" s="24"/>
    </row>
    <row r="390" customFormat="false" ht="15" hidden="false" customHeight="false" outlineLevel="0" collapsed="false">
      <c r="A390" s="25"/>
      <c r="B390" s="20"/>
      <c r="C390" s="21"/>
      <c r="D390" s="21"/>
      <c r="E390" s="26"/>
      <c r="F390" s="21"/>
      <c r="G390" s="24"/>
    </row>
    <row r="391" customFormat="false" ht="15" hidden="false" customHeight="false" outlineLevel="0" collapsed="false">
      <c r="A391" s="25"/>
      <c r="B391" s="20"/>
      <c r="C391" s="21"/>
      <c r="D391" s="21"/>
      <c r="E391" s="26"/>
      <c r="F391" s="21"/>
      <c r="G391" s="24"/>
    </row>
    <row r="392" customFormat="false" ht="15" hidden="false" customHeight="false" outlineLevel="0" collapsed="false">
      <c r="A392" s="25"/>
      <c r="B392" s="20"/>
      <c r="C392" s="21"/>
      <c r="D392" s="21"/>
      <c r="E392" s="26"/>
      <c r="F392" s="21"/>
      <c r="G392" s="24"/>
    </row>
    <row r="393" customFormat="false" ht="15" hidden="false" customHeight="false" outlineLevel="0" collapsed="false">
      <c r="A393" s="25"/>
      <c r="B393" s="20"/>
      <c r="C393" s="21"/>
      <c r="D393" s="21"/>
      <c r="E393" s="26"/>
      <c r="F393" s="21"/>
      <c r="G393" s="24"/>
    </row>
    <row r="394" customFormat="false" ht="15" hidden="false" customHeight="false" outlineLevel="0" collapsed="false">
      <c r="A394" s="25"/>
      <c r="B394" s="20"/>
      <c r="C394" s="21"/>
      <c r="D394" s="21"/>
      <c r="E394" s="26"/>
      <c r="F394" s="21"/>
      <c r="G394" s="24"/>
    </row>
    <row r="395" customFormat="false" ht="15" hidden="false" customHeight="false" outlineLevel="0" collapsed="false">
      <c r="A395" s="25"/>
      <c r="B395" s="20"/>
      <c r="C395" s="21"/>
      <c r="D395" s="21"/>
      <c r="E395" s="26"/>
      <c r="F395" s="21"/>
      <c r="G395" s="24"/>
    </row>
    <row r="396" customFormat="false" ht="15" hidden="false" customHeight="false" outlineLevel="0" collapsed="false">
      <c r="A396" s="25"/>
      <c r="B396" s="20"/>
      <c r="C396" s="21"/>
      <c r="D396" s="21"/>
      <c r="E396" s="26"/>
      <c r="F396" s="21"/>
      <c r="G396" s="24"/>
    </row>
    <row r="397" customFormat="false" ht="15" hidden="false" customHeight="false" outlineLevel="0" collapsed="false">
      <c r="A397" s="25"/>
      <c r="B397" s="20"/>
      <c r="C397" s="21"/>
      <c r="D397" s="21"/>
      <c r="E397" s="26"/>
      <c r="F397" s="21"/>
      <c r="G397" s="24"/>
    </row>
    <row r="398" customFormat="false" ht="15" hidden="false" customHeight="false" outlineLevel="0" collapsed="false">
      <c r="A398" s="25"/>
      <c r="B398" s="20"/>
      <c r="C398" s="21"/>
      <c r="D398" s="21"/>
      <c r="E398" s="26"/>
      <c r="F398" s="21"/>
      <c r="G398" s="24"/>
    </row>
    <row r="399" customFormat="false" ht="15" hidden="false" customHeight="false" outlineLevel="0" collapsed="false">
      <c r="A399" s="25"/>
      <c r="B399" s="20"/>
      <c r="C399" s="21"/>
      <c r="D399" s="21"/>
      <c r="E399" s="26"/>
      <c r="F399" s="21"/>
      <c r="G399" s="24"/>
    </row>
    <row r="400" customFormat="false" ht="15" hidden="false" customHeight="false" outlineLevel="0" collapsed="false">
      <c r="A400" s="25"/>
      <c r="B400" s="20"/>
      <c r="C400" s="21"/>
      <c r="D400" s="21"/>
      <c r="E400" s="26"/>
      <c r="F400" s="21"/>
      <c r="G400" s="24"/>
    </row>
    <row r="401" customFormat="false" ht="15" hidden="false" customHeight="false" outlineLevel="0" collapsed="false">
      <c r="A401" s="25"/>
      <c r="B401" s="20"/>
      <c r="C401" s="21"/>
      <c r="D401" s="21"/>
      <c r="E401" s="26"/>
      <c r="F401" s="21"/>
      <c r="G401" s="24"/>
    </row>
    <row r="402" customFormat="false" ht="15" hidden="false" customHeight="false" outlineLevel="0" collapsed="false">
      <c r="A402" s="25"/>
      <c r="B402" s="20"/>
      <c r="C402" s="21"/>
      <c r="D402" s="21"/>
      <c r="E402" s="26"/>
      <c r="F402" s="21"/>
      <c r="G402" s="24"/>
    </row>
    <row r="403" customFormat="false" ht="15" hidden="false" customHeight="false" outlineLevel="0" collapsed="false">
      <c r="A403" s="25"/>
      <c r="B403" s="20"/>
      <c r="C403" s="21"/>
      <c r="D403" s="21"/>
      <c r="E403" s="26"/>
      <c r="F403" s="21"/>
      <c r="G403" s="24"/>
    </row>
    <row r="404" customFormat="false" ht="15" hidden="false" customHeight="false" outlineLevel="0" collapsed="false">
      <c r="A404" s="25"/>
      <c r="B404" s="20"/>
      <c r="C404" s="21"/>
      <c r="D404" s="21"/>
      <c r="E404" s="26"/>
      <c r="F404" s="21"/>
      <c r="G404" s="24"/>
    </row>
    <row r="405" customFormat="false" ht="15" hidden="false" customHeight="false" outlineLevel="0" collapsed="false">
      <c r="A405" s="25"/>
      <c r="B405" s="20"/>
      <c r="C405" s="21"/>
      <c r="D405" s="21"/>
      <c r="E405" s="26"/>
      <c r="F405" s="21"/>
      <c r="G405" s="24"/>
    </row>
    <row r="406" customFormat="false" ht="15" hidden="false" customHeight="false" outlineLevel="0" collapsed="false">
      <c r="A406" s="25"/>
      <c r="B406" s="20"/>
      <c r="C406" s="21"/>
      <c r="D406" s="21"/>
      <c r="E406" s="26"/>
      <c r="F406" s="21"/>
      <c r="G406" s="24"/>
    </row>
    <row r="407" customFormat="false" ht="15" hidden="false" customHeight="false" outlineLevel="0" collapsed="false">
      <c r="A407" s="25"/>
      <c r="B407" s="20"/>
      <c r="C407" s="21"/>
      <c r="D407" s="21"/>
      <c r="E407" s="26"/>
      <c r="F407" s="21"/>
      <c r="G407" s="24"/>
    </row>
    <row r="408" customFormat="false" ht="15" hidden="false" customHeight="false" outlineLevel="0" collapsed="false">
      <c r="A408" s="25"/>
      <c r="B408" s="20"/>
      <c r="C408" s="21"/>
      <c r="D408" s="21"/>
      <c r="E408" s="26"/>
      <c r="F408" s="21"/>
      <c r="G408" s="24"/>
    </row>
    <row r="409" customFormat="false" ht="15" hidden="false" customHeight="false" outlineLevel="0" collapsed="false">
      <c r="A409" s="25"/>
      <c r="B409" s="20"/>
      <c r="C409" s="21"/>
      <c r="D409" s="21"/>
      <c r="E409" s="26"/>
      <c r="F409" s="21"/>
      <c r="G409" s="24"/>
    </row>
    <row r="410" customFormat="false" ht="15" hidden="false" customHeight="false" outlineLevel="0" collapsed="false">
      <c r="A410" s="25"/>
      <c r="B410" s="20"/>
      <c r="C410" s="21"/>
      <c r="D410" s="21"/>
      <c r="E410" s="26"/>
      <c r="F410" s="21"/>
      <c r="G410" s="24"/>
    </row>
    <row r="411" customFormat="false" ht="15" hidden="false" customHeight="false" outlineLevel="0" collapsed="false">
      <c r="A411" s="25"/>
      <c r="B411" s="20"/>
      <c r="C411" s="21"/>
      <c r="D411" s="21"/>
      <c r="E411" s="26"/>
      <c r="F411" s="21"/>
      <c r="G411" s="24"/>
    </row>
    <row r="412" customFormat="false" ht="15" hidden="false" customHeight="false" outlineLevel="0" collapsed="false">
      <c r="A412" s="25"/>
      <c r="B412" s="20"/>
      <c r="C412" s="21"/>
      <c r="D412" s="21"/>
      <c r="E412" s="26"/>
      <c r="F412" s="21"/>
      <c r="G412" s="24"/>
    </row>
    <row r="413" customFormat="false" ht="15" hidden="false" customHeight="false" outlineLevel="0" collapsed="false">
      <c r="A413" s="25"/>
      <c r="B413" s="20"/>
      <c r="C413" s="21"/>
      <c r="D413" s="21"/>
      <c r="E413" s="26"/>
      <c r="F413" s="21"/>
      <c r="G413" s="24"/>
    </row>
    <row r="414" customFormat="false" ht="15" hidden="false" customHeight="false" outlineLevel="0" collapsed="false">
      <c r="A414" s="25"/>
      <c r="B414" s="20"/>
      <c r="C414" s="21"/>
      <c r="D414" s="21"/>
      <c r="E414" s="26"/>
      <c r="F414" s="21"/>
      <c r="G414" s="24"/>
    </row>
    <row r="415" customFormat="false" ht="15" hidden="false" customHeight="false" outlineLevel="0" collapsed="false">
      <c r="A415" s="25"/>
      <c r="B415" s="20"/>
      <c r="C415" s="21"/>
      <c r="D415" s="21"/>
      <c r="E415" s="26"/>
      <c r="F415" s="21"/>
      <c r="G415" s="24"/>
    </row>
    <row r="416" customFormat="false" ht="15" hidden="false" customHeight="false" outlineLevel="0" collapsed="false">
      <c r="A416" s="25"/>
      <c r="B416" s="20"/>
      <c r="C416" s="21"/>
      <c r="D416" s="21"/>
      <c r="E416" s="26"/>
      <c r="F416" s="21"/>
      <c r="G416" s="24"/>
    </row>
    <row r="417" customFormat="false" ht="15" hidden="false" customHeight="false" outlineLevel="0" collapsed="false">
      <c r="A417" s="25"/>
      <c r="B417" s="20"/>
      <c r="C417" s="21"/>
      <c r="D417" s="21"/>
      <c r="E417" s="26"/>
      <c r="F417" s="21"/>
      <c r="G417" s="24"/>
    </row>
    <row r="418" customFormat="false" ht="15" hidden="false" customHeight="false" outlineLevel="0" collapsed="false">
      <c r="A418" s="25"/>
      <c r="B418" s="20"/>
      <c r="C418" s="21"/>
      <c r="D418" s="21"/>
      <c r="E418" s="26"/>
      <c r="F418" s="21"/>
      <c r="G418" s="24"/>
    </row>
    <row r="419" customFormat="false" ht="15" hidden="false" customHeight="false" outlineLevel="0" collapsed="false">
      <c r="A419" s="25"/>
      <c r="B419" s="20"/>
      <c r="C419" s="21"/>
      <c r="D419" s="21"/>
      <c r="E419" s="26"/>
      <c r="F419" s="21"/>
      <c r="G419" s="24"/>
    </row>
    <row r="420" customFormat="false" ht="15" hidden="false" customHeight="false" outlineLevel="0" collapsed="false">
      <c r="A420" s="25"/>
      <c r="B420" s="20"/>
      <c r="C420" s="21"/>
      <c r="D420" s="21"/>
      <c r="E420" s="26"/>
      <c r="F420" s="21"/>
      <c r="G420" s="24"/>
    </row>
    <row r="421" customFormat="false" ht="15" hidden="false" customHeight="false" outlineLevel="0" collapsed="false">
      <c r="A421" s="25"/>
      <c r="B421" s="20"/>
      <c r="C421" s="21"/>
      <c r="D421" s="21"/>
      <c r="E421" s="26"/>
      <c r="F421" s="21"/>
      <c r="G421" s="24"/>
    </row>
    <row r="422" customFormat="false" ht="15" hidden="false" customHeight="false" outlineLevel="0" collapsed="false">
      <c r="A422" s="25"/>
      <c r="B422" s="20"/>
      <c r="C422" s="21"/>
      <c r="D422" s="21"/>
      <c r="E422" s="26"/>
      <c r="F422" s="21"/>
      <c r="G422" s="24"/>
    </row>
    <row r="423" customFormat="false" ht="15" hidden="false" customHeight="false" outlineLevel="0" collapsed="false">
      <c r="A423" s="25"/>
      <c r="B423" s="20"/>
      <c r="C423" s="21"/>
      <c r="D423" s="21"/>
      <c r="E423" s="26"/>
      <c r="F423" s="21"/>
      <c r="G423" s="24"/>
    </row>
    <row r="424" customFormat="false" ht="15" hidden="false" customHeight="false" outlineLevel="0" collapsed="false">
      <c r="A424" s="25"/>
      <c r="B424" s="20"/>
      <c r="C424" s="21"/>
      <c r="D424" s="21"/>
      <c r="E424" s="26"/>
      <c r="F424" s="21"/>
      <c r="G424" s="24"/>
    </row>
    <row r="425" customFormat="false" ht="15" hidden="false" customHeight="false" outlineLevel="0" collapsed="false">
      <c r="A425" s="25"/>
      <c r="B425" s="20"/>
      <c r="C425" s="21"/>
      <c r="D425" s="21"/>
      <c r="E425" s="26"/>
      <c r="F425" s="21"/>
      <c r="G425" s="24"/>
    </row>
    <row r="426" customFormat="false" ht="15" hidden="false" customHeight="false" outlineLevel="0" collapsed="false">
      <c r="A426" s="25"/>
      <c r="B426" s="20"/>
      <c r="C426" s="21"/>
      <c r="D426" s="21"/>
      <c r="E426" s="26"/>
      <c r="F426" s="21"/>
      <c r="G426" s="24"/>
    </row>
    <row r="427" customFormat="false" ht="15" hidden="false" customHeight="false" outlineLevel="0" collapsed="false">
      <c r="A427" s="25"/>
      <c r="B427" s="20"/>
      <c r="C427" s="21"/>
      <c r="D427" s="21"/>
      <c r="E427" s="26"/>
      <c r="F427" s="21"/>
      <c r="G427" s="24"/>
    </row>
    <row r="428" customFormat="false" ht="15" hidden="false" customHeight="false" outlineLevel="0" collapsed="false">
      <c r="A428" s="25"/>
      <c r="B428" s="20"/>
      <c r="C428" s="21"/>
      <c r="D428" s="21"/>
      <c r="E428" s="26"/>
      <c r="F428" s="21"/>
      <c r="G428" s="24"/>
    </row>
    <row r="429" customFormat="false" ht="15" hidden="false" customHeight="false" outlineLevel="0" collapsed="false">
      <c r="A429" s="25"/>
      <c r="B429" s="20"/>
      <c r="C429" s="21"/>
      <c r="D429" s="21"/>
      <c r="E429" s="26"/>
      <c r="F429" s="21"/>
      <c r="G429" s="24"/>
    </row>
    <row r="430" customFormat="false" ht="15" hidden="false" customHeight="false" outlineLevel="0" collapsed="false">
      <c r="A430" s="25"/>
      <c r="B430" s="20"/>
      <c r="C430" s="21"/>
      <c r="D430" s="21"/>
      <c r="E430" s="26"/>
      <c r="F430" s="21"/>
      <c r="G430" s="24"/>
    </row>
    <row r="431" customFormat="false" ht="15" hidden="false" customHeight="false" outlineLevel="0" collapsed="false">
      <c r="A431" s="25"/>
      <c r="B431" s="20"/>
      <c r="C431" s="21"/>
      <c r="D431" s="21"/>
      <c r="E431" s="26"/>
      <c r="F431" s="21"/>
      <c r="G431" s="24"/>
    </row>
    <row r="432" customFormat="false" ht="15" hidden="false" customHeight="false" outlineLevel="0" collapsed="false">
      <c r="A432" s="25"/>
      <c r="B432" s="20"/>
      <c r="C432" s="21"/>
      <c r="D432" s="21"/>
      <c r="E432" s="26"/>
      <c r="F432" s="21"/>
      <c r="G432" s="24"/>
    </row>
    <row r="433" customFormat="false" ht="15" hidden="false" customHeight="false" outlineLevel="0" collapsed="false">
      <c r="A433" s="25"/>
      <c r="B433" s="20"/>
      <c r="C433" s="21"/>
      <c r="D433" s="21"/>
      <c r="E433" s="26"/>
      <c r="F433" s="21"/>
      <c r="G433" s="24"/>
    </row>
    <row r="434" customFormat="false" ht="15" hidden="false" customHeight="false" outlineLevel="0" collapsed="false">
      <c r="A434" s="25"/>
      <c r="B434" s="20"/>
      <c r="C434" s="21"/>
      <c r="D434" s="21"/>
      <c r="E434" s="26"/>
      <c r="F434" s="21"/>
      <c r="G434" s="24"/>
    </row>
    <row r="435" customFormat="false" ht="15" hidden="false" customHeight="false" outlineLevel="0" collapsed="false">
      <c r="A435" s="25"/>
      <c r="B435" s="20"/>
      <c r="C435" s="21"/>
      <c r="D435" s="21"/>
      <c r="E435" s="26"/>
      <c r="F435" s="21"/>
      <c r="G435" s="24"/>
    </row>
    <row r="436" customFormat="false" ht="15" hidden="false" customHeight="false" outlineLevel="0" collapsed="false">
      <c r="A436" s="25"/>
      <c r="B436" s="20"/>
      <c r="C436" s="21"/>
      <c r="D436" s="21"/>
      <c r="E436" s="26"/>
      <c r="F436" s="21"/>
      <c r="G436" s="24"/>
    </row>
    <row r="437" customFormat="false" ht="15" hidden="false" customHeight="false" outlineLevel="0" collapsed="false">
      <c r="A437" s="25"/>
      <c r="B437" s="20"/>
      <c r="C437" s="21"/>
      <c r="D437" s="21"/>
      <c r="E437" s="26"/>
      <c r="F437" s="21"/>
      <c r="G437" s="24"/>
    </row>
    <row r="438" customFormat="false" ht="15" hidden="false" customHeight="false" outlineLevel="0" collapsed="false">
      <c r="A438" s="25"/>
      <c r="B438" s="20"/>
      <c r="C438" s="21"/>
      <c r="D438" s="21"/>
      <c r="E438" s="26"/>
      <c r="F438" s="21"/>
      <c r="G438" s="24"/>
    </row>
    <row r="439" customFormat="false" ht="15" hidden="false" customHeight="false" outlineLevel="0" collapsed="false">
      <c r="A439" s="25"/>
      <c r="B439" s="20"/>
      <c r="C439" s="21"/>
      <c r="D439" s="21"/>
      <c r="E439" s="26"/>
      <c r="F439" s="21"/>
      <c r="G439" s="24"/>
    </row>
    <row r="440" customFormat="false" ht="15" hidden="false" customHeight="false" outlineLevel="0" collapsed="false">
      <c r="A440" s="25"/>
      <c r="B440" s="20"/>
      <c r="C440" s="21"/>
      <c r="D440" s="21"/>
      <c r="E440" s="26"/>
      <c r="F440" s="21"/>
      <c r="G440" s="24"/>
    </row>
    <row r="441" customFormat="false" ht="15" hidden="false" customHeight="false" outlineLevel="0" collapsed="false">
      <c r="A441" s="25"/>
      <c r="B441" s="20"/>
      <c r="C441" s="21"/>
      <c r="D441" s="21"/>
      <c r="E441" s="26"/>
      <c r="F441" s="21"/>
      <c r="G441" s="24"/>
    </row>
    <row r="442" customFormat="false" ht="15" hidden="false" customHeight="false" outlineLevel="0" collapsed="false">
      <c r="A442" s="25"/>
      <c r="B442" s="20"/>
      <c r="C442" s="21"/>
      <c r="D442" s="21"/>
      <c r="E442" s="26"/>
      <c r="F442" s="21"/>
      <c r="G442" s="24"/>
    </row>
    <row r="443" customFormat="false" ht="15" hidden="false" customHeight="false" outlineLevel="0" collapsed="false">
      <c r="A443" s="25"/>
      <c r="B443" s="20"/>
      <c r="C443" s="21"/>
      <c r="D443" s="21"/>
      <c r="E443" s="26"/>
      <c r="F443" s="21"/>
      <c r="G443" s="24"/>
    </row>
    <row r="444" customFormat="false" ht="15" hidden="false" customHeight="false" outlineLevel="0" collapsed="false">
      <c r="A444" s="25"/>
      <c r="B444" s="20"/>
      <c r="C444" s="21"/>
      <c r="D444" s="21"/>
      <c r="E444" s="26"/>
      <c r="F444" s="21"/>
      <c r="G444" s="24"/>
    </row>
    <row r="445" customFormat="false" ht="15" hidden="false" customHeight="false" outlineLevel="0" collapsed="false">
      <c r="A445" s="25"/>
      <c r="B445" s="20"/>
      <c r="C445" s="21"/>
      <c r="D445" s="21"/>
      <c r="E445" s="26"/>
      <c r="F445" s="21"/>
      <c r="G445" s="24"/>
    </row>
    <row r="446" customFormat="false" ht="15" hidden="false" customHeight="false" outlineLevel="0" collapsed="false">
      <c r="A446" s="25"/>
      <c r="B446" s="20"/>
      <c r="C446" s="21"/>
      <c r="D446" s="21"/>
      <c r="E446" s="26"/>
      <c r="F446" s="21"/>
      <c r="G446" s="24"/>
    </row>
    <row r="447" customFormat="false" ht="15" hidden="false" customHeight="false" outlineLevel="0" collapsed="false">
      <c r="A447" s="25"/>
      <c r="B447" s="20"/>
      <c r="C447" s="21"/>
      <c r="D447" s="21"/>
      <c r="E447" s="26"/>
      <c r="F447" s="21"/>
      <c r="G447" s="24"/>
    </row>
    <row r="448" customFormat="false" ht="15" hidden="false" customHeight="false" outlineLevel="0" collapsed="false">
      <c r="A448" s="25"/>
      <c r="B448" s="20"/>
      <c r="C448" s="21"/>
      <c r="D448" s="21"/>
      <c r="E448" s="26"/>
      <c r="F448" s="21"/>
      <c r="G448" s="24"/>
    </row>
    <row r="449" customFormat="false" ht="15" hidden="false" customHeight="false" outlineLevel="0" collapsed="false">
      <c r="A449" s="25"/>
      <c r="B449" s="20"/>
      <c r="C449" s="21"/>
      <c r="D449" s="21"/>
      <c r="E449" s="26"/>
      <c r="F449" s="21"/>
      <c r="G449" s="24"/>
    </row>
    <row r="450" customFormat="false" ht="15" hidden="false" customHeight="false" outlineLevel="0" collapsed="false">
      <c r="A450" s="25"/>
      <c r="B450" s="20"/>
      <c r="C450" s="21"/>
      <c r="D450" s="21"/>
      <c r="E450" s="26"/>
      <c r="F450" s="21"/>
      <c r="G450" s="24"/>
    </row>
    <row r="451" customFormat="false" ht="15" hidden="false" customHeight="false" outlineLevel="0" collapsed="false">
      <c r="A451" s="25"/>
      <c r="B451" s="20"/>
      <c r="C451" s="21"/>
      <c r="D451" s="21"/>
      <c r="E451" s="26"/>
      <c r="F451" s="21"/>
      <c r="G451" s="24"/>
    </row>
    <row r="452" customFormat="false" ht="15" hidden="false" customHeight="false" outlineLevel="0" collapsed="false">
      <c r="A452" s="25"/>
      <c r="B452" s="20"/>
      <c r="C452" s="21"/>
      <c r="D452" s="21"/>
      <c r="E452" s="26"/>
      <c r="F452" s="21"/>
      <c r="G452" s="24"/>
    </row>
    <row r="453" customFormat="false" ht="15" hidden="false" customHeight="false" outlineLevel="0" collapsed="false">
      <c r="A453" s="25"/>
      <c r="B453" s="20"/>
      <c r="C453" s="21"/>
      <c r="D453" s="21"/>
      <c r="E453" s="26"/>
      <c r="F453" s="21"/>
      <c r="G453" s="24"/>
    </row>
    <row r="454" customFormat="false" ht="15" hidden="false" customHeight="false" outlineLevel="0" collapsed="false">
      <c r="A454" s="25"/>
      <c r="B454" s="20"/>
      <c r="C454" s="21"/>
      <c r="D454" s="21"/>
      <c r="E454" s="26"/>
      <c r="F454" s="21"/>
      <c r="G454" s="24"/>
    </row>
    <row r="455" customFormat="false" ht="15" hidden="false" customHeight="false" outlineLevel="0" collapsed="false">
      <c r="A455" s="25"/>
      <c r="B455" s="20"/>
      <c r="C455" s="21"/>
      <c r="D455" s="21"/>
      <c r="E455" s="26"/>
      <c r="F455" s="21"/>
      <c r="G455" s="24"/>
    </row>
    <row r="456" customFormat="false" ht="15" hidden="false" customHeight="false" outlineLevel="0" collapsed="false">
      <c r="A456" s="25"/>
      <c r="B456" s="20"/>
      <c r="C456" s="21"/>
      <c r="D456" s="21"/>
      <c r="E456" s="26"/>
      <c r="F456" s="21"/>
      <c r="G456" s="24"/>
    </row>
    <row r="457" customFormat="false" ht="15" hidden="false" customHeight="false" outlineLevel="0" collapsed="false">
      <c r="A457" s="25"/>
      <c r="B457" s="20"/>
      <c r="C457" s="21"/>
      <c r="D457" s="21"/>
      <c r="E457" s="26"/>
      <c r="F457" s="21"/>
      <c r="G457" s="24"/>
    </row>
    <row r="458" customFormat="false" ht="15" hidden="false" customHeight="false" outlineLevel="0" collapsed="false">
      <c r="A458" s="25"/>
      <c r="B458" s="20"/>
      <c r="C458" s="21"/>
      <c r="D458" s="21"/>
      <c r="E458" s="26"/>
      <c r="F458" s="21"/>
      <c r="G458" s="24"/>
    </row>
    <row r="459" customFormat="false" ht="15" hidden="false" customHeight="false" outlineLevel="0" collapsed="false">
      <c r="A459" s="25"/>
      <c r="B459" s="20"/>
      <c r="C459" s="21"/>
      <c r="D459" s="21"/>
      <c r="E459" s="26"/>
      <c r="F459" s="21"/>
      <c r="G459" s="24"/>
    </row>
    <row r="460" customFormat="false" ht="15" hidden="false" customHeight="false" outlineLevel="0" collapsed="false">
      <c r="A460" s="25"/>
      <c r="B460" s="20"/>
      <c r="C460" s="21"/>
      <c r="D460" s="21"/>
      <c r="E460" s="26"/>
      <c r="F460" s="21"/>
      <c r="G460" s="24"/>
    </row>
    <row r="461" customFormat="false" ht="15" hidden="false" customHeight="false" outlineLevel="0" collapsed="false">
      <c r="A461" s="25"/>
      <c r="B461" s="20"/>
      <c r="C461" s="21"/>
      <c r="D461" s="21"/>
      <c r="E461" s="26"/>
      <c r="F461" s="21"/>
      <c r="G461" s="24"/>
    </row>
    <row r="462" customFormat="false" ht="15" hidden="false" customHeight="false" outlineLevel="0" collapsed="false">
      <c r="A462" s="25"/>
      <c r="B462" s="20"/>
      <c r="C462" s="21"/>
      <c r="D462" s="21"/>
      <c r="E462" s="26"/>
      <c r="F462" s="21"/>
      <c r="G462" s="24"/>
    </row>
    <row r="463" customFormat="false" ht="15" hidden="false" customHeight="false" outlineLevel="0" collapsed="false">
      <c r="A463" s="25"/>
      <c r="B463" s="20"/>
      <c r="C463" s="21"/>
      <c r="D463" s="21"/>
      <c r="E463" s="26"/>
      <c r="F463" s="21"/>
      <c r="G463" s="24"/>
    </row>
    <row r="464" customFormat="false" ht="15" hidden="false" customHeight="false" outlineLevel="0" collapsed="false">
      <c r="A464" s="25"/>
      <c r="B464" s="20"/>
      <c r="C464" s="21"/>
      <c r="D464" s="21"/>
      <c r="E464" s="26"/>
      <c r="F464" s="21"/>
      <c r="G464" s="24"/>
    </row>
    <row r="465" customFormat="false" ht="15" hidden="false" customHeight="false" outlineLevel="0" collapsed="false">
      <c r="A465" s="25"/>
      <c r="B465" s="20"/>
      <c r="C465" s="21"/>
      <c r="D465" s="21"/>
      <c r="E465" s="26"/>
      <c r="F465" s="21"/>
      <c r="G465" s="24"/>
    </row>
    <row r="466" customFormat="false" ht="15" hidden="false" customHeight="false" outlineLevel="0" collapsed="false">
      <c r="A466" s="25"/>
      <c r="B466" s="20"/>
      <c r="C466" s="21"/>
      <c r="D466" s="21"/>
      <c r="E466" s="26"/>
      <c r="F466" s="21"/>
      <c r="G466" s="24"/>
    </row>
    <row r="467" customFormat="false" ht="15" hidden="false" customHeight="false" outlineLevel="0" collapsed="false">
      <c r="A467" s="25"/>
      <c r="B467" s="20"/>
      <c r="C467" s="21"/>
      <c r="D467" s="21"/>
      <c r="E467" s="26"/>
      <c r="F467" s="21"/>
      <c r="G467" s="24"/>
    </row>
    <row r="468" customFormat="false" ht="15" hidden="false" customHeight="false" outlineLevel="0" collapsed="false">
      <c r="A468" s="25"/>
      <c r="B468" s="20"/>
      <c r="C468" s="21"/>
      <c r="D468" s="21"/>
      <c r="E468" s="26"/>
      <c r="F468" s="21"/>
      <c r="G468" s="24"/>
    </row>
    <row r="469" customFormat="false" ht="15" hidden="false" customHeight="false" outlineLevel="0" collapsed="false">
      <c r="A469" s="25"/>
      <c r="B469" s="20"/>
      <c r="C469" s="21"/>
      <c r="D469" s="21"/>
      <c r="E469" s="26"/>
      <c r="F469" s="21"/>
      <c r="G469" s="24"/>
    </row>
    <row r="470" customFormat="false" ht="15" hidden="false" customHeight="false" outlineLevel="0" collapsed="false">
      <c r="A470" s="25"/>
      <c r="B470" s="20"/>
      <c r="C470" s="21"/>
      <c r="D470" s="21"/>
      <c r="E470" s="26"/>
      <c r="F470" s="21"/>
      <c r="G470" s="24"/>
    </row>
    <row r="471" customFormat="false" ht="15" hidden="false" customHeight="false" outlineLevel="0" collapsed="false">
      <c r="A471" s="25"/>
      <c r="B471" s="20"/>
      <c r="C471" s="21"/>
      <c r="D471" s="21"/>
      <c r="E471" s="26"/>
      <c r="F471" s="21"/>
      <c r="G471" s="24"/>
    </row>
    <row r="472" customFormat="false" ht="15" hidden="false" customHeight="false" outlineLevel="0" collapsed="false">
      <c r="A472" s="25"/>
      <c r="B472" s="20"/>
      <c r="C472" s="21"/>
      <c r="D472" s="21"/>
      <c r="E472" s="26"/>
      <c r="F472" s="21"/>
      <c r="G472" s="24"/>
    </row>
    <row r="473" customFormat="false" ht="15" hidden="false" customHeight="false" outlineLevel="0" collapsed="false">
      <c r="A473" s="25"/>
      <c r="B473" s="20"/>
      <c r="C473" s="21"/>
      <c r="D473" s="21"/>
      <c r="E473" s="26"/>
      <c r="F473" s="21"/>
      <c r="G473" s="24"/>
    </row>
    <row r="474" customFormat="false" ht="15" hidden="false" customHeight="false" outlineLevel="0" collapsed="false">
      <c r="A474" s="25"/>
      <c r="B474" s="20"/>
      <c r="C474" s="21"/>
      <c r="D474" s="21"/>
      <c r="E474" s="26"/>
      <c r="F474" s="21"/>
      <c r="G474" s="24"/>
    </row>
    <row r="475" customFormat="false" ht="15" hidden="false" customHeight="false" outlineLevel="0" collapsed="false">
      <c r="A475" s="25"/>
      <c r="B475" s="20"/>
      <c r="C475" s="21"/>
      <c r="D475" s="21"/>
      <c r="E475" s="26"/>
      <c r="F475" s="21"/>
      <c r="G475" s="24"/>
    </row>
    <row r="476" customFormat="false" ht="15" hidden="false" customHeight="false" outlineLevel="0" collapsed="false">
      <c r="A476" s="25"/>
      <c r="B476" s="20"/>
      <c r="C476" s="21"/>
      <c r="D476" s="21"/>
      <c r="E476" s="26"/>
      <c r="F476" s="21"/>
      <c r="G476" s="24"/>
    </row>
    <row r="477" customFormat="false" ht="15" hidden="false" customHeight="false" outlineLevel="0" collapsed="false">
      <c r="A477" s="25"/>
      <c r="B477" s="20"/>
      <c r="C477" s="21"/>
      <c r="D477" s="21"/>
      <c r="E477" s="26"/>
      <c r="F477" s="21"/>
      <c r="G477" s="24"/>
    </row>
    <row r="478" customFormat="false" ht="15" hidden="false" customHeight="false" outlineLevel="0" collapsed="false">
      <c r="A478" s="25"/>
      <c r="B478" s="20"/>
      <c r="C478" s="21"/>
      <c r="D478" s="21"/>
      <c r="E478" s="26"/>
      <c r="F478" s="21"/>
      <c r="G478" s="24"/>
    </row>
    <row r="479" customFormat="false" ht="15" hidden="false" customHeight="false" outlineLevel="0" collapsed="false">
      <c r="A479" s="25"/>
      <c r="B479" s="20"/>
      <c r="C479" s="21"/>
      <c r="D479" s="21"/>
      <c r="E479" s="26"/>
      <c r="F479" s="21"/>
      <c r="G479" s="24"/>
    </row>
    <row r="480" customFormat="false" ht="15" hidden="false" customHeight="false" outlineLevel="0" collapsed="false">
      <c r="A480" s="25"/>
      <c r="B480" s="20"/>
      <c r="C480" s="21"/>
      <c r="D480" s="21"/>
      <c r="E480" s="26"/>
      <c r="F480" s="21"/>
      <c r="G480" s="24"/>
    </row>
    <row r="481" customFormat="false" ht="15" hidden="false" customHeight="false" outlineLevel="0" collapsed="false">
      <c r="A481" s="25"/>
      <c r="B481" s="20"/>
      <c r="C481" s="21"/>
      <c r="D481" s="21"/>
      <c r="E481" s="26"/>
      <c r="F481" s="21"/>
      <c r="G481" s="24"/>
    </row>
    <row r="482" customFormat="false" ht="15" hidden="false" customHeight="false" outlineLevel="0" collapsed="false">
      <c r="A482" s="25"/>
      <c r="B482" s="20"/>
      <c r="C482" s="21"/>
      <c r="D482" s="21"/>
      <c r="E482" s="26"/>
      <c r="F482" s="21"/>
      <c r="G482" s="24"/>
    </row>
    <row r="483" customFormat="false" ht="15" hidden="false" customHeight="false" outlineLevel="0" collapsed="false">
      <c r="A483" s="25"/>
      <c r="B483" s="20"/>
      <c r="C483" s="21"/>
      <c r="D483" s="21"/>
      <c r="E483" s="26"/>
      <c r="F483" s="21"/>
      <c r="G483" s="24"/>
    </row>
    <row r="484" customFormat="false" ht="15" hidden="false" customHeight="false" outlineLevel="0" collapsed="false">
      <c r="A484" s="25"/>
      <c r="B484" s="20"/>
      <c r="C484" s="21"/>
      <c r="D484" s="21"/>
      <c r="E484" s="26"/>
      <c r="F484" s="21"/>
      <c r="G484" s="24"/>
    </row>
    <row r="485" customFormat="false" ht="15" hidden="false" customHeight="false" outlineLevel="0" collapsed="false">
      <c r="A485" s="25"/>
      <c r="B485" s="20"/>
      <c r="C485" s="21"/>
      <c r="D485" s="21"/>
      <c r="E485" s="26"/>
      <c r="F485" s="21"/>
      <c r="G485" s="24"/>
    </row>
    <row r="486" customFormat="false" ht="15" hidden="false" customHeight="false" outlineLevel="0" collapsed="false">
      <c r="A486" s="25"/>
      <c r="B486" s="20"/>
      <c r="C486" s="21"/>
      <c r="D486" s="21"/>
      <c r="E486" s="26"/>
      <c r="F486" s="21"/>
      <c r="G486" s="24"/>
    </row>
    <row r="487" customFormat="false" ht="15" hidden="false" customHeight="false" outlineLevel="0" collapsed="false">
      <c r="A487" s="25"/>
      <c r="B487" s="20"/>
      <c r="C487" s="21"/>
      <c r="D487" s="21"/>
      <c r="E487" s="26"/>
      <c r="F487" s="21"/>
      <c r="G487" s="24"/>
    </row>
    <row r="488" customFormat="false" ht="15" hidden="false" customHeight="false" outlineLevel="0" collapsed="false">
      <c r="A488" s="25"/>
      <c r="B488" s="20"/>
      <c r="C488" s="21"/>
      <c r="D488" s="21"/>
      <c r="E488" s="26"/>
      <c r="F488" s="21"/>
      <c r="G488" s="24"/>
    </row>
    <row r="489" customFormat="false" ht="15" hidden="false" customHeight="false" outlineLevel="0" collapsed="false">
      <c r="A489" s="25"/>
      <c r="B489" s="20"/>
      <c r="C489" s="21"/>
      <c r="D489" s="21"/>
      <c r="E489" s="26"/>
      <c r="F489" s="21"/>
      <c r="G489" s="24"/>
    </row>
    <row r="490" customFormat="false" ht="15" hidden="false" customHeight="false" outlineLevel="0" collapsed="false">
      <c r="A490" s="25"/>
      <c r="B490" s="20"/>
      <c r="C490" s="21"/>
      <c r="D490" s="21"/>
      <c r="E490" s="26"/>
      <c r="F490" s="21"/>
      <c r="G490" s="24"/>
    </row>
    <row r="491" customFormat="false" ht="15" hidden="false" customHeight="false" outlineLevel="0" collapsed="false">
      <c r="A491" s="25"/>
      <c r="B491" s="20"/>
      <c r="C491" s="21"/>
      <c r="D491" s="21"/>
      <c r="E491" s="26"/>
      <c r="F491" s="21"/>
      <c r="G491" s="24"/>
    </row>
    <row r="492" customFormat="false" ht="15" hidden="false" customHeight="false" outlineLevel="0" collapsed="false">
      <c r="A492" s="25"/>
      <c r="B492" s="20"/>
      <c r="C492" s="21"/>
      <c r="D492" s="21"/>
      <c r="E492" s="26"/>
      <c r="F492" s="21"/>
      <c r="G492" s="24"/>
    </row>
    <row r="493" customFormat="false" ht="15" hidden="false" customHeight="false" outlineLevel="0" collapsed="false">
      <c r="A493" s="25"/>
      <c r="B493" s="20"/>
      <c r="C493" s="21"/>
      <c r="D493" s="21"/>
      <c r="E493" s="26"/>
      <c r="F493" s="21"/>
      <c r="G493" s="24"/>
    </row>
    <row r="494" customFormat="false" ht="15" hidden="false" customHeight="false" outlineLevel="0" collapsed="false">
      <c r="A494" s="25"/>
      <c r="B494" s="20"/>
      <c r="C494" s="21"/>
      <c r="D494" s="21"/>
      <c r="E494" s="26"/>
      <c r="F494" s="21"/>
      <c r="G494" s="24"/>
    </row>
    <row r="495" customFormat="false" ht="15" hidden="false" customHeight="false" outlineLevel="0" collapsed="false">
      <c r="A495" s="25"/>
      <c r="B495" s="20"/>
      <c r="C495" s="21"/>
      <c r="D495" s="21"/>
      <c r="E495" s="26"/>
      <c r="F495" s="21"/>
      <c r="G495" s="24"/>
    </row>
    <row r="496" customFormat="false" ht="15" hidden="false" customHeight="false" outlineLevel="0" collapsed="false">
      <c r="A496" s="25"/>
      <c r="B496" s="20"/>
      <c r="C496" s="21"/>
      <c r="D496" s="21"/>
      <c r="E496" s="26"/>
      <c r="F496" s="21"/>
      <c r="G496" s="24"/>
    </row>
    <row r="497" customFormat="false" ht="15" hidden="false" customHeight="false" outlineLevel="0" collapsed="false">
      <c r="A497" s="25"/>
      <c r="B497" s="20"/>
      <c r="C497" s="21"/>
      <c r="D497" s="21"/>
      <c r="E497" s="26"/>
      <c r="F497" s="21"/>
      <c r="G497" s="24"/>
    </row>
    <row r="498" customFormat="false" ht="15" hidden="false" customHeight="false" outlineLevel="0" collapsed="false">
      <c r="A498" s="25"/>
      <c r="B498" s="20"/>
      <c r="C498" s="21"/>
      <c r="D498" s="21"/>
      <c r="E498" s="26"/>
      <c r="F498" s="21"/>
      <c r="G498" s="24"/>
    </row>
    <row r="499" customFormat="false" ht="15" hidden="false" customHeight="false" outlineLevel="0" collapsed="false">
      <c r="A499" s="25"/>
      <c r="B499" s="20"/>
      <c r="C499" s="21"/>
      <c r="D499" s="21"/>
      <c r="E499" s="26"/>
      <c r="F499" s="21"/>
      <c r="G499" s="24"/>
    </row>
    <row r="500" customFormat="false" ht="15" hidden="false" customHeight="false" outlineLevel="0" collapsed="false">
      <c r="A500" s="25"/>
      <c r="B500" s="20"/>
      <c r="C500" s="21"/>
      <c r="D500" s="21"/>
      <c r="E500" s="26"/>
      <c r="F500" s="21"/>
      <c r="G500" s="24"/>
    </row>
    <row r="501" customFormat="false" ht="15" hidden="false" customHeight="false" outlineLevel="0" collapsed="false">
      <c r="A501" s="25"/>
      <c r="B501" s="20"/>
      <c r="C501" s="21"/>
      <c r="D501" s="21"/>
      <c r="E501" s="26"/>
      <c r="F501" s="21"/>
      <c r="G501" s="24"/>
    </row>
    <row r="502" customFormat="false" ht="15" hidden="false" customHeight="false" outlineLevel="0" collapsed="false">
      <c r="A502" s="25"/>
      <c r="B502" s="20"/>
      <c r="C502" s="21"/>
      <c r="D502" s="21"/>
      <c r="E502" s="26"/>
      <c r="F502" s="21"/>
      <c r="G502" s="24"/>
    </row>
    <row r="503" customFormat="false" ht="15" hidden="false" customHeight="false" outlineLevel="0" collapsed="false">
      <c r="A503" s="25"/>
      <c r="B503" s="20"/>
      <c r="C503" s="21"/>
      <c r="D503" s="21"/>
      <c r="E503" s="26"/>
      <c r="F503" s="21"/>
      <c r="G503" s="24"/>
    </row>
    <row r="504" customFormat="false" ht="15" hidden="false" customHeight="false" outlineLevel="0" collapsed="false">
      <c r="A504" s="25"/>
      <c r="B504" s="20"/>
      <c r="C504" s="21"/>
      <c r="D504" s="21"/>
      <c r="E504" s="26"/>
      <c r="F504" s="21"/>
      <c r="G504" s="24"/>
    </row>
    <row r="505" customFormat="false" ht="15" hidden="false" customHeight="false" outlineLevel="0" collapsed="false">
      <c r="A505" s="25"/>
      <c r="B505" s="20"/>
      <c r="C505" s="21"/>
      <c r="D505" s="21"/>
      <c r="E505" s="26"/>
      <c r="F505" s="21"/>
      <c r="G505" s="24"/>
    </row>
    <row r="506" customFormat="false" ht="15" hidden="false" customHeight="false" outlineLevel="0" collapsed="false">
      <c r="A506" s="25"/>
      <c r="B506" s="20"/>
      <c r="C506" s="21"/>
      <c r="D506" s="21"/>
      <c r="E506" s="26"/>
      <c r="F506" s="21"/>
      <c r="G506" s="24"/>
    </row>
    <row r="507" customFormat="false" ht="15" hidden="false" customHeight="false" outlineLevel="0" collapsed="false">
      <c r="A507" s="25"/>
      <c r="B507" s="20"/>
      <c r="C507" s="21"/>
      <c r="D507" s="21"/>
      <c r="E507" s="26"/>
      <c r="F507" s="21"/>
      <c r="G507" s="24"/>
    </row>
    <row r="508" customFormat="false" ht="15" hidden="false" customHeight="false" outlineLevel="0" collapsed="false">
      <c r="A508" s="25"/>
      <c r="B508" s="20"/>
      <c r="C508" s="21"/>
      <c r="D508" s="21"/>
      <c r="E508" s="26"/>
      <c r="F508" s="21"/>
      <c r="G508" s="24"/>
    </row>
    <row r="509" customFormat="false" ht="15" hidden="false" customHeight="false" outlineLevel="0" collapsed="false">
      <c r="A509" s="25"/>
      <c r="B509" s="20"/>
      <c r="C509" s="21"/>
      <c r="D509" s="21"/>
      <c r="E509" s="26"/>
      <c r="F509" s="21"/>
      <c r="G509" s="24"/>
    </row>
    <row r="510" customFormat="false" ht="15" hidden="false" customHeight="false" outlineLevel="0" collapsed="false">
      <c r="A510" s="25"/>
      <c r="B510" s="20"/>
      <c r="C510" s="21"/>
      <c r="D510" s="21"/>
      <c r="E510" s="26"/>
      <c r="F510" s="21"/>
      <c r="G510" s="24"/>
    </row>
    <row r="511" customFormat="false" ht="15" hidden="false" customHeight="false" outlineLevel="0" collapsed="false">
      <c r="A511" s="25"/>
      <c r="B511" s="20"/>
      <c r="C511" s="21"/>
      <c r="D511" s="21"/>
      <c r="E511" s="26"/>
      <c r="F511" s="21"/>
      <c r="G511" s="24"/>
    </row>
    <row r="512" customFormat="false" ht="15" hidden="false" customHeight="false" outlineLevel="0" collapsed="false">
      <c r="A512" s="25"/>
      <c r="B512" s="20"/>
      <c r="C512" s="21"/>
      <c r="D512" s="21"/>
      <c r="E512" s="26"/>
      <c r="F512" s="21"/>
      <c r="G512" s="24"/>
    </row>
    <row r="513" customFormat="false" ht="15" hidden="false" customHeight="false" outlineLevel="0" collapsed="false">
      <c r="A513" s="25"/>
      <c r="B513" s="20"/>
      <c r="C513" s="21"/>
      <c r="D513" s="21"/>
      <c r="E513" s="26"/>
      <c r="F513" s="21"/>
      <c r="G513" s="24"/>
    </row>
    <row r="514" customFormat="false" ht="15" hidden="false" customHeight="false" outlineLevel="0" collapsed="false">
      <c r="A514" s="25"/>
      <c r="B514" s="20"/>
      <c r="C514" s="21"/>
      <c r="D514" s="21"/>
      <c r="E514" s="26"/>
      <c r="F514" s="21"/>
      <c r="G514" s="24"/>
    </row>
    <row r="515" customFormat="false" ht="15" hidden="false" customHeight="false" outlineLevel="0" collapsed="false">
      <c r="A515" s="25"/>
      <c r="B515" s="20"/>
      <c r="C515" s="21"/>
      <c r="D515" s="21"/>
      <c r="E515" s="26"/>
      <c r="F515" s="21"/>
      <c r="G515" s="24"/>
    </row>
    <row r="516" customFormat="false" ht="15" hidden="false" customHeight="false" outlineLevel="0" collapsed="false">
      <c r="A516" s="25"/>
      <c r="B516" s="20"/>
      <c r="C516" s="21"/>
      <c r="D516" s="21"/>
      <c r="E516" s="26"/>
      <c r="F516" s="21"/>
      <c r="G516" s="24"/>
    </row>
    <row r="517" customFormat="false" ht="15" hidden="false" customHeight="false" outlineLevel="0" collapsed="false">
      <c r="A517" s="25"/>
      <c r="B517" s="20"/>
      <c r="C517" s="21"/>
      <c r="D517" s="21"/>
      <c r="E517" s="26"/>
      <c r="F517" s="21"/>
      <c r="G517" s="24"/>
    </row>
    <row r="518" customFormat="false" ht="15" hidden="false" customHeight="false" outlineLevel="0" collapsed="false">
      <c r="A518" s="25"/>
      <c r="B518" s="20"/>
      <c r="C518" s="21"/>
      <c r="D518" s="21"/>
      <c r="E518" s="26"/>
      <c r="F518" s="21"/>
      <c r="G518" s="24"/>
    </row>
    <row r="519" customFormat="false" ht="15" hidden="false" customHeight="false" outlineLevel="0" collapsed="false">
      <c r="A519" s="25"/>
      <c r="B519" s="20"/>
      <c r="C519" s="21"/>
      <c r="D519" s="21"/>
      <c r="E519" s="26"/>
      <c r="F519" s="21"/>
      <c r="G519" s="24"/>
    </row>
    <row r="520" customFormat="false" ht="15" hidden="false" customHeight="false" outlineLevel="0" collapsed="false">
      <c r="A520" s="25"/>
      <c r="B520" s="20"/>
      <c r="C520" s="21"/>
      <c r="D520" s="21"/>
      <c r="E520" s="26"/>
      <c r="F520" s="21"/>
      <c r="G520" s="24"/>
    </row>
    <row r="521" customFormat="false" ht="15" hidden="false" customHeight="false" outlineLevel="0" collapsed="false">
      <c r="A521" s="25"/>
      <c r="B521" s="20"/>
      <c r="C521" s="21"/>
      <c r="D521" s="21"/>
      <c r="E521" s="26"/>
      <c r="F521" s="21"/>
      <c r="G521" s="24"/>
    </row>
    <row r="522" customFormat="false" ht="15" hidden="false" customHeight="false" outlineLevel="0" collapsed="false">
      <c r="A522" s="25"/>
      <c r="B522" s="20"/>
      <c r="C522" s="21"/>
      <c r="D522" s="21"/>
      <c r="E522" s="26"/>
      <c r="F522" s="21"/>
      <c r="G522" s="24"/>
    </row>
    <row r="523" customFormat="false" ht="15" hidden="false" customHeight="false" outlineLevel="0" collapsed="false">
      <c r="A523" s="25"/>
      <c r="B523" s="20"/>
      <c r="C523" s="21"/>
      <c r="D523" s="21"/>
      <c r="E523" s="26"/>
      <c r="F523" s="21"/>
      <c r="G523" s="24"/>
    </row>
    <row r="524" customFormat="false" ht="15" hidden="false" customHeight="false" outlineLevel="0" collapsed="false">
      <c r="A524" s="25"/>
      <c r="B524" s="20"/>
      <c r="C524" s="21"/>
      <c r="D524" s="21"/>
      <c r="E524" s="26"/>
      <c r="F524" s="21"/>
      <c r="G524" s="24"/>
    </row>
    <row r="525" customFormat="false" ht="15" hidden="false" customHeight="false" outlineLevel="0" collapsed="false">
      <c r="A525" s="25"/>
      <c r="B525" s="20"/>
      <c r="C525" s="21"/>
      <c r="D525" s="21"/>
      <c r="E525" s="26"/>
      <c r="F525" s="21"/>
      <c r="G525" s="24"/>
    </row>
    <row r="526" customFormat="false" ht="15" hidden="false" customHeight="false" outlineLevel="0" collapsed="false">
      <c r="A526" s="25"/>
      <c r="B526" s="20"/>
      <c r="C526" s="21"/>
      <c r="D526" s="21"/>
      <c r="E526" s="26"/>
      <c r="F526" s="21"/>
      <c r="G526" s="24"/>
    </row>
    <row r="527" customFormat="false" ht="15" hidden="false" customHeight="false" outlineLevel="0" collapsed="false">
      <c r="A527" s="25"/>
      <c r="B527" s="20"/>
      <c r="C527" s="21"/>
      <c r="D527" s="21"/>
      <c r="E527" s="26"/>
      <c r="F527" s="21"/>
      <c r="G527" s="24"/>
    </row>
    <row r="528" customFormat="false" ht="15" hidden="false" customHeight="false" outlineLevel="0" collapsed="false">
      <c r="A528" s="25"/>
      <c r="B528" s="20"/>
      <c r="C528" s="21"/>
      <c r="D528" s="21"/>
      <c r="E528" s="26"/>
      <c r="F528" s="21"/>
      <c r="G528" s="24"/>
    </row>
    <row r="529" customFormat="false" ht="15" hidden="false" customHeight="false" outlineLevel="0" collapsed="false">
      <c r="A529" s="25"/>
      <c r="B529" s="20"/>
      <c r="C529" s="21"/>
      <c r="D529" s="21"/>
      <c r="E529" s="26"/>
      <c r="F529" s="21"/>
      <c r="G529" s="24"/>
    </row>
    <row r="530" customFormat="false" ht="15" hidden="false" customHeight="false" outlineLevel="0" collapsed="false">
      <c r="A530" s="25"/>
      <c r="B530" s="20"/>
      <c r="C530" s="21"/>
      <c r="D530" s="21"/>
      <c r="E530" s="26"/>
      <c r="F530" s="21"/>
      <c r="G530" s="24"/>
    </row>
    <row r="531" customFormat="false" ht="15" hidden="false" customHeight="false" outlineLevel="0" collapsed="false">
      <c r="A531" s="25"/>
      <c r="B531" s="20"/>
      <c r="C531" s="21"/>
      <c r="D531" s="21"/>
      <c r="E531" s="26"/>
      <c r="F531" s="21"/>
      <c r="G531" s="24"/>
    </row>
    <row r="532" customFormat="false" ht="15" hidden="false" customHeight="false" outlineLevel="0" collapsed="false">
      <c r="A532" s="25"/>
      <c r="B532" s="20"/>
      <c r="C532" s="21"/>
      <c r="D532" s="21"/>
      <c r="E532" s="26"/>
      <c r="F532" s="21"/>
      <c r="G532" s="24"/>
    </row>
    <row r="533" customFormat="false" ht="15" hidden="false" customHeight="false" outlineLevel="0" collapsed="false">
      <c r="A533" s="25"/>
      <c r="B533" s="20"/>
      <c r="C533" s="21"/>
      <c r="D533" s="21"/>
      <c r="E533" s="26"/>
      <c r="F533" s="21"/>
      <c r="G533" s="24"/>
    </row>
    <row r="534" customFormat="false" ht="15" hidden="false" customHeight="false" outlineLevel="0" collapsed="false">
      <c r="A534" s="25"/>
      <c r="B534" s="20"/>
      <c r="C534" s="21"/>
      <c r="D534" s="21"/>
      <c r="E534" s="26"/>
      <c r="F534" s="21"/>
      <c r="G534" s="24"/>
    </row>
    <row r="535" customFormat="false" ht="15" hidden="false" customHeight="false" outlineLevel="0" collapsed="false">
      <c r="A535" s="25"/>
      <c r="B535" s="20"/>
      <c r="C535" s="21"/>
      <c r="D535" s="21"/>
      <c r="E535" s="26"/>
      <c r="F535" s="21"/>
      <c r="G535" s="24"/>
    </row>
    <row r="536" customFormat="false" ht="15" hidden="false" customHeight="false" outlineLevel="0" collapsed="false">
      <c r="A536" s="25"/>
      <c r="B536" s="20"/>
      <c r="C536" s="21"/>
      <c r="D536" s="21"/>
      <c r="E536" s="26"/>
      <c r="F536" s="21"/>
      <c r="G536" s="24"/>
    </row>
    <row r="537" customFormat="false" ht="15" hidden="false" customHeight="false" outlineLevel="0" collapsed="false">
      <c r="A537" s="25"/>
      <c r="B537" s="20"/>
      <c r="C537" s="21"/>
      <c r="D537" s="21"/>
      <c r="E537" s="26"/>
      <c r="F537" s="21"/>
      <c r="G537" s="24"/>
    </row>
    <row r="538" customFormat="false" ht="15" hidden="false" customHeight="false" outlineLevel="0" collapsed="false">
      <c r="A538" s="25"/>
      <c r="B538" s="20"/>
      <c r="C538" s="21"/>
      <c r="D538" s="21"/>
      <c r="E538" s="26"/>
      <c r="F538" s="21"/>
      <c r="G538" s="24"/>
    </row>
    <row r="539" customFormat="false" ht="15" hidden="false" customHeight="false" outlineLevel="0" collapsed="false">
      <c r="A539" s="25"/>
      <c r="B539" s="20"/>
      <c r="C539" s="21"/>
      <c r="D539" s="21"/>
      <c r="E539" s="26"/>
      <c r="F539" s="21"/>
      <c r="G539" s="24"/>
    </row>
    <row r="540" customFormat="false" ht="15" hidden="false" customHeight="false" outlineLevel="0" collapsed="false">
      <c r="A540" s="25"/>
      <c r="B540" s="20"/>
      <c r="C540" s="21"/>
      <c r="D540" s="21"/>
      <c r="E540" s="26"/>
      <c r="F540" s="21"/>
      <c r="G540" s="24"/>
    </row>
    <row r="541" customFormat="false" ht="15" hidden="false" customHeight="false" outlineLevel="0" collapsed="false">
      <c r="A541" s="25"/>
      <c r="B541" s="20"/>
      <c r="C541" s="21"/>
      <c r="D541" s="21"/>
      <c r="E541" s="26"/>
      <c r="F541" s="21"/>
      <c r="G541" s="24"/>
    </row>
    <row r="542" customFormat="false" ht="15" hidden="false" customHeight="false" outlineLevel="0" collapsed="false">
      <c r="A542" s="25"/>
      <c r="B542" s="20"/>
      <c r="C542" s="21"/>
      <c r="D542" s="21"/>
      <c r="E542" s="26"/>
      <c r="F542" s="21"/>
      <c r="G542" s="24"/>
    </row>
    <row r="543" customFormat="false" ht="15" hidden="false" customHeight="false" outlineLevel="0" collapsed="false">
      <c r="A543" s="25"/>
      <c r="B543" s="20"/>
      <c r="C543" s="21"/>
      <c r="D543" s="21"/>
      <c r="E543" s="26"/>
      <c r="F543" s="21"/>
      <c r="G543" s="24"/>
    </row>
    <row r="544" customFormat="false" ht="15" hidden="false" customHeight="false" outlineLevel="0" collapsed="false">
      <c r="A544" s="25"/>
      <c r="B544" s="20"/>
      <c r="C544" s="21"/>
      <c r="D544" s="21"/>
      <c r="E544" s="26"/>
      <c r="F544" s="21"/>
      <c r="G544" s="24"/>
    </row>
    <row r="545" customFormat="false" ht="15" hidden="false" customHeight="false" outlineLevel="0" collapsed="false">
      <c r="A545" s="25"/>
      <c r="B545" s="20"/>
      <c r="C545" s="21"/>
      <c r="D545" s="21"/>
      <c r="E545" s="26"/>
      <c r="F545" s="21"/>
      <c r="G545" s="24"/>
    </row>
    <row r="546" customFormat="false" ht="15" hidden="false" customHeight="false" outlineLevel="0" collapsed="false">
      <c r="A546" s="25"/>
      <c r="B546" s="20"/>
      <c r="C546" s="21"/>
      <c r="D546" s="21"/>
      <c r="E546" s="26"/>
      <c r="F546" s="21"/>
      <c r="G546" s="24"/>
    </row>
    <row r="547" customFormat="false" ht="15" hidden="false" customHeight="false" outlineLevel="0" collapsed="false">
      <c r="A547" s="25"/>
      <c r="B547" s="20"/>
      <c r="C547" s="21"/>
      <c r="D547" s="21"/>
      <c r="E547" s="26"/>
      <c r="F547" s="21"/>
      <c r="G547" s="24"/>
    </row>
    <row r="548" customFormat="false" ht="15" hidden="false" customHeight="false" outlineLevel="0" collapsed="false">
      <c r="A548" s="25"/>
      <c r="B548" s="20"/>
      <c r="C548" s="21"/>
      <c r="D548" s="21"/>
      <c r="E548" s="26"/>
      <c r="F548" s="21"/>
      <c r="G548" s="24"/>
    </row>
    <row r="549" customFormat="false" ht="15" hidden="false" customHeight="false" outlineLevel="0" collapsed="false">
      <c r="A549" s="25"/>
      <c r="B549" s="20"/>
      <c r="C549" s="21"/>
      <c r="D549" s="21"/>
      <c r="E549" s="26"/>
      <c r="F549" s="21"/>
      <c r="G549" s="24"/>
    </row>
    <row r="550" customFormat="false" ht="15" hidden="false" customHeight="false" outlineLevel="0" collapsed="false">
      <c r="A550" s="25"/>
      <c r="B550" s="20"/>
      <c r="C550" s="21"/>
      <c r="D550" s="21"/>
      <c r="E550" s="26"/>
      <c r="F550" s="21"/>
      <c r="G550" s="24"/>
    </row>
    <row r="551" customFormat="false" ht="15" hidden="false" customHeight="false" outlineLevel="0" collapsed="false">
      <c r="A551" s="25"/>
      <c r="B551" s="20"/>
      <c r="C551" s="21"/>
      <c r="D551" s="21"/>
      <c r="E551" s="26"/>
      <c r="F551" s="21"/>
      <c r="G551" s="24"/>
    </row>
    <row r="552" customFormat="false" ht="15" hidden="false" customHeight="false" outlineLevel="0" collapsed="false">
      <c r="A552" s="25"/>
      <c r="B552" s="20"/>
      <c r="C552" s="21"/>
      <c r="D552" s="21"/>
      <c r="E552" s="26"/>
      <c r="F552" s="21"/>
      <c r="G552" s="24"/>
    </row>
    <row r="553" customFormat="false" ht="15" hidden="false" customHeight="false" outlineLevel="0" collapsed="false">
      <c r="A553" s="25"/>
      <c r="B553" s="20"/>
      <c r="C553" s="21"/>
      <c r="D553" s="21"/>
      <c r="E553" s="26"/>
      <c r="F553" s="21"/>
      <c r="G553" s="24"/>
    </row>
    <row r="554" customFormat="false" ht="15" hidden="false" customHeight="false" outlineLevel="0" collapsed="false">
      <c r="A554" s="25"/>
      <c r="B554" s="20"/>
      <c r="C554" s="21"/>
      <c r="D554" s="21"/>
      <c r="E554" s="26"/>
      <c r="F554" s="21"/>
      <c r="G554" s="24"/>
    </row>
    <row r="555" customFormat="false" ht="15" hidden="false" customHeight="false" outlineLevel="0" collapsed="false">
      <c r="A555" s="25"/>
      <c r="B555" s="20"/>
      <c r="C555" s="21"/>
      <c r="D555" s="21"/>
      <c r="E555" s="26"/>
      <c r="F555" s="21"/>
      <c r="G555" s="24"/>
    </row>
    <row r="556" customFormat="false" ht="15" hidden="false" customHeight="false" outlineLevel="0" collapsed="false">
      <c r="A556" s="25"/>
      <c r="B556" s="20"/>
      <c r="C556" s="21"/>
      <c r="D556" s="21"/>
      <c r="E556" s="26"/>
      <c r="F556" s="21"/>
      <c r="G556" s="24"/>
    </row>
    <row r="557" customFormat="false" ht="15" hidden="false" customHeight="false" outlineLevel="0" collapsed="false">
      <c r="A557" s="25"/>
      <c r="B557" s="20"/>
      <c r="C557" s="21"/>
      <c r="D557" s="21"/>
      <c r="E557" s="26"/>
      <c r="F557" s="21"/>
      <c r="G557" s="24"/>
    </row>
    <row r="558" customFormat="false" ht="15" hidden="false" customHeight="false" outlineLevel="0" collapsed="false">
      <c r="A558" s="25"/>
      <c r="B558" s="20"/>
      <c r="C558" s="21"/>
      <c r="D558" s="21"/>
      <c r="E558" s="26"/>
      <c r="F558" s="21"/>
      <c r="G558" s="24"/>
    </row>
    <row r="559" customFormat="false" ht="15" hidden="false" customHeight="false" outlineLevel="0" collapsed="false">
      <c r="A559" s="25"/>
      <c r="B559" s="20"/>
      <c r="C559" s="21"/>
      <c r="D559" s="21"/>
      <c r="E559" s="26"/>
      <c r="F559" s="21"/>
      <c r="G559" s="24"/>
    </row>
    <row r="560" customFormat="false" ht="15" hidden="false" customHeight="false" outlineLevel="0" collapsed="false">
      <c r="A560" s="25"/>
      <c r="B560" s="20"/>
      <c r="C560" s="21"/>
      <c r="D560" s="21"/>
      <c r="E560" s="26"/>
      <c r="F560" s="21"/>
      <c r="G560" s="24"/>
    </row>
    <row r="561" customFormat="false" ht="15" hidden="false" customHeight="false" outlineLevel="0" collapsed="false">
      <c r="A561" s="25"/>
      <c r="B561" s="20"/>
      <c r="C561" s="21"/>
      <c r="D561" s="21"/>
      <c r="E561" s="26"/>
      <c r="F561" s="21"/>
      <c r="G561" s="24"/>
    </row>
    <row r="562" customFormat="false" ht="15" hidden="false" customHeight="false" outlineLevel="0" collapsed="false">
      <c r="A562" s="25"/>
      <c r="B562" s="20"/>
      <c r="C562" s="21"/>
      <c r="D562" s="21"/>
      <c r="E562" s="26"/>
      <c r="F562" s="21"/>
      <c r="G562" s="24"/>
    </row>
    <row r="563" customFormat="false" ht="15" hidden="false" customHeight="false" outlineLevel="0" collapsed="false">
      <c r="A563" s="25"/>
      <c r="B563" s="20"/>
      <c r="C563" s="21"/>
      <c r="D563" s="21"/>
      <c r="E563" s="26"/>
      <c r="F563" s="21"/>
      <c r="G563" s="24"/>
    </row>
    <row r="564" customFormat="false" ht="15" hidden="false" customHeight="false" outlineLevel="0" collapsed="false">
      <c r="A564" s="25"/>
      <c r="B564" s="20"/>
      <c r="C564" s="21"/>
      <c r="D564" s="21"/>
      <c r="E564" s="26"/>
      <c r="F564" s="21"/>
      <c r="G564" s="24"/>
    </row>
    <row r="565" customFormat="false" ht="15" hidden="false" customHeight="false" outlineLevel="0" collapsed="false">
      <c r="A565" s="25"/>
      <c r="B565" s="20"/>
      <c r="C565" s="21"/>
      <c r="D565" s="21"/>
      <c r="E565" s="26"/>
      <c r="F565" s="21"/>
      <c r="G565" s="24"/>
    </row>
    <row r="566" customFormat="false" ht="15" hidden="false" customHeight="false" outlineLevel="0" collapsed="false">
      <c r="A566" s="25"/>
      <c r="B566" s="20"/>
      <c r="C566" s="21"/>
      <c r="D566" s="21"/>
      <c r="E566" s="26"/>
      <c r="F566" s="21"/>
      <c r="G566" s="24"/>
    </row>
    <row r="567" customFormat="false" ht="15" hidden="false" customHeight="false" outlineLevel="0" collapsed="false">
      <c r="A567" s="25"/>
      <c r="B567" s="20"/>
      <c r="C567" s="21"/>
      <c r="D567" s="21"/>
      <c r="E567" s="26"/>
      <c r="F567" s="21"/>
      <c r="G567" s="24"/>
    </row>
    <row r="568" customFormat="false" ht="15" hidden="false" customHeight="false" outlineLevel="0" collapsed="false">
      <c r="A568" s="25"/>
      <c r="B568" s="20"/>
      <c r="C568" s="21"/>
      <c r="D568" s="21"/>
      <c r="E568" s="26"/>
      <c r="F568" s="21"/>
      <c r="G568" s="24"/>
    </row>
    <row r="569" customFormat="false" ht="15" hidden="false" customHeight="false" outlineLevel="0" collapsed="false">
      <c r="A569" s="25"/>
      <c r="B569" s="20"/>
      <c r="C569" s="21"/>
      <c r="D569" s="21"/>
      <c r="E569" s="26"/>
      <c r="F569" s="21"/>
      <c r="G569" s="24"/>
    </row>
    <row r="570" customFormat="false" ht="15" hidden="false" customHeight="false" outlineLevel="0" collapsed="false">
      <c r="A570" s="25"/>
      <c r="B570" s="20"/>
      <c r="C570" s="21"/>
      <c r="D570" s="21"/>
      <c r="E570" s="26"/>
      <c r="F570" s="21"/>
      <c r="G570" s="24"/>
    </row>
    <row r="571" customFormat="false" ht="15" hidden="false" customHeight="false" outlineLevel="0" collapsed="false">
      <c r="A571" s="25"/>
      <c r="B571" s="20"/>
      <c r="C571" s="21"/>
      <c r="D571" s="21"/>
      <c r="E571" s="26"/>
      <c r="F571" s="21"/>
      <c r="G571" s="24"/>
    </row>
    <row r="572" customFormat="false" ht="15" hidden="false" customHeight="false" outlineLevel="0" collapsed="false">
      <c r="A572" s="25"/>
      <c r="B572" s="20"/>
      <c r="C572" s="21"/>
      <c r="D572" s="21"/>
      <c r="E572" s="26"/>
      <c r="F572" s="21"/>
      <c r="G572" s="24"/>
    </row>
    <row r="573" customFormat="false" ht="15" hidden="false" customHeight="false" outlineLevel="0" collapsed="false">
      <c r="A573" s="25"/>
      <c r="B573" s="20"/>
      <c r="C573" s="21"/>
      <c r="D573" s="21"/>
      <c r="E573" s="26"/>
      <c r="F573" s="21"/>
      <c r="G573" s="24"/>
    </row>
    <row r="574" customFormat="false" ht="15" hidden="false" customHeight="false" outlineLevel="0" collapsed="false">
      <c r="A574" s="25"/>
      <c r="B574" s="20"/>
      <c r="C574" s="21"/>
      <c r="D574" s="21"/>
      <c r="E574" s="26"/>
      <c r="F574" s="21"/>
      <c r="G574" s="24"/>
    </row>
    <row r="575" customFormat="false" ht="15" hidden="false" customHeight="false" outlineLevel="0" collapsed="false">
      <c r="A575" s="25"/>
      <c r="B575" s="20"/>
      <c r="C575" s="21"/>
      <c r="D575" s="21"/>
      <c r="E575" s="26"/>
      <c r="F575" s="21"/>
      <c r="G575" s="24"/>
    </row>
    <row r="576" customFormat="false" ht="15" hidden="false" customHeight="false" outlineLevel="0" collapsed="false">
      <c r="A576" s="25"/>
      <c r="B576" s="20"/>
      <c r="C576" s="21"/>
      <c r="D576" s="21"/>
      <c r="E576" s="26"/>
      <c r="F576" s="21"/>
      <c r="G576" s="24"/>
    </row>
    <row r="577" customFormat="false" ht="15" hidden="false" customHeight="false" outlineLevel="0" collapsed="false">
      <c r="A577" s="25"/>
      <c r="B577" s="20"/>
      <c r="C577" s="21"/>
      <c r="D577" s="21"/>
      <c r="E577" s="26"/>
      <c r="F577" s="21"/>
      <c r="G577" s="24"/>
    </row>
    <row r="578" customFormat="false" ht="15" hidden="false" customHeight="false" outlineLevel="0" collapsed="false">
      <c r="A578" s="25"/>
      <c r="B578" s="20"/>
      <c r="C578" s="21"/>
      <c r="D578" s="21"/>
      <c r="E578" s="26"/>
      <c r="F578" s="21"/>
      <c r="G578" s="24"/>
    </row>
    <row r="579" customFormat="false" ht="15" hidden="false" customHeight="false" outlineLevel="0" collapsed="false">
      <c r="A579" s="25"/>
      <c r="B579" s="20"/>
      <c r="C579" s="21"/>
      <c r="D579" s="21"/>
      <c r="E579" s="26"/>
      <c r="F579" s="21"/>
      <c r="G579" s="24"/>
    </row>
    <row r="580" customFormat="false" ht="15" hidden="false" customHeight="false" outlineLevel="0" collapsed="false">
      <c r="A580" s="25"/>
      <c r="B580" s="20"/>
      <c r="C580" s="21"/>
      <c r="D580" s="21"/>
      <c r="E580" s="26"/>
      <c r="F580" s="21"/>
      <c r="G580" s="24"/>
    </row>
    <row r="581" customFormat="false" ht="15" hidden="false" customHeight="false" outlineLevel="0" collapsed="false">
      <c r="A581" s="25"/>
      <c r="B581" s="20"/>
      <c r="C581" s="21"/>
      <c r="D581" s="21"/>
      <c r="E581" s="26"/>
      <c r="F581" s="21"/>
      <c r="G581" s="24"/>
    </row>
    <row r="582" customFormat="false" ht="15" hidden="false" customHeight="false" outlineLevel="0" collapsed="false">
      <c r="A582" s="25"/>
      <c r="B582" s="20"/>
      <c r="C582" s="21"/>
      <c r="D582" s="21"/>
      <c r="E582" s="26"/>
      <c r="F582" s="21"/>
      <c r="G582" s="24"/>
    </row>
    <row r="583" customFormat="false" ht="15" hidden="false" customHeight="false" outlineLevel="0" collapsed="false">
      <c r="A583" s="25"/>
      <c r="B583" s="20"/>
      <c r="C583" s="21"/>
      <c r="D583" s="21"/>
      <c r="E583" s="26"/>
      <c r="F583" s="21"/>
      <c r="G583" s="24"/>
    </row>
    <row r="584" customFormat="false" ht="15" hidden="false" customHeight="false" outlineLevel="0" collapsed="false">
      <c r="A584" s="25"/>
      <c r="B584" s="20"/>
      <c r="C584" s="21"/>
      <c r="D584" s="21"/>
      <c r="E584" s="26"/>
      <c r="F584" s="21"/>
      <c r="G584" s="24"/>
    </row>
    <row r="585" customFormat="false" ht="15" hidden="false" customHeight="false" outlineLevel="0" collapsed="false">
      <c r="A585" s="25"/>
      <c r="B585" s="20"/>
      <c r="C585" s="21"/>
      <c r="D585" s="21"/>
      <c r="E585" s="26"/>
      <c r="F585" s="21"/>
      <c r="G585" s="24"/>
    </row>
    <row r="586" customFormat="false" ht="15" hidden="false" customHeight="false" outlineLevel="0" collapsed="false">
      <c r="A586" s="25"/>
      <c r="B586" s="20"/>
      <c r="C586" s="21"/>
      <c r="D586" s="21"/>
      <c r="E586" s="26"/>
      <c r="F586" s="21"/>
      <c r="G586" s="24"/>
    </row>
    <row r="587" customFormat="false" ht="15" hidden="false" customHeight="false" outlineLevel="0" collapsed="false">
      <c r="A587" s="25"/>
      <c r="B587" s="20"/>
      <c r="C587" s="21"/>
      <c r="D587" s="21"/>
      <c r="E587" s="26"/>
      <c r="F587" s="21"/>
      <c r="G587" s="24"/>
    </row>
    <row r="588" customFormat="false" ht="15" hidden="false" customHeight="false" outlineLevel="0" collapsed="false">
      <c r="A588" s="25"/>
      <c r="B588" s="20"/>
      <c r="C588" s="21"/>
      <c r="D588" s="21"/>
      <c r="E588" s="26"/>
      <c r="F588" s="21"/>
      <c r="G588" s="24"/>
    </row>
    <row r="589" customFormat="false" ht="15" hidden="false" customHeight="false" outlineLevel="0" collapsed="false">
      <c r="A589" s="25"/>
      <c r="B589" s="20"/>
      <c r="C589" s="21"/>
      <c r="D589" s="21"/>
      <c r="E589" s="26"/>
      <c r="F589" s="21"/>
      <c r="G589" s="24"/>
    </row>
    <row r="590" customFormat="false" ht="15" hidden="false" customHeight="false" outlineLevel="0" collapsed="false">
      <c r="A590" s="25"/>
      <c r="B590" s="20"/>
      <c r="C590" s="21"/>
      <c r="D590" s="21"/>
      <c r="E590" s="26"/>
      <c r="F590" s="21"/>
      <c r="G590" s="24"/>
    </row>
    <row r="591" customFormat="false" ht="15" hidden="false" customHeight="false" outlineLevel="0" collapsed="false">
      <c r="A591" s="25"/>
      <c r="B591" s="20"/>
      <c r="C591" s="21"/>
      <c r="D591" s="21"/>
      <c r="E591" s="26"/>
      <c r="F591" s="21"/>
      <c r="G591" s="24"/>
    </row>
    <row r="592" customFormat="false" ht="15" hidden="false" customHeight="false" outlineLevel="0" collapsed="false">
      <c r="A592" s="25"/>
      <c r="B592" s="20"/>
      <c r="C592" s="21"/>
      <c r="D592" s="21"/>
      <c r="E592" s="26"/>
      <c r="F592" s="21"/>
      <c r="G592" s="24"/>
    </row>
    <row r="593" customFormat="false" ht="15" hidden="false" customHeight="false" outlineLevel="0" collapsed="false">
      <c r="A593" s="25"/>
      <c r="B593" s="20"/>
      <c r="C593" s="21"/>
      <c r="D593" s="21"/>
      <c r="E593" s="26"/>
      <c r="F593" s="21"/>
      <c r="G593" s="24"/>
    </row>
    <row r="594" customFormat="false" ht="15" hidden="false" customHeight="false" outlineLevel="0" collapsed="false">
      <c r="A594" s="25"/>
      <c r="B594" s="20"/>
      <c r="C594" s="21"/>
      <c r="D594" s="21"/>
      <c r="E594" s="26"/>
      <c r="F594" s="21"/>
      <c r="G594" s="24"/>
    </row>
    <row r="595" customFormat="false" ht="15" hidden="false" customHeight="false" outlineLevel="0" collapsed="false">
      <c r="A595" s="25"/>
      <c r="B595" s="20"/>
      <c r="C595" s="21"/>
      <c r="D595" s="21"/>
      <c r="E595" s="26"/>
      <c r="F595" s="21"/>
      <c r="G595" s="24"/>
    </row>
    <row r="596" customFormat="false" ht="15" hidden="false" customHeight="false" outlineLevel="0" collapsed="false">
      <c r="A596" s="25"/>
      <c r="B596" s="20"/>
      <c r="C596" s="21"/>
      <c r="D596" s="21"/>
      <c r="E596" s="26"/>
      <c r="F596" s="21"/>
      <c r="G596" s="24"/>
    </row>
    <row r="597" customFormat="false" ht="15" hidden="false" customHeight="false" outlineLevel="0" collapsed="false">
      <c r="A597" s="25"/>
      <c r="B597" s="20"/>
      <c r="C597" s="21"/>
      <c r="D597" s="21"/>
      <c r="E597" s="26"/>
      <c r="F597" s="21"/>
      <c r="G597" s="24"/>
    </row>
    <row r="598" customFormat="false" ht="15" hidden="false" customHeight="false" outlineLevel="0" collapsed="false">
      <c r="A598" s="25"/>
      <c r="B598" s="20"/>
      <c r="C598" s="21"/>
      <c r="D598" s="21"/>
      <c r="E598" s="26"/>
      <c r="F598" s="21"/>
      <c r="G598" s="24"/>
    </row>
    <row r="599" customFormat="false" ht="15" hidden="false" customHeight="false" outlineLevel="0" collapsed="false">
      <c r="A599" s="25"/>
      <c r="B599" s="20"/>
      <c r="C599" s="21"/>
      <c r="D599" s="21"/>
      <c r="E599" s="26"/>
      <c r="F599" s="21"/>
      <c r="G599" s="24"/>
    </row>
    <row r="600" customFormat="false" ht="15" hidden="false" customHeight="false" outlineLevel="0" collapsed="false">
      <c r="A600" s="25"/>
      <c r="B600" s="20"/>
      <c r="C600" s="21"/>
      <c r="D600" s="21"/>
      <c r="E600" s="26"/>
      <c r="F600" s="21"/>
      <c r="G600" s="24"/>
    </row>
    <row r="601" customFormat="false" ht="15" hidden="false" customHeight="false" outlineLevel="0" collapsed="false">
      <c r="A601" s="25"/>
      <c r="B601" s="20"/>
      <c r="C601" s="21"/>
      <c r="D601" s="21"/>
      <c r="E601" s="26"/>
      <c r="F601" s="21"/>
      <c r="G601" s="24"/>
    </row>
    <row r="602" customFormat="false" ht="15" hidden="false" customHeight="false" outlineLevel="0" collapsed="false">
      <c r="A602" s="25"/>
      <c r="B602" s="20"/>
      <c r="C602" s="21"/>
      <c r="D602" s="21"/>
      <c r="E602" s="26"/>
      <c r="F602" s="21"/>
      <c r="G602" s="24"/>
    </row>
    <row r="603" customFormat="false" ht="15" hidden="false" customHeight="false" outlineLevel="0" collapsed="false">
      <c r="A603" s="25"/>
      <c r="B603" s="20"/>
      <c r="C603" s="21"/>
      <c r="D603" s="21"/>
      <c r="E603" s="26"/>
      <c r="F603" s="21"/>
      <c r="G603" s="24"/>
    </row>
    <row r="604" customFormat="false" ht="15" hidden="false" customHeight="false" outlineLevel="0" collapsed="false">
      <c r="A604" s="25"/>
      <c r="B604" s="20"/>
      <c r="C604" s="21"/>
      <c r="D604" s="21"/>
      <c r="E604" s="26"/>
      <c r="F604" s="21"/>
      <c r="G604" s="24"/>
    </row>
    <row r="605" customFormat="false" ht="15" hidden="false" customHeight="false" outlineLevel="0" collapsed="false">
      <c r="A605" s="25"/>
      <c r="B605" s="20"/>
      <c r="C605" s="21"/>
      <c r="D605" s="21"/>
      <c r="E605" s="26"/>
      <c r="F605" s="21"/>
      <c r="G605" s="24"/>
    </row>
    <row r="606" customFormat="false" ht="15" hidden="false" customHeight="false" outlineLevel="0" collapsed="false">
      <c r="A606" s="25"/>
      <c r="B606" s="20"/>
      <c r="C606" s="21"/>
      <c r="D606" s="21"/>
      <c r="E606" s="26"/>
      <c r="F606" s="21"/>
      <c r="G606" s="24"/>
    </row>
    <row r="607" customFormat="false" ht="15" hidden="false" customHeight="false" outlineLevel="0" collapsed="false">
      <c r="A607" s="25"/>
      <c r="B607" s="20"/>
      <c r="C607" s="21"/>
      <c r="D607" s="21"/>
      <c r="E607" s="26"/>
      <c r="F607" s="21"/>
      <c r="G607" s="24"/>
    </row>
    <row r="608" customFormat="false" ht="15" hidden="false" customHeight="false" outlineLevel="0" collapsed="false">
      <c r="A608" s="25"/>
      <c r="B608" s="20"/>
      <c r="C608" s="21"/>
      <c r="D608" s="21"/>
      <c r="E608" s="26"/>
      <c r="F608" s="21"/>
      <c r="G608" s="24"/>
    </row>
    <row r="609" customFormat="false" ht="15" hidden="false" customHeight="false" outlineLevel="0" collapsed="false">
      <c r="A609" s="25"/>
      <c r="B609" s="20"/>
      <c r="C609" s="21"/>
      <c r="D609" s="21"/>
      <c r="E609" s="26"/>
      <c r="F609" s="21"/>
      <c r="G609" s="24"/>
    </row>
    <row r="610" customFormat="false" ht="15" hidden="false" customHeight="false" outlineLevel="0" collapsed="false">
      <c r="A610" s="25"/>
      <c r="B610" s="20"/>
      <c r="C610" s="21"/>
      <c r="D610" s="21"/>
      <c r="E610" s="26"/>
      <c r="F610" s="21"/>
      <c r="G610" s="24"/>
    </row>
    <row r="611" customFormat="false" ht="15" hidden="false" customHeight="false" outlineLevel="0" collapsed="false">
      <c r="A611" s="25"/>
      <c r="B611" s="20"/>
      <c r="C611" s="21"/>
      <c r="D611" s="21"/>
      <c r="E611" s="26"/>
      <c r="F611" s="21"/>
      <c r="G611" s="24"/>
    </row>
    <row r="612" customFormat="false" ht="15" hidden="false" customHeight="false" outlineLevel="0" collapsed="false">
      <c r="A612" s="25"/>
      <c r="B612" s="20"/>
      <c r="C612" s="21"/>
      <c r="D612" s="21"/>
      <c r="E612" s="26"/>
      <c r="F612" s="21"/>
      <c r="G612" s="24"/>
    </row>
    <row r="613" customFormat="false" ht="15" hidden="false" customHeight="false" outlineLevel="0" collapsed="false">
      <c r="A613" s="25"/>
      <c r="B613" s="20"/>
      <c r="C613" s="21"/>
      <c r="D613" s="21"/>
      <c r="E613" s="26"/>
      <c r="F613" s="21"/>
      <c r="G613" s="24"/>
    </row>
    <row r="614" customFormat="false" ht="15" hidden="false" customHeight="false" outlineLevel="0" collapsed="false">
      <c r="A614" s="25"/>
      <c r="B614" s="20"/>
      <c r="C614" s="21"/>
      <c r="D614" s="21"/>
      <c r="E614" s="26"/>
      <c r="F614" s="21"/>
      <c r="G614" s="24"/>
    </row>
    <row r="615" customFormat="false" ht="15" hidden="false" customHeight="false" outlineLevel="0" collapsed="false">
      <c r="A615" s="25"/>
      <c r="B615" s="20"/>
      <c r="C615" s="21"/>
      <c r="D615" s="21"/>
      <c r="E615" s="26"/>
      <c r="F615" s="21"/>
      <c r="G615" s="24"/>
    </row>
    <row r="616" customFormat="false" ht="15" hidden="false" customHeight="false" outlineLevel="0" collapsed="false">
      <c r="A616" s="25"/>
      <c r="B616" s="20"/>
      <c r="C616" s="21"/>
      <c r="D616" s="21"/>
      <c r="E616" s="26"/>
      <c r="F616" s="21"/>
      <c r="G616" s="24"/>
    </row>
    <row r="617" customFormat="false" ht="15" hidden="false" customHeight="false" outlineLevel="0" collapsed="false">
      <c r="A617" s="25"/>
      <c r="B617" s="20"/>
      <c r="C617" s="21"/>
      <c r="D617" s="21"/>
      <c r="E617" s="26"/>
      <c r="F617" s="21"/>
      <c r="G617" s="24"/>
    </row>
    <row r="618" customFormat="false" ht="15" hidden="false" customHeight="false" outlineLevel="0" collapsed="false">
      <c r="A618" s="25"/>
      <c r="B618" s="20"/>
      <c r="C618" s="21"/>
      <c r="D618" s="21"/>
      <c r="E618" s="26"/>
      <c r="F618" s="21"/>
      <c r="G618" s="24"/>
    </row>
    <row r="619" customFormat="false" ht="15" hidden="false" customHeight="false" outlineLevel="0" collapsed="false">
      <c r="A619" s="25"/>
      <c r="B619" s="20"/>
      <c r="C619" s="21"/>
      <c r="D619" s="21"/>
      <c r="E619" s="26"/>
      <c r="F619" s="21"/>
      <c r="G619" s="24"/>
    </row>
    <row r="620" customFormat="false" ht="15" hidden="false" customHeight="false" outlineLevel="0" collapsed="false">
      <c r="A620" s="25"/>
      <c r="B620" s="20"/>
      <c r="C620" s="21"/>
      <c r="D620" s="21"/>
      <c r="E620" s="26"/>
      <c r="F620" s="21"/>
      <c r="G620" s="24"/>
    </row>
    <row r="621" customFormat="false" ht="15" hidden="false" customHeight="false" outlineLevel="0" collapsed="false">
      <c r="A621" s="25"/>
      <c r="B621" s="20"/>
      <c r="C621" s="21"/>
      <c r="D621" s="21"/>
      <c r="E621" s="26"/>
      <c r="F621" s="21"/>
      <c r="G621" s="24"/>
    </row>
    <row r="622" customFormat="false" ht="15" hidden="false" customHeight="false" outlineLevel="0" collapsed="false">
      <c r="A622" s="25"/>
      <c r="B622" s="20"/>
      <c r="C622" s="21"/>
      <c r="D622" s="21"/>
      <c r="E622" s="26"/>
      <c r="F622" s="21"/>
      <c r="G622" s="24"/>
    </row>
    <row r="623" customFormat="false" ht="15" hidden="false" customHeight="false" outlineLevel="0" collapsed="false">
      <c r="A623" s="25"/>
      <c r="B623" s="20"/>
      <c r="C623" s="21"/>
      <c r="D623" s="21"/>
      <c r="E623" s="26"/>
      <c r="F623" s="21"/>
      <c r="G623" s="24"/>
    </row>
    <row r="624" customFormat="false" ht="15" hidden="false" customHeight="false" outlineLevel="0" collapsed="false">
      <c r="A624" s="25"/>
      <c r="B624" s="20"/>
      <c r="C624" s="21"/>
      <c r="D624" s="21"/>
      <c r="E624" s="26"/>
      <c r="F624" s="21"/>
      <c r="G624" s="24"/>
    </row>
    <row r="625" customFormat="false" ht="15" hidden="false" customHeight="false" outlineLevel="0" collapsed="false">
      <c r="A625" s="25"/>
      <c r="B625" s="20"/>
      <c r="C625" s="21"/>
      <c r="D625" s="21"/>
      <c r="E625" s="26"/>
      <c r="F625" s="21"/>
      <c r="G625" s="24"/>
    </row>
    <row r="626" customFormat="false" ht="15" hidden="false" customHeight="false" outlineLevel="0" collapsed="false">
      <c r="A626" s="25"/>
      <c r="B626" s="20"/>
      <c r="C626" s="21"/>
      <c r="D626" s="21"/>
      <c r="E626" s="26"/>
      <c r="F626" s="21"/>
      <c r="G626" s="24"/>
    </row>
    <row r="627" customFormat="false" ht="15" hidden="false" customHeight="false" outlineLevel="0" collapsed="false">
      <c r="A627" s="25"/>
      <c r="B627" s="20"/>
      <c r="C627" s="21"/>
      <c r="D627" s="21"/>
      <c r="E627" s="26"/>
      <c r="F627" s="21"/>
      <c r="G627" s="24"/>
    </row>
    <row r="628" customFormat="false" ht="15" hidden="false" customHeight="false" outlineLevel="0" collapsed="false">
      <c r="A628" s="25"/>
      <c r="B628" s="20"/>
      <c r="C628" s="21"/>
      <c r="D628" s="21"/>
      <c r="E628" s="26"/>
      <c r="F628" s="21"/>
      <c r="G628" s="24"/>
    </row>
    <row r="629" customFormat="false" ht="15" hidden="false" customHeight="false" outlineLevel="0" collapsed="false">
      <c r="A629" s="25"/>
      <c r="B629" s="20"/>
      <c r="C629" s="21"/>
      <c r="D629" s="21"/>
      <c r="E629" s="26"/>
      <c r="F629" s="21"/>
      <c r="G629" s="24"/>
    </row>
    <row r="630" customFormat="false" ht="15" hidden="false" customHeight="false" outlineLevel="0" collapsed="false">
      <c r="A630" s="25"/>
      <c r="B630" s="20"/>
      <c r="C630" s="21"/>
      <c r="D630" s="21"/>
      <c r="E630" s="26"/>
      <c r="F630" s="21"/>
      <c r="G630" s="24"/>
    </row>
    <row r="631" customFormat="false" ht="15" hidden="false" customHeight="false" outlineLevel="0" collapsed="false">
      <c r="A631" s="25"/>
      <c r="B631" s="20"/>
      <c r="C631" s="21"/>
      <c r="D631" s="21"/>
      <c r="E631" s="26"/>
      <c r="F631" s="21"/>
      <c r="G631" s="24"/>
    </row>
    <row r="632" customFormat="false" ht="15" hidden="false" customHeight="false" outlineLevel="0" collapsed="false">
      <c r="A632" s="25"/>
      <c r="B632" s="20"/>
      <c r="C632" s="21"/>
      <c r="D632" s="21"/>
      <c r="E632" s="26"/>
      <c r="F632" s="21"/>
      <c r="G632" s="24"/>
    </row>
    <row r="633" customFormat="false" ht="15" hidden="false" customHeight="false" outlineLevel="0" collapsed="false">
      <c r="A633" s="25"/>
      <c r="B633" s="20"/>
      <c r="C633" s="21"/>
      <c r="D633" s="21"/>
      <c r="E633" s="26"/>
      <c r="F633" s="21"/>
      <c r="G633" s="24"/>
    </row>
    <row r="634" customFormat="false" ht="15" hidden="false" customHeight="false" outlineLevel="0" collapsed="false">
      <c r="A634" s="25"/>
      <c r="B634" s="20"/>
      <c r="C634" s="21"/>
      <c r="D634" s="21"/>
      <c r="E634" s="26"/>
      <c r="F634" s="21"/>
      <c r="G634" s="24"/>
    </row>
    <row r="635" customFormat="false" ht="15" hidden="false" customHeight="false" outlineLevel="0" collapsed="false">
      <c r="A635" s="25"/>
      <c r="B635" s="20"/>
      <c r="C635" s="21"/>
      <c r="D635" s="21"/>
      <c r="E635" s="26"/>
      <c r="F635" s="21"/>
      <c r="G635" s="24"/>
    </row>
    <row r="636" customFormat="false" ht="15" hidden="false" customHeight="false" outlineLevel="0" collapsed="false">
      <c r="A636" s="25"/>
      <c r="B636" s="20"/>
      <c r="C636" s="21"/>
      <c r="D636" s="21"/>
      <c r="E636" s="26"/>
      <c r="F636" s="21"/>
      <c r="G636" s="24"/>
    </row>
    <row r="637" customFormat="false" ht="15" hidden="false" customHeight="false" outlineLevel="0" collapsed="false">
      <c r="A637" s="25"/>
      <c r="B637" s="20"/>
      <c r="C637" s="21"/>
      <c r="D637" s="21"/>
      <c r="E637" s="26"/>
      <c r="F637" s="21"/>
      <c r="G637" s="24"/>
    </row>
    <row r="638" customFormat="false" ht="15" hidden="false" customHeight="false" outlineLevel="0" collapsed="false">
      <c r="A638" s="25"/>
      <c r="B638" s="20"/>
      <c r="C638" s="21"/>
      <c r="D638" s="21"/>
      <c r="E638" s="26"/>
      <c r="F638" s="21"/>
      <c r="G638" s="24"/>
    </row>
    <row r="639" customFormat="false" ht="15" hidden="false" customHeight="false" outlineLevel="0" collapsed="false">
      <c r="A639" s="25"/>
      <c r="B639" s="20"/>
      <c r="C639" s="21"/>
      <c r="D639" s="21"/>
      <c r="E639" s="26"/>
      <c r="F639" s="21"/>
      <c r="G639" s="24"/>
    </row>
    <row r="640" customFormat="false" ht="15" hidden="false" customHeight="false" outlineLevel="0" collapsed="false">
      <c r="A640" s="25"/>
      <c r="B640" s="20"/>
      <c r="C640" s="21"/>
      <c r="D640" s="21"/>
      <c r="E640" s="26"/>
      <c r="F640" s="21"/>
      <c r="G640" s="24"/>
    </row>
    <row r="641" customFormat="false" ht="15" hidden="false" customHeight="false" outlineLevel="0" collapsed="false">
      <c r="A641" s="25"/>
      <c r="B641" s="20"/>
      <c r="C641" s="21"/>
      <c r="D641" s="21"/>
      <c r="E641" s="26"/>
      <c r="F641" s="21"/>
      <c r="G641" s="24"/>
    </row>
    <row r="642" customFormat="false" ht="15" hidden="false" customHeight="false" outlineLevel="0" collapsed="false">
      <c r="A642" s="25"/>
      <c r="B642" s="20"/>
      <c r="C642" s="21"/>
      <c r="D642" s="21"/>
      <c r="E642" s="26"/>
      <c r="F642" s="21"/>
      <c r="G642" s="24"/>
    </row>
    <row r="643" customFormat="false" ht="15" hidden="false" customHeight="false" outlineLevel="0" collapsed="false">
      <c r="A643" s="25"/>
      <c r="B643" s="20"/>
      <c r="C643" s="21"/>
      <c r="D643" s="21"/>
      <c r="E643" s="26"/>
      <c r="F643" s="21"/>
      <c r="G643" s="24"/>
    </row>
    <row r="644" customFormat="false" ht="15" hidden="false" customHeight="false" outlineLevel="0" collapsed="false">
      <c r="A644" s="25"/>
      <c r="B644" s="20"/>
      <c r="C644" s="21"/>
      <c r="D644" s="21"/>
      <c r="E644" s="26"/>
      <c r="F644" s="21"/>
      <c r="G644" s="24"/>
    </row>
    <row r="645" customFormat="false" ht="15" hidden="false" customHeight="false" outlineLevel="0" collapsed="false">
      <c r="A645" s="25"/>
      <c r="B645" s="20"/>
      <c r="C645" s="21"/>
      <c r="D645" s="21"/>
      <c r="E645" s="26"/>
      <c r="F645" s="21"/>
      <c r="G645" s="24"/>
    </row>
    <row r="646" customFormat="false" ht="15" hidden="false" customHeight="false" outlineLevel="0" collapsed="false">
      <c r="A646" s="25"/>
      <c r="B646" s="20"/>
      <c r="C646" s="21"/>
      <c r="D646" s="21"/>
      <c r="E646" s="26"/>
      <c r="F646" s="21"/>
      <c r="G646" s="24"/>
    </row>
    <row r="647" customFormat="false" ht="15" hidden="false" customHeight="false" outlineLevel="0" collapsed="false">
      <c r="A647" s="25"/>
      <c r="B647" s="20"/>
      <c r="C647" s="21"/>
      <c r="D647" s="21"/>
      <c r="E647" s="26"/>
      <c r="F647" s="21"/>
      <c r="G647" s="24"/>
    </row>
    <row r="648" customFormat="false" ht="15" hidden="false" customHeight="false" outlineLevel="0" collapsed="false">
      <c r="A648" s="25"/>
      <c r="B648" s="20"/>
      <c r="C648" s="21"/>
      <c r="D648" s="21"/>
      <c r="E648" s="26"/>
      <c r="F648" s="21"/>
      <c r="G648" s="24"/>
    </row>
    <row r="649" customFormat="false" ht="15" hidden="false" customHeight="false" outlineLevel="0" collapsed="false">
      <c r="A649" s="25"/>
      <c r="B649" s="20"/>
      <c r="C649" s="21"/>
      <c r="D649" s="21"/>
      <c r="E649" s="26"/>
      <c r="F649" s="21"/>
      <c r="G649" s="24"/>
    </row>
    <row r="650" customFormat="false" ht="15" hidden="false" customHeight="false" outlineLevel="0" collapsed="false">
      <c r="A650" s="25"/>
      <c r="B650" s="20"/>
      <c r="C650" s="21"/>
      <c r="D650" s="21"/>
      <c r="E650" s="26"/>
      <c r="F650" s="21"/>
      <c r="G650" s="24"/>
    </row>
    <row r="651" customFormat="false" ht="15" hidden="false" customHeight="false" outlineLevel="0" collapsed="false">
      <c r="A651" s="25"/>
      <c r="B651" s="20"/>
      <c r="C651" s="21"/>
      <c r="D651" s="21"/>
      <c r="E651" s="26"/>
      <c r="F651" s="21"/>
      <c r="G651" s="24"/>
    </row>
    <row r="652" customFormat="false" ht="15" hidden="false" customHeight="false" outlineLevel="0" collapsed="false">
      <c r="A652" s="25"/>
      <c r="B652" s="20"/>
      <c r="C652" s="21"/>
      <c r="D652" s="21"/>
      <c r="E652" s="26"/>
      <c r="F652" s="21"/>
      <c r="G652" s="24"/>
    </row>
    <row r="653" customFormat="false" ht="15" hidden="false" customHeight="false" outlineLevel="0" collapsed="false">
      <c r="A653" s="25"/>
      <c r="B653" s="20"/>
      <c r="C653" s="21"/>
      <c r="D653" s="21"/>
      <c r="E653" s="26"/>
      <c r="F653" s="21"/>
      <c r="G653" s="24"/>
    </row>
    <row r="654" customFormat="false" ht="15" hidden="false" customHeight="false" outlineLevel="0" collapsed="false">
      <c r="A654" s="25"/>
      <c r="B654" s="20"/>
      <c r="C654" s="21"/>
      <c r="D654" s="21"/>
      <c r="E654" s="26"/>
      <c r="F654" s="21"/>
      <c r="G654" s="24"/>
    </row>
    <row r="655" customFormat="false" ht="15" hidden="false" customHeight="false" outlineLevel="0" collapsed="false">
      <c r="A655" s="25"/>
      <c r="B655" s="20"/>
      <c r="C655" s="21"/>
      <c r="D655" s="21"/>
      <c r="E655" s="26"/>
      <c r="F655" s="21"/>
      <c r="G655" s="24"/>
    </row>
    <row r="656" customFormat="false" ht="15" hidden="false" customHeight="false" outlineLevel="0" collapsed="false">
      <c r="A656" s="25"/>
      <c r="B656" s="20"/>
      <c r="C656" s="21"/>
      <c r="D656" s="21"/>
      <c r="E656" s="26"/>
      <c r="F656" s="21"/>
      <c r="G656" s="24"/>
    </row>
    <row r="657" customFormat="false" ht="15" hidden="false" customHeight="false" outlineLevel="0" collapsed="false">
      <c r="A657" s="25"/>
      <c r="B657" s="20"/>
      <c r="C657" s="21"/>
      <c r="D657" s="21"/>
      <c r="E657" s="26"/>
      <c r="F657" s="21"/>
      <c r="G657" s="24"/>
    </row>
    <row r="658" customFormat="false" ht="15" hidden="false" customHeight="false" outlineLevel="0" collapsed="false">
      <c r="A658" s="25"/>
      <c r="B658" s="20"/>
      <c r="C658" s="21"/>
      <c r="D658" s="21"/>
      <c r="E658" s="26"/>
      <c r="F658" s="21"/>
      <c r="G658" s="24"/>
    </row>
    <row r="659" customFormat="false" ht="15" hidden="false" customHeight="false" outlineLevel="0" collapsed="false">
      <c r="A659" s="25"/>
      <c r="B659" s="20"/>
      <c r="C659" s="21"/>
      <c r="D659" s="21"/>
      <c r="E659" s="26"/>
      <c r="F659" s="21"/>
      <c r="G659" s="24"/>
    </row>
    <row r="660" customFormat="false" ht="15" hidden="false" customHeight="false" outlineLevel="0" collapsed="false">
      <c r="A660" s="25"/>
      <c r="B660" s="20"/>
      <c r="C660" s="21"/>
      <c r="D660" s="21"/>
      <c r="E660" s="26"/>
      <c r="F660" s="21"/>
      <c r="G660" s="24"/>
    </row>
    <row r="661" customFormat="false" ht="15" hidden="false" customHeight="false" outlineLevel="0" collapsed="false">
      <c r="A661" s="25"/>
      <c r="B661" s="20"/>
      <c r="C661" s="21"/>
      <c r="D661" s="21"/>
      <c r="E661" s="26"/>
      <c r="F661" s="21"/>
      <c r="G661" s="24"/>
    </row>
    <row r="662" customFormat="false" ht="15" hidden="false" customHeight="false" outlineLevel="0" collapsed="false">
      <c r="A662" s="25"/>
      <c r="B662" s="20"/>
      <c r="C662" s="21"/>
      <c r="D662" s="21"/>
      <c r="E662" s="26"/>
      <c r="F662" s="21"/>
      <c r="G662" s="24"/>
    </row>
    <row r="663" customFormat="false" ht="15" hidden="false" customHeight="false" outlineLevel="0" collapsed="false">
      <c r="A663" s="25"/>
      <c r="B663" s="20"/>
      <c r="C663" s="21"/>
      <c r="D663" s="21"/>
      <c r="E663" s="26"/>
      <c r="F663" s="21"/>
      <c r="G663" s="24"/>
    </row>
    <row r="664" customFormat="false" ht="15" hidden="false" customHeight="false" outlineLevel="0" collapsed="false">
      <c r="A664" s="25"/>
      <c r="B664" s="20"/>
      <c r="C664" s="21"/>
      <c r="D664" s="21"/>
      <c r="E664" s="26"/>
      <c r="F664" s="21"/>
      <c r="G664" s="24"/>
    </row>
    <row r="665" customFormat="false" ht="15" hidden="false" customHeight="false" outlineLevel="0" collapsed="false">
      <c r="A665" s="25"/>
      <c r="B665" s="20"/>
      <c r="C665" s="21"/>
      <c r="D665" s="21"/>
      <c r="E665" s="26"/>
      <c r="F665" s="21"/>
      <c r="G665" s="24"/>
    </row>
    <row r="666" customFormat="false" ht="15" hidden="false" customHeight="false" outlineLevel="0" collapsed="false">
      <c r="A666" s="25"/>
      <c r="B666" s="20"/>
      <c r="C666" s="21"/>
      <c r="D666" s="21"/>
      <c r="E666" s="26"/>
      <c r="F666" s="21"/>
      <c r="G666" s="24"/>
    </row>
    <row r="667" customFormat="false" ht="15" hidden="false" customHeight="false" outlineLevel="0" collapsed="false">
      <c r="A667" s="25"/>
      <c r="B667" s="20"/>
      <c r="C667" s="21"/>
      <c r="D667" s="21"/>
      <c r="E667" s="26"/>
      <c r="F667" s="21"/>
      <c r="G667" s="24"/>
    </row>
    <row r="668" customFormat="false" ht="15" hidden="false" customHeight="false" outlineLevel="0" collapsed="false">
      <c r="A668" s="25"/>
      <c r="B668" s="20"/>
      <c r="C668" s="21"/>
      <c r="D668" s="21"/>
      <c r="E668" s="26"/>
      <c r="F668" s="21"/>
      <c r="G668" s="24"/>
    </row>
    <row r="669" customFormat="false" ht="15" hidden="false" customHeight="false" outlineLevel="0" collapsed="false">
      <c r="A669" s="25"/>
      <c r="B669" s="20"/>
      <c r="C669" s="21"/>
      <c r="D669" s="21"/>
      <c r="E669" s="26"/>
      <c r="F669" s="21"/>
      <c r="G669" s="24"/>
    </row>
    <row r="670" customFormat="false" ht="15" hidden="false" customHeight="false" outlineLevel="0" collapsed="false">
      <c r="A670" s="25"/>
      <c r="B670" s="20"/>
      <c r="C670" s="21"/>
      <c r="D670" s="21"/>
      <c r="E670" s="26"/>
      <c r="F670" s="21"/>
      <c r="G670" s="24"/>
    </row>
    <row r="671" customFormat="false" ht="15" hidden="false" customHeight="false" outlineLevel="0" collapsed="false">
      <c r="A671" s="25"/>
      <c r="B671" s="20"/>
      <c r="C671" s="21"/>
      <c r="D671" s="21"/>
      <c r="E671" s="26"/>
      <c r="F671" s="21"/>
      <c r="G671" s="24"/>
    </row>
    <row r="672" customFormat="false" ht="15" hidden="false" customHeight="false" outlineLevel="0" collapsed="false">
      <c r="A672" s="25"/>
      <c r="B672" s="20"/>
      <c r="C672" s="21"/>
      <c r="D672" s="21"/>
      <c r="E672" s="26"/>
      <c r="F672" s="21"/>
      <c r="G672" s="24"/>
    </row>
    <row r="673" customFormat="false" ht="15" hidden="false" customHeight="false" outlineLevel="0" collapsed="false">
      <c r="A673" s="25"/>
      <c r="B673" s="20"/>
      <c r="C673" s="21"/>
      <c r="D673" s="21"/>
      <c r="E673" s="26"/>
      <c r="F673" s="21"/>
      <c r="G673" s="24"/>
    </row>
    <row r="674" customFormat="false" ht="15" hidden="false" customHeight="false" outlineLevel="0" collapsed="false">
      <c r="A674" s="25"/>
      <c r="B674" s="20"/>
      <c r="C674" s="21"/>
      <c r="D674" s="21"/>
      <c r="E674" s="26"/>
      <c r="F674" s="21"/>
      <c r="G674" s="24"/>
    </row>
    <row r="675" customFormat="false" ht="15" hidden="false" customHeight="false" outlineLevel="0" collapsed="false">
      <c r="A675" s="25"/>
      <c r="B675" s="20"/>
      <c r="C675" s="21"/>
      <c r="D675" s="21"/>
      <c r="E675" s="26"/>
      <c r="F675" s="21"/>
      <c r="G675" s="24"/>
    </row>
    <row r="676" customFormat="false" ht="15" hidden="false" customHeight="false" outlineLevel="0" collapsed="false">
      <c r="A676" s="25"/>
      <c r="B676" s="20"/>
      <c r="C676" s="21"/>
      <c r="D676" s="21"/>
      <c r="E676" s="26"/>
      <c r="F676" s="21"/>
      <c r="G676" s="24"/>
    </row>
    <row r="677" customFormat="false" ht="15" hidden="false" customHeight="false" outlineLevel="0" collapsed="false">
      <c r="A677" s="25"/>
      <c r="B677" s="20"/>
      <c r="C677" s="21"/>
      <c r="D677" s="21"/>
      <c r="E677" s="26"/>
      <c r="F677" s="21"/>
      <c r="G677" s="24"/>
    </row>
    <row r="678" customFormat="false" ht="15" hidden="false" customHeight="false" outlineLevel="0" collapsed="false">
      <c r="A678" s="25"/>
      <c r="B678" s="20"/>
      <c r="C678" s="21"/>
      <c r="D678" s="21"/>
      <c r="E678" s="26"/>
      <c r="F678" s="21"/>
      <c r="G678" s="24"/>
    </row>
    <row r="679" customFormat="false" ht="15" hidden="false" customHeight="false" outlineLevel="0" collapsed="false">
      <c r="A679" s="25"/>
      <c r="B679" s="20"/>
      <c r="C679" s="21"/>
      <c r="D679" s="21"/>
      <c r="E679" s="26"/>
      <c r="F679" s="21"/>
      <c r="G679" s="24"/>
    </row>
    <row r="680" customFormat="false" ht="15" hidden="false" customHeight="false" outlineLevel="0" collapsed="false">
      <c r="A680" s="25"/>
      <c r="B680" s="20"/>
      <c r="C680" s="21"/>
      <c r="D680" s="21"/>
      <c r="E680" s="26"/>
      <c r="F680" s="21"/>
      <c r="G680" s="24"/>
    </row>
    <row r="681" customFormat="false" ht="15" hidden="false" customHeight="false" outlineLevel="0" collapsed="false">
      <c r="A681" s="25"/>
      <c r="B681" s="20"/>
      <c r="C681" s="21"/>
      <c r="D681" s="21"/>
      <c r="E681" s="26"/>
      <c r="F681" s="21"/>
      <c r="G681" s="24"/>
    </row>
    <row r="682" customFormat="false" ht="15" hidden="false" customHeight="false" outlineLevel="0" collapsed="false">
      <c r="A682" s="25"/>
      <c r="B682" s="20"/>
      <c r="C682" s="21"/>
      <c r="D682" s="21"/>
      <c r="E682" s="26"/>
      <c r="F682" s="21"/>
      <c r="G682" s="24"/>
    </row>
    <row r="683" customFormat="false" ht="15" hidden="false" customHeight="false" outlineLevel="0" collapsed="false">
      <c r="A683" s="25"/>
      <c r="B683" s="20"/>
      <c r="C683" s="21"/>
      <c r="D683" s="21"/>
      <c r="E683" s="26"/>
      <c r="F683" s="21"/>
      <c r="G683" s="24"/>
    </row>
    <row r="684" customFormat="false" ht="15" hidden="false" customHeight="false" outlineLevel="0" collapsed="false">
      <c r="A684" s="25"/>
      <c r="B684" s="20"/>
      <c r="C684" s="21"/>
      <c r="D684" s="21"/>
      <c r="E684" s="26"/>
      <c r="F684" s="21"/>
      <c r="G684" s="24"/>
    </row>
    <row r="685" customFormat="false" ht="15" hidden="false" customHeight="false" outlineLevel="0" collapsed="false">
      <c r="A685" s="25"/>
      <c r="B685" s="20"/>
      <c r="C685" s="21"/>
      <c r="D685" s="21"/>
      <c r="E685" s="26"/>
      <c r="F685" s="21"/>
      <c r="G685" s="24"/>
    </row>
    <row r="686" customFormat="false" ht="15" hidden="false" customHeight="false" outlineLevel="0" collapsed="false">
      <c r="A686" s="25"/>
      <c r="B686" s="20"/>
      <c r="C686" s="21"/>
      <c r="D686" s="21"/>
      <c r="E686" s="26"/>
      <c r="F686" s="21"/>
      <c r="G686" s="24"/>
    </row>
    <row r="687" customFormat="false" ht="15" hidden="false" customHeight="false" outlineLevel="0" collapsed="false">
      <c r="A687" s="25"/>
      <c r="B687" s="20"/>
      <c r="C687" s="21"/>
      <c r="D687" s="21"/>
      <c r="E687" s="26"/>
      <c r="F687" s="21"/>
      <c r="G687" s="24"/>
    </row>
    <row r="688" customFormat="false" ht="15" hidden="false" customHeight="false" outlineLevel="0" collapsed="false">
      <c r="A688" s="25"/>
      <c r="B688" s="20"/>
      <c r="C688" s="21"/>
      <c r="D688" s="21"/>
      <c r="E688" s="26"/>
      <c r="F688" s="21"/>
      <c r="G688" s="24"/>
    </row>
    <row r="689" customFormat="false" ht="15" hidden="false" customHeight="false" outlineLevel="0" collapsed="false">
      <c r="A689" s="25"/>
      <c r="B689" s="20"/>
      <c r="C689" s="21"/>
      <c r="D689" s="21"/>
      <c r="E689" s="26"/>
      <c r="F689" s="21"/>
      <c r="G689" s="24"/>
    </row>
    <row r="690" customFormat="false" ht="15" hidden="false" customHeight="false" outlineLevel="0" collapsed="false">
      <c r="A690" s="25"/>
      <c r="B690" s="20"/>
      <c r="C690" s="21"/>
      <c r="D690" s="21"/>
      <c r="E690" s="26"/>
      <c r="F690" s="21"/>
      <c r="G690" s="24"/>
    </row>
    <row r="691" customFormat="false" ht="15" hidden="false" customHeight="false" outlineLevel="0" collapsed="false">
      <c r="A691" s="25"/>
      <c r="B691" s="20"/>
      <c r="C691" s="21"/>
      <c r="D691" s="21"/>
      <c r="E691" s="26"/>
      <c r="F691" s="21"/>
      <c r="G691" s="24"/>
    </row>
    <row r="692" customFormat="false" ht="15" hidden="false" customHeight="false" outlineLevel="0" collapsed="false">
      <c r="A692" s="25"/>
      <c r="B692" s="20"/>
      <c r="C692" s="21"/>
      <c r="D692" s="21"/>
      <c r="E692" s="26"/>
      <c r="F692" s="21"/>
      <c r="G692" s="24"/>
    </row>
    <row r="693" customFormat="false" ht="15" hidden="false" customHeight="false" outlineLevel="0" collapsed="false">
      <c r="A693" s="25"/>
      <c r="B693" s="20"/>
      <c r="C693" s="21"/>
      <c r="D693" s="21"/>
      <c r="E693" s="26"/>
      <c r="F693" s="21"/>
      <c r="G693" s="24"/>
    </row>
    <row r="694" customFormat="false" ht="15" hidden="false" customHeight="false" outlineLevel="0" collapsed="false">
      <c r="A694" s="25"/>
      <c r="B694" s="20"/>
      <c r="C694" s="21"/>
      <c r="D694" s="21"/>
      <c r="E694" s="26"/>
      <c r="F694" s="21"/>
      <c r="G694" s="24"/>
    </row>
    <row r="695" customFormat="false" ht="15" hidden="false" customHeight="false" outlineLevel="0" collapsed="false">
      <c r="A695" s="25"/>
      <c r="B695" s="20"/>
      <c r="C695" s="21"/>
      <c r="D695" s="21"/>
      <c r="E695" s="26"/>
      <c r="F695" s="21"/>
      <c r="G695" s="24"/>
    </row>
    <row r="696" customFormat="false" ht="15" hidden="false" customHeight="false" outlineLevel="0" collapsed="false">
      <c r="A696" s="25"/>
      <c r="B696" s="20"/>
      <c r="C696" s="21"/>
      <c r="D696" s="21"/>
      <c r="E696" s="26"/>
      <c r="F696" s="21"/>
      <c r="G696" s="24"/>
    </row>
    <row r="697" customFormat="false" ht="15" hidden="false" customHeight="false" outlineLevel="0" collapsed="false">
      <c r="A697" s="25"/>
      <c r="B697" s="20"/>
      <c r="C697" s="21"/>
      <c r="D697" s="21"/>
      <c r="E697" s="26"/>
      <c r="F697" s="21"/>
      <c r="G697" s="24"/>
    </row>
    <row r="698" customFormat="false" ht="15" hidden="false" customHeight="false" outlineLevel="0" collapsed="false">
      <c r="A698" s="25"/>
      <c r="B698" s="20"/>
      <c r="C698" s="21"/>
      <c r="D698" s="21"/>
      <c r="E698" s="26"/>
      <c r="F698" s="21"/>
      <c r="G698" s="24"/>
    </row>
    <row r="699" customFormat="false" ht="15" hidden="false" customHeight="false" outlineLevel="0" collapsed="false">
      <c r="A699" s="25"/>
      <c r="B699" s="20"/>
      <c r="C699" s="21"/>
      <c r="D699" s="21"/>
      <c r="E699" s="26"/>
      <c r="F699" s="21"/>
      <c r="G699" s="24"/>
    </row>
    <row r="700" customFormat="false" ht="15" hidden="false" customHeight="false" outlineLevel="0" collapsed="false">
      <c r="A700" s="25"/>
      <c r="B700" s="20"/>
      <c r="C700" s="21"/>
      <c r="D700" s="21"/>
      <c r="E700" s="26"/>
      <c r="F700" s="21"/>
      <c r="G700" s="24"/>
    </row>
    <row r="701" customFormat="false" ht="15" hidden="false" customHeight="false" outlineLevel="0" collapsed="false">
      <c r="A701" s="25"/>
      <c r="B701" s="20"/>
      <c r="C701" s="21"/>
      <c r="D701" s="21"/>
      <c r="E701" s="26"/>
      <c r="F701" s="21"/>
      <c r="G701" s="24"/>
    </row>
    <row r="702" customFormat="false" ht="15" hidden="false" customHeight="false" outlineLevel="0" collapsed="false">
      <c r="A702" s="25"/>
      <c r="B702" s="20"/>
      <c r="C702" s="21"/>
      <c r="D702" s="21"/>
      <c r="E702" s="26"/>
      <c r="F702" s="21"/>
      <c r="G702" s="24"/>
    </row>
    <row r="703" customFormat="false" ht="15" hidden="false" customHeight="false" outlineLevel="0" collapsed="false">
      <c r="A703" s="25"/>
      <c r="B703" s="20"/>
      <c r="C703" s="21"/>
      <c r="D703" s="21"/>
      <c r="E703" s="26"/>
      <c r="F703" s="21"/>
      <c r="G703" s="24"/>
    </row>
    <row r="704" customFormat="false" ht="15" hidden="false" customHeight="false" outlineLevel="0" collapsed="false">
      <c r="A704" s="25"/>
      <c r="B704" s="20"/>
      <c r="C704" s="21"/>
      <c r="D704" s="21"/>
      <c r="E704" s="26"/>
      <c r="F704" s="21"/>
      <c r="G704" s="24"/>
    </row>
    <row r="705" customFormat="false" ht="15" hidden="false" customHeight="false" outlineLevel="0" collapsed="false">
      <c r="A705" s="25"/>
      <c r="B705" s="20"/>
      <c r="C705" s="21"/>
      <c r="D705" s="21"/>
      <c r="E705" s="26"/>
      <c r="F705" s="21"/>
      <c r="G705" s="24"/>
    </row>
    <row r="706" customFormat="false" ht="15" hidden="false" customHeight="false" outlineLevel="0" collapsed="false">
      <c r="A706" s="25"/>
      <c r="B706" s="20"/>
      <c r="C706" s="21"/>
      <c r="D706" s="21"/>
      <c r="E706" s="26"/>
      <c r="F706" s="21"/>
      <c r="G706" s="24"/>
    </row>
    <row r="707" customFormat="false" ht="15" hidden="false" customHeight="false" outlineLevel="0" collapsed="false">
      <c r="A707" s="25"/>
      <c r="B707" s="20"/>
      <c r="C707" s="21"/>
      <c r="D707" s="21"/>
      <c r="E707" s="26"/>
      <c r="F707" s="21"/>
      <c r="G707" s="24"/>
    </row>
    <row r="708" customFormat="false" ht="15" hidden="false" customHeight="false" outlineLevel="0" collapsed="false">
      <c r="A708" s="25"/>
      <c r="B708" s="20"/>
      <c r="C708" s="21"/>
      <c r="D708" s="21"/>
      <c r="E708" s="26"/>
      <c r="F708" s="21"/>
      <c r="G708" s="24"/>
    </row>
    <row r="709" customFormat="false" ht="15" hidden="false" customHeight="false" outlineLevel="0" collapsed="false">
      <c r="A709" s="25"/>
      <c r="B709" s="20"/>
      <c r="C709" s="21"/>
      <c r="D709" s="21"/>
      <c r="E709" s="26"/>
      <c r="F709" s="21"/>
      <c r="G709" s="24"/>
    </row>
    <row r="710" customFormat="false" ht="15" hidden="false" customHeight="false" outlineLevel="0" collapsed="false">
      <c r="A710" s="25"/>
      <c r="B710" s="20"/>
      <c r="C710" s="21"/>
      <c r="D710" s="21"/>
      <c r="E710" s="26"/>
      <c r="F710" s="21"/>
      <c r="G710" s="24"/>
    </row>
    <row r="711" customFormat="false" ht="15" hidden="false" customHeight="false" outlineLevel="0" collapsed="false">
      <c r="A711" s="25"/>
      <c r="B711" s="20"/>
      <c r="C711" s="21"/>
      <c r="D711" s="21"/>
      <c r="E711" s="26"/>
      <c r="F711" s="21"/>
      <c r="G711" s="24"/>
    </row>
    <row r="712" customFormat="false" ht="15" hidden="false" customHeight="false" outlineLevel="0" collapsed="false">
      <c r="A712" s="25"/>
      <c r="B712" s="20"/>
      <c r="C712" s="21"/>
      <c r="D712" s="21"/>
      <c r="E712" s="26"/>
      <c r="F712" s="21"/>
      <c r="G712" s="24"/>
    </row>
    <row r="713" customFormat="false" ht="15" hidden="false" customHeight="false" outlineLevel="0" collapsed="false">
      <c r="A713" s="25"/>
      <c r="B713" s="20"/>
      <c r="C713" s="21"/>
      <c r="D713" s="21"/>
      <c r="E713" s="26"/>
      <c r="F713" s="21"/>
      <c r="G713" s="24"/>
    </row>
    <row r="714" customFormat="false" ht="15" hidden="false" customHeight="false" outlineLevel="0" collapsed="false">
      <c r="A714" s="25"/>
      <c r="B714" s="20"/>
      <c r="C714" s="21"/>
      <c r="D714" s="21"/>
      <c r="E714" s="26"/>
      <c r="F714" s="21"/>
      <c r="G714" s="24"/>
    </row>
    <row r="715" customFormat="false" ht="15" hidden="false" customHeight="false" outlineLevel="0" collapsed="false">
      <c r="A715" s="25"/>
      <c r="B715" s="20"/>
      <c r="C715" s="21"/>
      <c r="D715" s="21"/>
      <c r="E715" s="26"/>
      <c r="F715" s="21"/>
      <c r="G715" s="24"/>
    </row>
    <row r="716" customFormat="false" ht="15" hidden="false" customHeight="false" outlineLevel="0" collapsed="false">
      <c r="A716" s="25"/>
      <c r="B716" s="20"/>
      <c r="C716" s="21"/>
      <c r="D716" s="21"/>
      <c r="E716" s="26"/>
      <c r="F716" s="21"/>
      <c r="G716" s="24"/>
    </row>
    <row r="717" customFormat="false" ht="15" hidden="false" customHeight="false" outlineLevel="0" collapsed="false">
      <c r="A717" s="25"/>
      <c r="B717" s="20"/>
      <c r="C717" s="21"/>
      <c r="D717" s="21"/>
      <c r="E717" s="26"/>
      <c r="F717" s="21"/>
      <c r="G717" s="24"/>
    </row>
    <row r="718" customFormat="false" ht="15" hidden="false" customHeight="false" outlineLevel="0" collapsed="false">
      <c r="A718" s="25"/>
      <c r="B718" s="20"/>
      <c r="C718" s="21"/>
      <c r="D718" s="21"/>
      <c r="E718" s="26"/>
      <c r="F718" s="21"/>
      <c r="G718" s="24"/>
    </row>
    <row r="719" customFormat="false" ht="15" hidden="false" customHeight="false" outlineLevel="0" collapsed="false">
      <c r="A719" s="25"/>
      <c r="B719" s="20"/>
      <c r="C719" s="21"/>
      <c r="D719" s="21"/>
      <c r="E719" s="26"/>
      <c r="F719" s="21"/>
      <c r="G719" s="24"/>
    </row>
    <row r="720" customFormat="false" ht="15" hidden="false" customHeight="false" outlineLevel="0" collapsed="false">
      <c r="A720" s="25"/>
      <c r="B720" s="20"/>
      <c r="C720" s="21"/>
      <c r="D720" s="21"/>
      <c r="E720" s="26"/>
      <c r="F720" s="21"/>
      <c r="G720" s="24"/>
    </row>
    <row r="721" customFormat="false" ht="15" hidden="false" customHeight="false" outlineLevel="0" collapsed="false">
      <c r="A721" s="25"/>
      <c r="B721" s="20"/>
      <c r="C721" s="21"/>
      <c r="D721" s="21"/>
      <c r="E721" s="26"/>
      <c r="F721" s="21"/>
      <c r="G721" s="24"/>
    </row>
    <row r="722" customFormat="false" ht="15" hidden="false" customHeight="false" outlineLevel="0" collapsed="false">
      <c r="A722" s="25"/>
      <c r="B722" s="20"/>
      <c r="C722" s="21"/>
      <c r="D722" s="21"/>
      <c r="E722" s="26"/>
      <c r="F722" s="21"/>
      <c r="G722" s="24"/>
    </row>
    <row r="723" customFormat="false" ht="15" hidden="false" customHeight="false" outlineLevel="0" collapsed="false">
      <c r="A723" s="25"/>
      <c r="B723" s="20"/>
      <c r="C723" s="21"/>
      <c r="D723" s="21"/>
      <c r="E723" s="26"/>
      <c r="F723" s="21"/>
      <c r="G723" s="24"/>
    </row>
    <row r="724" customFormat="false" ht="15" hidden="false" customHeight="false" outlineLevel="0" collapsed="false">
      <c r="A724" s="25"/>
      <c r="B724" s="20"/>
      <c r="C724" s="21"/>
      <c r="D724" s="21"/>
      <c r="E724" s="26"/>
      <c r="F724" s="21"/>
      <c r="G724" s="24"/>
    </row>
    <row r="725" customFormat="false" ht="15" hidden="false" customHeight="false" outlineLevel="0" collapsed="false">
      <c r="A725" s="25"/>
      <c r="B725" s="20"/>
      <c r="C725" s="21"/>
      <c r="D725" s="21"/>
      <c r="E725" s="26"/>
      <c r="F725" s="21"/>
      <c r="G725" s="24"/>
    </row>
    <row r="726" customFormat="false" ht="15" hidden="false" customHeight="false" outlineLevel="0" collapsed="false">
      <c r="A726" s="25"/>
      <c r="B726" s="20"/>
      <c r="C726" s="21"/>
      <c r="D726" s="21"/>
      <c r="E726" s="26"/>
      <c r="F726" s="21"/>
      <c r="G726" s="24"/>
    </row>
    <row r="727" customFormat="false" ht="15" hidden="false" customHeight="false" outlineLevel="0" collapsed="false">
      <c r="A727" s="25"/>
      <c r="B727" s="20"/>
      <c r="C727" s="21"/>
      <c r="D727" s="21"/>
      <c r="E727" s="26"/>
      <c r="F727" s="21"/>
      <c r="G727" s="24"/>
    </row>
    <row r="728" customFormat="false" ht="15" hidden="false" customHeight="false" outlineLevel="0" collapsed="false">
      <c r="A728" s="25"/>
      <c r="B728" s="20"/>
      <c r="C728" s="21"/>
      <c r="D728" s="21"/>
      <c r="E728" s="26"/>
      <c r="F728" s="21"/>
      <c r="G728" s="24"/>
    </row>
    <row r="729" customFormat="false" ht="15" hidden="false" customHeight="false" outlineLevel="0" collapsed="false">
      <c r="A729" s="25"/>
      <c r="B729" s="20"/>
      <c r="C729" s="21"/>
      <c r="D729" s="21"/>
      <c r="E729" s="26"/>
      <c r="F729" s="21"/>
      <c r="G729" s="24"/>
    </row>
    <row r="730" customFormat="false" ht="15" hidden="false" customHeight="false" outlineLevel="0" collapsed="false">
      <c r="A730" s="25"/>
      <c r="B730" s="20"/>
      <c r="C730" s="21"/>
      <c r="D730" s="21"/>
      <c r="E730" s="26"/>
      <c r="F730" s="21"/>
      <c r="G730" s="24"/>
    </row>
    <row r="731" customFormat="false" ht="15" hidden="false" customHeight="false" outlineLevel="0" collapsed="false">
      <c r="A731" s="25"/>
      <c r="B731" s="20"/>
      <c r="C731" s="21"/>
      <c r="D731" s="21"/>
      <c r="E731" s="26"/>
      <c r="F731" s="21"/>
      <c r="G731" s="24"/>
    </row>
    <row r="732" customFormat="false" ht="15" hidden="false" customHeight="false" outlineLevel="0" collapsed="false">
      <c r="A732" s="25"/>
      <c r="B732" s="20"/>
      <c r="C732" s="21"/>
      <c r="D732" s="21"/>
      <c r="E732" s="26"/>
      <c r="F732" s="21"/>
      <c r="G732" s="24"/>
    </row>
    <row r="733" customFormat="false" ht="15" hidden="false" customHeight="false" outlineLevel="0" collapsed="false">
      <c r="A733" s="25"/>
      <c r="B733" s="20"/>
      <c r="C733" s="21"/>
      <c r="D733" s="21"/>
      <c r="E733" s="26"/>
      <c r="F733" s="21"/>
      <c r="G733" s="24"/>
    </row>
    <row r="734" customFormat="false" ht="15" hidden="false" customHeight="false" outlineLevel="0" collapsed="false">
      <c r="A734" s="25"/>
      <c r="B734" s="20"/>
      <c r="C734" s="21"/>
      <c r="D734" s="21"/>
      <c r="E734" s="26"/>
      <c r="F734" s="21"/>
      <c r="G734" s="24"/>
    </row>
    <row r="735" customFormat="false" ht="15" hidden="false" customHeight="false" outlineLevel="0" collapsed="false">
      <c r="A735" s="25"/>
      <c r="B735" s="20"/>
      <c r="C735" s="21"/>
      <c r="D735" s="21"/>
      <c r="E735" s="26"/>
      <c r="F735" s="21"/>
      <c r="G735" s="24"/>
    </row>
    <row r="736" customFormat="false" ht="15" hidden="false" customHeight="false" outlineLevel="0" collapsed="false">
      <c r="A736" s="25"/>
      <c r="B736" s="20"/>
      <c r="C736" s="21"/>
      <c r="D736" s="21"/>
      <c r="E736" s="26"/>
      <c r="F736" s="21"/>
      <c r="G736" s="24"/>
    </row>
    <row r="737" customFormat="false" ht="15" hidden="false" customHeight="false" outlineLevel="0" collapsed="false">
      <c r="A737" s="25"/>
      <c r="B737" s="20"/>
      <c r="C737" s="21"/>
      <c r="D737" s="21"/>
      <c r="E737" s="26"/>
      <c r="F737" s="21"/>
      <c r="G737" s="24"/>
    </row>
    <row r="738" customFormat="false" ht="15" hidden="false" customHeight="false" outlineLevel="0" collapsed="false">
      <c r="A738" s="25"/>
      <c r="B738" s="20"/>
      <c r="C738" s="21"/>
      <c r="D738" s="21"/>
      <c r="E738" s="26"/>
      <c r="F738" s="21"/>
      <c r="G738" s="24"/>
    </row>
    <row r="739" customFormat="false" ht="15" hidden="false" customHeight="false" outlineLevel="0" collapsed="false">
      <c r="A739" s="25"/>
      <c r="B739" s="20"/>
      <c r="C739" s="21"/>
      <c r="D739" s="21"/>
      <c r="E739" s="26"/>
      <c r="F739" s="21"/>
      <c r="G739" s="24"/>
    </row>
    <row r="740" customFormat="false" ht="15" hidden="false" customHeight="false" outlineLevel="0" collapsed="false">
      <c r="A740" s="25"/>
      <c r="B740" s="20"/>
      <c r="C740" s="21"/>
      <c r="D740" s="21"/>
      <c r="E740" s="26"/>
      <c r="F740" s="21"/>
      <c r="G740" s="24"/>
    </row>
    <row r="741" customFormat="false" ht="15" hidden="false" customHeight="false" outlineLevel="0" collapsed="false">
      <c r="A741" s="25"/>
      <c r="B741" s="20"/>
      <c r="C741" s="21"/>
      <c r="D741" s="21"/>
      <c r="E741" s="26"/>
      <c r="F741" s="21"/>
      <c r="G741" s="24"/>
    </row>
    <row r="742" customFormat="false" ht="15" hidden="false" customHeight="false" outlineLevel="0" collapsed="false">
      <c r="A742" s="25"/>
      <c r="B742" s="20"/>
      <c r="C742" s="21"/>
      <c r="D742" s="21"/>
      <c r="E742" s="26"/>
      <c r="F742" s="21"/>
      <c r="G742" s="24"/>
    </row>
    <row r="743" customFormat="false" ht="15" hidden="false" customHeight="false" outlineLevel="0" collapsed="false">
      <c r="A743" s="25"/>
      <c r="B743" s="20"/>
      <c r="C743" s="21"/>
      <c r="D743" s="21"/>
      <c r="E743" s="26"/>
      <c r="F743" s="21"/>
      <c r="G743" s="24"/>
    </row>
    <row r="744" customFormat="false" ht="15" hidden="false" customHeight="false" outlineLevel="0" collapsed="false">
      <c r="A744" s="25"/>
      <c r="B744" s="20"/>
      <c r="C744" s="21"/>
      <c r="D744" s="21"/>
      <c r="E744" s="26"/>
      <c r="F744" s="21"/>
      <c r="G744" s="24"/>
    </row>
    <row r="745" customFormat="false" ht="15" hidden="false" customHeight="false" outlineLevel="0" collapsed="false">
      <c r="A745" s="25"/>
      <c r="B745" s="20"/>
      <c r="C745" s="21"/>
      <c r="D745" s="21"/>
      <c r="E745" s="26"/>
      <c r="F745" s="21"/>
      <c r="G745" s="24"/>
    </row>
    <row r="746" customFormat="false" ht="15" hidden="false" customHeight="false" outlineLevel="0" collapsed="false">
      <c r="A746" s="25"/>
      <c r="B746" s="20"/>
      <c r="C746" s="21"/>
      <c r="D746" s="21"/>
      <c r="E746" s="26"/>
      <c r="F746" s="21"/>
      <c r="G746" s="24"/>
    </row>
    <row r="747" customFormat="false" ht="15" hidden="false" customHeight="false" outlineLevel="0" collapsed="false">
      <c r="A747" s="25"/>
      <c r="B747" s="20"/>
      <c r="C747" s="21"/>
      <c r="D747" s="21"/>
      <c r="E747" s="26"/>
      <c r="F747" s="21"/>
      <c r="G747" s="24"/>
    </row>
    <row r="748" customFormat="false" ht="15" hidden="false" customHeight="false" outlineLevel="0" collapsed="false">
      <c r="A748" s="25"/>
      <c r="B748" s="20"/>
      <c r="C748" s="21"/>
      <c r="D748" s="21"/>
      <c r="E748" s="26"/>
      <c r="F748" s="21"/>
      <c r="G748" s="24"/>
    </row>
    <row r="749" customFormat="false" ht="15" hidden="false" customHeight="false" outlineLevel="0" collapsed="false">
      <c r="A749" s="25"/>
      <c r="B749" s="20"/>
      <c r="C749" s="21"/>
      <c r="D749" s="21"/>
      <c r="E749" s="26"/>
      <c r="F749" s="21"/>
      <c r="G749" s="24"/>
    </row>
    <row r="750" customFormat="false" ht="15" hidden="false" customHeight="false" outlineLevel="0" collapsed="false">
      <c r="A750" s="25"/>
      <c r="B750" s="20"/>
      <c r="C750" s="21"/>
      <c r="D750" s="21"/>
      <c r="E750" s="26"/>
      <c r="F750" s="21"/>
      <c r="G750" s="24"/>
    </row>
    <row r="751" customFormat="false" ht="15" hidden="false" customHeight="false" outlineLevel="0" collapsed="false">
      <c r="A751" s="25"/>
      <c r="B751" s="20"/>
      <c r="C751" s="21"/>
      <c r="D751" s="21"/>
      <c r="E751" s="26"/>
      <c r="F751" s="21"/>
      <c r="G751" s="24"/>
    </row>
    <row r="752" customFormat="false" ht="15" hidden="false" customHeight="false" outlineLevel="0" collapsed="false">
      <c r="A752" s="25"/>
      <c r="B752" s="20"/>
      <c r="C752" s="21"/>
      <c r="D752" s="21"/>
      <c r="E752" s="26"/>
      <c r="F752" s="21"/>
      <c r="G752" s="24"/>
    </row>
    <row r="753" customFormat="false" ht="15" hidden="false" customHeight="false" outlineLevel="0" collapsed="false">
      <c r="A753" s="25"/>
      <c r="B753" s="20"/>
      <c r="C753" s="21"/>
      <c r="D753" s="21"/>
      <c r="E753" s="26"/>
      <c r="F753" s="21"/>
      <c r="G753" s="24"/>
    </row>
    <row r="754" customFormat="false" ht="15" hidden="false" customHeight="false" outlineLevel="0" collapsed="false">
      <c r="A754" s="25"/>
      <c r="B754" s="20"/>
      <c r="C754" s="21"/>
      <c r="D754" s="21"/>
      <c r="E754" s="26"/>
      <c r="F754" s="21"/>
      <c r="G754" s="24"/>
    </row>
    <row r="755" customFormat="false" ht="15" hidden="false" customHeight="false" outlineLevel="0" collapsed="false">
      <c r="A755" s="25"/>
      <c r="B755" s="20"/>
      <c r="C755" s="21"/>
      <c r="D755" s="21"/>
      <c r="E755" s="26"/>
      <c r="F755" s="21"/>
      <c r="G755" s="24"/>
    </row>
    <row r="756" customFormat="false" ht="15" hidden="false" customHeight="false" outlineLevel="0" collapsed="false">
      <c r="A756" s="25"/>
      <c r="B756" s="20"/>
      <c r="C756" s="21"/>
      <c r="D756" s="21"/>
      <c r="E756" s="26"/>
      <c r="F756" s="21"/>
      <c r="G756" s="24"/>
    </row>
    <row r="757" customFormat="false" ht="15" hidden="false" customHeight="false" outlineLevel="0" collapsed="false">
      <c r="A757" s="25"/>
      <c r="B757" s="20"/>
      <c r="C757" s="21"/>
      <c r="D757" s="21"/>
      <c r="E757" s="26"/>
      <c r="F757" s="21"/>
      <c r="G757" s="24"/>
    </row>
    <row r="758" customFormat="false" ht="15" hidden="false" customHeight="false" outlineLevel="0" collapsed="false">
      <c r="A758" s="25"/>
      <c r="B758" s="20"/>
      <c r="C758" s="21"/>
      <c r="D758" s="21"/>
      <c r="E758" s="26"/>
      <c r="F758" s="21"/>
      <c r="G758" s="24"/>
    </row>
    <row r="759" customFormat="false" ht="15" hidden="false" customHeight="false" outlineLevel="0" collapsed="false">
      <c r="A759" s="25"/>
      <c r="B759" s="20"/>
      <c r="C759" s="21"/>
      <c r="D759" s="21"/>
      <c r="E759" s="26"/>
      <c r="F759" s="21"/>
      <c r="G759" s="24"/>
    </row>
    <row r="760" customFormat="false" ht="15" hidden="false" customHeight="false" outlineLevel="0" collapsed="false">
      <c r="A760" s="25"/>
      <c r="B760" s="20"/>
      <c r="C760" s="21"/>
      <c r="D760" s="21"/>
      <c r="E760" s="26"/>
      <c r="F760" s="21"/>
      <c r="G760" s="24"/>
    </row>
    <row r="761" customFormat="false" ht="15" hidden="false" customHeight="false" outlineLevel="0" collapsed="false">
      <c r="A761" s="25"/>
      <c r="B761" s="20"/>
      <c r="C761" s="21"/>
      <c r="D761" s="21"/>
      <c r="E761" s="26"/>
      <c r="F761" s="21"/>
      <c r="G761" s="24"/>
    </row>
    <row r="762" customFormat="false" ht="15" hidden="false" customHeight="false" outlineLevel="0" collapsed="false">
      <c r="A762" s="25"/>
      <c r="B762" s="20"/>
      <c r="C762" s="21"/>
      <c r="D762" s="21"/>
      <c r="E762" s="26"/>
      <c r="F762" s="21"/>
      <c r="G762" s="24"/>
    </row>
    <row r="763" customFormat="false" ht="15" hidden="false" customHeight="false" outlineLevel="0" collapsed="false">
      <c r="A763" s="25"/>
      <c r="B763" s="20"/>
      <c r="C763" s="21"/>
      <c r="D763" s="21"/>
      <c r="E763" s="26"/>
      <c r="F763" s="21"/>
      <c r="G763" s="24"/>
    </row>
    <row r="764" customFormat="false" ht="15" hidden="false" customHeight="false" outlineLevel="0" collapsed="false">
      <c r="A764" s="25"/>
      <c r="B764" s="20"/>
      <c r="C764" s="21"/>
      <c r="D764" s="21"/>
      <c r="E764" s="26"/>
      <c r="F764" s="21"/>
      <c r="G764" s="24"/>
    </row>
    <row r="765" customFormat="false" ht="15" hidden="false" customHeight="false" outlineLevel="0" collapsed="false">
      <c r="A765" s="25"/>
      <c r="B765" s="20"/>
      <c r="C765" s="21"/>
      <c r="D765" s="21"/>
      <c r="E765" s="26"/>
      <c r="F765" s="21"/>
      <c r="G765" s="24"/>
    </row>
    <row r="766" customFormat="false" ht="15" hidden="false" customHeight="false" outlineLevel="0" collapsed="false">
      <c r="A766" s="25"/>
      <c r="B766" s="20"/>
      <c r="C766" s="21"/>
      <c r="D766" s="21"/>
      <c r="E766" s="26"/>
      <c r="F766" s="21"/>
      <c r="G766" s="24"/>
    </row>
    <row r="767" customFormat="false" ht="15" hidden="false" customHeight="false" outlineLevel="0" collapsed="false">
      <c r="A767" s="25"/>
      <c r="B767" s="20"/>
      <c r="C767" s="21"/>
      <c r="D767" s="21"/>
      <c r="E767" s="26"/>
      <c r="F767" s="21"/>
      <c r="G767" s="24"/>
    </row>
    <row r="768" customFormat="false" ht="15" hidden="false" customHeight="false" outlineLevel="0" collapsed="false">
      <c r="A768" s="25"/>
      <c r="B768" s="20"/>
      <c r="C768" s="21"/>
      <c r="D768" s="21"/>
      <c r="E768" s="26"/>
      <c r="F768" s="21"/>
      <c r="G768" s="24"/>
    </row>
    <row r="769" customFormat="false" ht="15" hidden="false" customHeight="false" outlineLevel="0" collapsed="false">
      <c r="A769" s="25"/>
      <c r="B769" s="20"/>
      <c r="C769" s="21"/>
      <c r="D769" s="21"/>
      <c r="E769" s="26"/>
      <c r="F769" s="21"/>
      <c r="G769" s="24"/>
    </row>
    <row r="770" customFormat="false" ht="15" hidden="false" customHeight="false" outlineLevel="0" collapsed="false">
      <c r="A770" s="25"/>
      <c r="B770" s="20"/>
      <c r="C770" s="21"/>
      <c r="D770" s="21"/>
      <c r="E770" s="26"/>
      <c r="F770" s="21"/>
      <c r="G770" s="24"/>
    </row>
    <row r="771" customFormat="false" ht="15" hidden="false" customHeight="false" outlineLevel="0" collapsed="false">
      <c r="A771" s="25"/>
      <c r="B771" s="20"/>
      <c r="C771" s="21"/>
      <c r="D771" s="21"/>
      <c r="E771" s="26"/>
      <c r="F771" s="21"/>
      <c r="G771" s="24"/>
    </row>
    <row r="772" customFormat="false" ht="15" hidden="false" customHeight="false" outlineLevel="0" collapsed="false">
      <c r="A772" s="25"/>
      <c r="B772" s="20"/>
      <c r="C772" s="21"/>
      <c r="D772" s="21"/>
      <c r="E772" s="26"/>
      <c r="F772" s="21"/>
      <c r="G772" s="24"/>
    </row>
    <row r="773" customFormat="false" ht="15" hidden="false" customHeight="false" outlineLevel="0" collapsed="false">
      <c r="A773" s="25"/>
      <c r="B773" s="20"/>
      <c r="C773" s="21"/>
      <c r="D773" s="21"/>
      <c r="E773" s="26"/>
      <c r="F773" s="21"/>
      <c r="G773" s="24"/>
    </row>
    <row r="774" customFormat="false" ht="15" hidden="false" customHeight="false" outlineLevel="0" collapsed="false">
      <c r="A774" s="25"/>
      <c r="B774" s="20"/>
      <c r="C774" s="21"/>
      <c r="D774" s="21"/>
      <c r="E774" s="26"/>
      <c r="F774" s="21"/>
      <c r="G774" s="24"/>
    </row>
    <row r="775" customFormat="false" ht="15" hidden="false" customHeight="false" outlineLevel="0" collapsed="false">
      <c r="A775" s="25"/>
      <c r="B775" s="20"/>
      <c r="C775" s="21"/>
      <c r="D775" s="21"/>
      <c r="E775" s="26"/>
      <c r="F775" s="21"/>
      <c r="G775" s="24"/>
    </row>
    <row r="776" customFormat="false" ht="15" hidden="false" customHeight="false" outlineLevel="0" collapsed="false">
      <c r="A776" s="25"/>
      <c r="B776" s="20"/>
      <c r="C776" s="21"/>
      <c r="D776" s="21"/>
      <c r="E776" s="26"/>
      <c r="F776" s="21"/>
      <c r="G776" s="24"/>
    </row>
    <row r="777" customFormat="false" ht="15" hidden="false" customHeight="false" outlineLevel="0" collapsed="false">
      <c r="A777" s="25"/>
      <c r="B777" s="20"/>
      <c r="C777" s="21"/>
      <c r="D777" s="21"/>
      <c r="E777" s="26"/>
      <c r="F777" s="21"/>
      <c r="G777" s="24"/>
    </row>
    <row r="778" customFormat="false" ht="15" hidden="false" customHeight="false" outlineLevel="0" collapsed="false">
      <c r="A778" s="25"/>
      <c r="B778" s="20"/>
      <c r="C778" s="21"/>
      <c r="D778" s="21"/>
      <c r="E778" s="26"/>
      <c r="F778" s="21"/>
      <c r="G778" s="24"/>
    </row>
    <row r="779" customFormat="false" ht="15" hidden="false" customHeight="false" outlineLevel="0" collapsed="false">
      <c r="A779" s="25"/>
      <c r="B779" s="20"/>
      <c r="C779" s="21"/>
      <c r="D779" s="21"/>
      <c r="E779" s="26"/>
      <c r="F779" s="21"/>
      <c r="G779" s="24"/>
    </row>
    <row r="780" customFormat="false" ht="15" hidden="false" customHeight="false" outlineLevel="0" collapsed="false">
      <c r="A780" s="25"/>
      <c r="B780" s="20"/>
      <c r="C780" s="21"/>
      <c r="D780" s="21"/>
      <c r="E780" s="26"/>
      <c r="F780" s="21"/>
      <c r="G780" s="24"/>
    </row>
    <row r="781" customFormat="false" ht="15" hidden="false" customHeight="false" outlineLevel="0" collapsed="false">
      <c r="A781" s="25"/>
      <c r="B781" s="20"/>
      <c r="C781" s="21"/>
      <c r="D781" s="21"/>
      <c r="E781" s="26"/>
      <c r="F781" s="21"/>
      <c r="G781" s="24"/>
    </row>
    <row r="782" customFormat="false" ht="15" hidden="false" customHeight="false" outlineLevel="0" collapsed="false">
      <c r="A782" s="25"/>
      <c r="B782" s="20"/>
      <c r="C782" s="21"/>
      <c r="D782" s="21"/>
      <c r="E782" s="26"/>
      <c r="F782" s="21"/>
      <c r="G782" s="24"/>
    </row>
    <row r="783" customFormat="false" ht="15" hidden="false" customHeight="false" outlineLevel="0" collapsed="false">
      <c r="A783" s="25"/>
      <c r="B783" s="20"/>
      <c r="C783" s="21"/>
      <c r="D783" s="21"/>
      <c r="E783" s="26"/>
      <c r="F783" s="21"/>
      <c r="G783" s="24"/>
    </row>
    <row r="784" customFormat="false" ht="15" hidden="false" customHeight="false" outlineLevel="0" collapsed="false">
      <c r="A784" s="25"/>
      <c r="B784" s="20"/>
      <c r="C784" s="21"/>
      <c r="D784" s="21"/>
      <c r="E784" s="26"/>
      <c r="F784" s="21"/>
      <c r="G784" s="24"/>
    </row>
    <row r="785" customFormat="false" ht="15" hidden="false" customHeight="false" outlineLevel="0" collapsed="false">
      <c r="A785" s="25"/>
      <c r="B785" s="20"/>
      <c r="C785" s="21"/>
      <c r="D785" s="21"/>
      <c r="E785" s="26"/>
      <c r="F785" s="21"/>
      <c r="G785" s="24"/>
    </row>
    <row r="786" customFormat="false" ht="15" hidden="false" customHeight="false" outlineLevel="0" collapsed="false">
      <c r="A786" s="25"/>
      <c r="B786" s="20"/>
      <c r="C786" s="21"/>
      <c r="D786" s="21"/>
      <c r="E786" s="26"/>
      <c r="F786" s="21"/>
      <c r="G786" s="24"/>
    </row>
    <row r="787" customFormat="false" ht="15" hidden="false" customHeight="false" outlineLevel="0" collapsed="false">
      <c r="A787" s="25"/>
      <c r="B787" s="20"/>
      <c r="C787" s="21"/>
      <c r="D787" s="21"/>
      <c r="E787" s="26"/>
      <c r="F787" s="21"/>
      <c r="G787" s="24"/>
    </row>
    <row r="788" customFormat="false" ht="15" hidden="false" customHeight="false" outlineLevel="0" collapsed="false">
      <c r="A788" s="25"/>
      <c r="B788" s="20"/>
      <c r="C788" s="21"/>
      <c r="D788" s="21"/>
      <c r="E788" s="26"/>
      <c r="F788" s="21"/>
      <c r="G788" s="24"/>
    </row>
    <row r="789" customFormat="false" ht="15" hidden="false" customHeight="false" outlineLevel="0" collapsed="false">
      <c r="A789" s="25"/>
      <c r="B789" s="20"/>
      <c r="C789" s="21"/>
      <c r="D789" s="21"/>
      <c r="E789" s="26"/>
      <c r="F789" s="21"/>
      <c r="G789" s="24"/>
    </row>
    <row r="790" customFormat="false" ht="15" hidden="false" customHeight="false" outlineLevel="0" collapsed="false">
      <c r="A790" s="25"/>
      <c r="B790" s="20"/>
      <c r="C790" s="21"/>
      <c r="D790" s="21"/>
      <c r="E790" s="26"/>
      <c r="F790" s="21"/>
      <c r="G790" s="24"/>
    </row>
    <row r="791" customFormat="false" ht="15" hidden="false" customHeight="false" outlineLevel="0" collapsed="false">
      <c r="A791" s="25"/>
      <c r="B791" s="20"/>
      <c r="C791" s="21"/>
      <c r="D791" s="21"/>
      <c r="E791" s="26"/>
      <c r="F791" s="21"/>
      <c r="G791" s="24"/>
    </row>
    <row r="792" customFormat="false" ht="15" hidden="false" customHeight="false" outlineLevel="0" collapsed="false">
      <c r="A792" s="25"/>
      <c r="B792" s="20"/>
      <c r="C792" s="21"/>
      <c r="D792" s="21"/>
      <c r="E792" s="26"/>
      <c r="F792" s="21"/>
      <c r="G792" s="24"/>
    </row>
    <row r="793" customFormat="false" ht="15" hidden="false" customHeight="false" outlineLevel="0" collapsed="false">
      <c r="A793" s="25"/>
      <c r="B793" s="20"/>
      <c r="C793" s="21"/>
      <c r="D793" s="21"/>
      <c r="E793" s="26"/>
      <c r="F793" s="21"/>
      <c r="G793" s="24"/>
    </row>
    <row r="794" customFormat="false" ht="15" hidden="false" customHeight="false" outlineLevel="0" collapsed="false">
      <c r="A794" s="25"/>
      <c r="B794" s="20"/>
      <c r="C794" s="21"/>
      <c r="D794" s="21"/>
      <c r="E794" s="26"/>
      <c r="F794" s="21"/>
      <c r="G794" s="24"/>
    </row>
    <row r="795" customFormat="false" ht="15" hidden="false" customHeight="false" outlineLevel="0" collapsed="false">
      <c r="A795" s="25"/>
      <c r="B795" s="20"/>
      <c r="C795" s="21"/>
      <c r="D795" s="21"/>
      <c r="E795" s="26"/>
      <c r="F795" s="21"/>
      <c r="G795" s="24"/>
    </row>
    <row r="796" customFormat="false" ht="15" hidden="false" customHeight="false" outlineLevel="0" collapsed="false">
      <c r="A796" s="25"/>
      <c r="B796" s="20"/>
      <c r="C796" s="21"/>
      <c r="D796" s="21"/>
      <c r="E796" s="26"/>
      <c r="F796" s="21"/>
      <c r="G796" s="24"/>
    </row>
    <row r="797" customFormat="false" ht="15" hidden="false" customHeight="false" outlineLevel="0" collapsed="false">
      <c r="A797" s="25"/>
      <c r="B797" s="20"/>
      <c r="C797" s="21"/>
      <c r="D797" s="21"/>
      <c r="E797" s="26"/>
      <c r="F797" s="21"/>
      <c r="G797" s="24"/>
    </row>
    <row r="798" customFormat="false" ht="15" hidden="false" customHeight="false" outlineLevel="0" collapsed="false">
      <c r="A798" s="25"/>
      <c r="B798" s="20"/>
      <c r="C798" s="21"/>
      <c r="D798" s="21"/>
      <c r="E798" s="26"/>
      <c r="F798" s="21"/>
      <c r="G798" s="24"/>
    </row>
    <row r="799" customFormat="false" ht="15" hidden="false" customHeight="false" outlineLevel="0" collapsed="false">
      <c r="A799" s="25"/>
      <c r="B799" s="20"/>
      <c r="C799" s="21"/>
      <c r="D799" s="21"/>
      <c r="E799" s="26"/>
      <c r="F799" s="21"/>
      <c r="G799" s="24"/>
    </row>
    <row r="800" customFormat="false" ht="15" hidden="false" customHeight="false" outlineLevel="0" collapsed="false">
      <c r="A800" s="25"/>
      <c r="B800" s="20"/>
      <c r="C800" s="21"/>
      <c r="D800" s="21"/>
      <c r="E800" s="26"/>
      <c r="F800" s="21"/>
      <c r="G800" s="24"/>
    </row>
    <row r="801" customFormat="false" ht="15" hidden="false" customHeight="false" outlineLevel="0" collapsed="false">
      <c r="A801" s="25"/>
      <c r="B801" s="20"/>
      <c r="C801" s="21"/>
      <c r="D801" s="21"/>
      <c r="E801" s="26"/>
      <c r="F801" s="21"/>
      <c r="G801" s="24"/>
    </row>
    <row r="802" customFormat="false" ht="15" hidden="false" customHeight="false" outlineLevel="0" collapsed="false">
      <c r="A802" s="25"/>
      <c r="B802" s="20"/>
      <c r="C802" s="21"/>
      <c r="D802" s="21"/>
      <c r="E802" s="26"/>
      <c r="F802" s="21"/>
      <c r="G802" s="24"/>
    </row>
    <row r="803" customFormat="false" ht="15" hidden="false" customHeight="false" outlineLevel="0" collapsed="false">
      <c r="A803" s="25"/>
      <c r="B803" s="20"/>
      <c r="C803" s="21"/>
      <c r="D803" s="21"/>
      <c r="E803" s="26"/>
      <c r="F803" s="21"/>
      <c r="G803" s="24"/>
    </row>
    <row r="804" customFormat="false" ht="15" hidden="false" customHeight="false" outlineLevel="0" collapsed="false">
      <c r="A804" s="25"/>
      <c r="B804" s="20"/>
      <c r="C804" s="21"/>
      <c r="D804" s="21"/>
      <c r="E804" s="26"/>
      <c r="F804" s="21"/>
      <c r="G804" s="24"/>
    </row>
    <row r="805" customFormat="false" ht="15" hidden="false" customHeight="false" outlineLevel="0" collapsed="false">
      <c r="A805" s="25"/>
      <c r="B805" s="20"/>
      <c r="C805" s="21"/>
      <c r="D805" s="21"/>
      <c r="E805" s="26"/>
      <c r="F805" s="21"/>
      <c r="G805" s="24"/>
    </row>
    <row r="806" customFormat="false" ht="15" hidden="false" customHeight="false" outlineLevel="0" collapsed="false">
      <c r="A806" s="25"/>
      <c r="B806" s="20"/>
      <c r="C806" s="21"/>
      <c r="D806" s="21"/>
      <c r="E806" s="26"/>
      <c r="F806" s="21"/>
      <c r="G806" s="24"/>
    </row>
    <row r="807" customFormat="false" ht="15" hidden="false" customHeight="false" outlineLevel="0" collapsed="false">
      <c r="A807" s="25"/>
      <c r="B807" s="20"/>
      <c r="C807" s="21"/>
      <c r="D807" s="21"/>
      <c r="E807" s="26"/>
      <c r="F807" s="21"/>
      <c r="G807" s="24"/>
    </row>
    <row r="808" customFormat="false" ht="15" hidden="false" customHeight="false" outlineLevel="0" collapsed="false">
      <c r="A808" s="25"/>
      <c r="B808" s="20"/>
      <c r="C808" s="21"/>
      <c r="D808" s="21"/>
      <c r="E808" s="26"/>
      <c r="F808" s="21"/>
      <c r="G808" s="24"/>
    </row>
    <row r="809" customFormat="false" ht="15" hidden="false" customHeight="false" outlineLevel="0" collapsed="false">
      <c r="A809" s="25"/>
      <c r="B809" s="20"/>
      <c r="C809" s="21"/>
      <c r="D809" s="21"/>
      <c r="E809" s="26"/>
      <c r="F809" s="21"/>
      <c r="G809" s="24"/>
    </row>
    <row r="810" customFormat="false" ht="15" hidden="false" customHeight="false" outlineLevel="0" collapsed="false">
      <c r="A810" s="25"/>
      <c r="B810" s="20"/>
      <c r="C810" s="21"/>
      <c r="D810" s="21"/>
      <c r="E810" s="26"/>
      <c r="F810" s="21"/>
      <c r="G810" s="24"/>
    </row>
    <row r="811" customFormat="false" ht="15" hidden="false" customHeight="false" outlineLevel="0" collapsed="false">
      <c r="A811" s="25"/>
      <c r="B811" s="20"/>
      <c r="C811" s="21"/>
      <c r="D811" s="21"/>
      <c r="E811" s="26"/>
      <c r="F811" s="21"/>
      <c r="G811" s="24"/>
    </row>
    <row r="812" customFormat="false" ht="15" hidden="false" customHeight="false" outlineLevel="0" collapsed="false">
      <c r="A812" s="25"/>
      <c r="B812" s="20"/>
      <c r="C812" s="21"/>
      <c r="D812" s="21"/>
      <c r="E812" s="26"/>
      <c r="F812" s="21"/>
      <c r="G812" s="24"/>
    </row>
    <row r="813" customFormat="false" ht="15" hidden="false" customHeight="false" outlineLevel="0" collapsed="false">
      <c r="A813" s="25"/>
      <c r="B813" s="20"/>
      <c r="C813" s="21"/>
      <c r="D813" s="21"/>
      <c r="E813" s="26"/>
      <c r="F813" s="21"/>
      <c r="G813" s="24"/>
    </row>
    <row r="814" customFormat="false" ht="15" hidden="false" customHeight="false" outlineLevel="0" collapsed="false">
      <c r="A814" s="25"/>
      <c r="B814" s="20"/>
      <c r="C814" s="21"/>
      <c r="D814" s="21"/>
      <c r="E814" s="26"/>
      <c r="F814" s="21"/>
      <c r="G814" s="24"/>
    </row>
    <row r="815" customFormat="false" ht="15" hidden="false" customHeight="false" outlineLevel="0" collapsed="false">
      <c r="A815" s="25"/>
      <c r="B815" s="20"/>
      <c r="C815" s="21"/>
      <c r="D815" s="21"/>
      <c r="E815" s="26"/>
      <c r="F815" s="21"/>
      <c r="G815" s="24"/>
    </row>
    <row r="816" customFormat="false" ht="15" hidden="false" customHeight="false" outlineLevel="0" collapsed="false">
      <c r="A816" s="25"/>
      <c r="B816" s="20"/>
      <c r="C816" s="21"/>
      <c r="D816" s="21"/>
      <c r="E816" s="26"/>
      <c r="F816" s="21"/>
      <c r="G816" s="24"/>
    </row>
    <row r="817" customFormat="false" ht="15" hidden="false" customHeight="false" outlineLevel="0" collapsed="false">
      <c r="A817" s="25"/>
      <c r="B817" s="20"/>
      <c r="C817" s="21"/>
      <c r="D817" s="21"/>
      <c r="E817" s="26"/>
      <c r="F817" s="21"/>
      <c r="G817" s="24"/>
    </row>
    <row r="818" customFormat="false" ht="15" hidden="false" customHeight="false" outlineLevel="0" collapsed="false">
      <c r="A818" s="25"/>
      <c r="B818" s="20"/>
      <c r="C818" s="21"/>
      <c r="D818" s="21"/>
      <c r="E818" s="26"/>
      <c r="F818" s="21"/>
      <c r="G818" s="24"/>
    </row>
    <row r="819" customFormat="false" ht="15" hidden="false" customHeight="false" outlineLevel="0" collapsed="false">
      <c r="A819" s="25"/>
      <c r="B819" s="20"/>
      <c r="C819" s="21"/>
      <c r="D819" s="21"/>
      <c r="E819" s="26"/>
      <c r="F819" s="21"/>
      <c r="G819" s="24"/>
    </row>
    <row r="820" customFormat="false" ht="15" hidden="false" customHeight="false" outlineLevel="0" collapsed="false">
      <c r="A820" s="25"/>
      <c r="B820" s="20"/>
      <c r="C820" s="21"/>
      <c r="D820" s="21"/>
      <c r="E820" s="26"/>
      <c r="F820" s="21"/>
      <c r="G820" s="24"/>
    </row>
    <row r="821" customFormat="false" ht="15" hidden="false" customHeight="false" outlineLevel="0" collapsed="false">
      <c r="A821" s="25"/>
      <c r="B821" s="20"/>
      <c r="C821" s="21"/>
      <c r="D821" s="21"/>
      <c r="E821" s="26"/>
      <c r="F821" s="21"/>
      <c r="G821" s="24"/>
    </row>
    <row r="822" customFormat="false" ht="15" hidden="false" customHeight="false" outlineLevel="0" collapsed="false">
      <c r="A822" s="25"/>
      <c r="B822" s="20"/>
      <c r="C822" s="21"/>
      <c r="D822" s="21"/>
      <c r="E822" s="26"/>
      <c r="F822" s="21"/>
      <c r="G822" s="24"/>
    </row>
    <row r="823" customFormat="false" ht="15" hidden="false" customHeight="false" outlineLevel="0" collapsed="false">
      <c r="A823" s="25"/>
      <c r="B823" s="20"/>
      <c r="C823" s="21"/>
      <c r="D823" s="21"/>
      <c r="E823" s="26"/>
      <c r="F823" s="21"/>
      <c r="G823" s="24"/>
    </row>
    <row r="824" customFormat="false" ht="15" hidden="false" customHeight="false" outlineLevel="0" collapsed="false">
      <c r="A824" s="25"/>
      <c r="B824" s="20"/>
      <c r="C824" s="21"/>
      <c r="D824" s="21"/>
      <c r="E824" s="26"/>
      <c r="F824" s="21"/>
      <c r="G824" s="24"/>
    </row>
    <row r="825" customFormat="false" ht="15" hidden="false" customHeight="false" outlineLevel="0" collapsed="false">
      <c r="A825" s="25"/>
      <c r="B825" s="20"/>
      <c r="C825" s="21"/>
      <c r="D825" s="21"/>
      <c r="E825" s="26"/>
      <c r="F825" s="21"/>
      <c r="G825" s="24"/>
    </row>
    <row r="826" customFormat="false" ht="15" hidden="false" customHeight="false" outlineLevel="0" collapsed="false">
      <c r="A826" s="25"/>
      <c r="B826" s="20"/>
      <c r="C826" s="21"/>
      <c r="D826" s="21"/>
      <c r="E826" s="26"/>
      <c r="F826" s="21"/>
      <c r="G826" s="24"/>
    </row>
    <row r="827" customFormat="false" ht="15" hidden="false" customHeight="false" outlineLevel="0" collapsed="false">
      <c r="A827" s="25"/>
      <c r="B827" s="20"/>
      <c r="C827" s="21"/>
      <c r="D827" s="21"/>
      <c r="E827" s="26"/>
      <c r="F827" s="21"/>
      <c r="G827" s="24"/>
    </row>
    <row r="828" customFormat="false" ht="15" hidden="false" customHeight="false" outlineLevel="0" collapsed="false">
      <c r="A828" s="25"/>
      <c r="B828" s="20"/>
      <c r="C828" s="21"/>
      <c r="D828" s="21"/>
      <c r="E828" s="26"/>
      <c r="F828" s="21"/>
      <c r="G828" s="24"/>
    </row>
    <row r="829" customFormat="false" ht="15" hidden="false" customHeight="false" outlineLevel="0" collapsed="false">
      <c r="A829" s="25"/>
      <c r="B829" s="20"/>
      <c r="C829" s="21"/>
      <c r="D829" s="21"/>
      <c r="E829" s="26"/>
      <c r="F829" s="21"/>
      <c r="G829" s="24"/>
    </row>
    <row r="830" customFormat="false" ht="15" hidden="false" customHeight="false" outlineLevel="0" collapsed="false">
      <c r="A830" s="25"/>
      <c r="B830" s="20"/>
      <c r="C830" s="21"/>
      <c r="D830" s="21"/>
      <c r="E830" s="26"/>
      <c r="F830" s="21"/>
      <c r="G830" s="24"/>
    </row>
    <row r="831" customFormat="false" ht="15" hidden="false" customHeight="false" outlineLevel="0" collapsed="false">
      <c r="A831" s="25"/>
      <c r="B831" s="20"/>
      <c r="C831" s="21"/>
      <c r="D831" s="21"/>
      <c r="E831" s="26"/>
      <c r="F831" s="21"/>
      <c r="G831" s="24"/>
    </row>
    <row r="832" customFormat="false" ht="15" hidden="false" customHeight="false" outlineLevel="0" collapsed="false">
      <c r="A832" s="25"/>
      <c r="B832" s="20"/>
      <c r="C832" s="21"/>
      <c r="D832" s="21"/>
      <c r="E832" s="26"/>
      <c r="F832" s="21"/>
      <c r="G832" s="24"/>
    </row>
    <row r="833" customFormat="false" ht="15" hidden="false" customHeight="false" outlineLevel="0" collapsed="false">
      <c r="A833" s="25"/>
      <c r="B833" s="20"/>
      <c r="C833" s="21"/>
      <c r="D833" s="21"/>
      <c r="E833" s="26"/>
      <c r="F833" s="21"/>
      <c r="G833" s="24"/>
    </row>
    <row r="834" customFormat="false" ht="15" hidden="false" customHeight="false" outlineLevel="0" collapsed="false">
      <c r="A834" s="25"/>
      <c r="B834" s="20"/>
      <c r="C834" s="21"/>
      <c r="D834" s="21"/>
      <c r="E834" s="26"/>
      <c r="F834" s="21"/>
      <c r="G834" s="24"/>
    </row>
    <row r="835" customFormat="false" ht="15" hidden="false" customHeight="false" outlineLevel="0" collapsed="false">
      <c r="A835" s="25"/>
      <c r="B835" s="20"/>
      <c r="C835" s="21"/>
      <c r="D835" s="21"/>
      <c r="E835" s="26"/>
      <c r="F835" s="21"/>
      <c r="G835" s="24"/>
    </row>
    <row r="836" customFormat="false" ht="15" hidden="false" customHeight="false" outlineLevel="0" collapsed="false">
      <c r="A836" s="25"/>
      <c r="B836" s="20"/>
      <c r="C836" s="21"/>
      <c r="D836" s="21"/>
      <c r="E836" s="26"/>
      <c r="F836" s="21"/>
      <c r="G836" s="24"/>
    </row>
    <row r="837" customFormat="false" ht="15" hidden="false" customHeight="false" outlineLevel="0" collapsed="false">
      <c r="A837" s="25"/>
      <c r="B837" s="20"/>
      <c r="C837" s="21"/>
      <c r="D837" s="21"/>
      <c r="E837" s="26"/>
      <c r="F837" s="21"/>
      <c r="G837" s="24"/>
    </row>
    <row r="838" customFormat="false" ht="15" hidden="false" customHeight="false" outlineLevel="0" collapsed="false">
      <c r="A838" s="25"/>
      <c r="B838" s="20"/>
      <c r="C838" s="21"/>
      <c r="D838" s="21"/>
      <c r="E838" s="26"/>
      <c r="F838" s="21"/>
      <c r="G838" s="24"/>
    </row>
    <row r="839" customFormat="false" ht="15" hidden="false" customHeight="false" outlineLevel="0" collapsed="false">
      <c r="A839" s="25"/>
      <c r="B839" s="20"/>
      <c r="C839" s="21"/>
      <c r="D839" s="21"/>
      <c r="E839" s="26"/>
      <c r="F839" s="21"/>
      <c r="G839" s="24"/>
    </row>
    <row r="840" customFormat="false" ht="15" hidden="false" customHeight="false" outlineLevel="0" collapsed="false">
      <c r="A840" s="25"/>
      <c r="B840" s="20"/>
      <c r="C840" s="21"/>
      <c r="D840" s="21"/>
      <c r="E840" s="26"/>
      <c r="F840" s="21"/>
      <c r="G840" s="24"/>
    </row>
    <row r="841" customFormat="false" ht="15" hidden="false" customHeight="false" outlineLevel="0" collapsed="false">
      <c r="A841" s="25"/>
      <c r="B841" s="20"/>
      <c r="C841" s="21"/>
      <c r="D841" s="21"/>
      <c r="E841" s="26"/>
      <c r="F841" s="21"/>
      <c r="G841" s="24"/>
    </row>
    <row r="842" customFormat="false" ht="15" hidden="false" customHeight="false" outlineLevel="0" collapsed="false">
      <c r="A842" s="25"/>
      <c r="B842" s="20"/>
      <c r="C842" s="21"/>
      <c r="D842" s="21"/>
      <c r="E842" s="26"/>
      <c r="F842" s="21"/>
      <c r="G842" s="24"/>
    </row>
    <row r="843" customFormat="false" ht="15" hidden="false" customHeight="false" outlineLevel="0" collapsed="false">
      <c r="A843" s="25"/>
      <c r="B843" s="20"/>
      <c r="C843" s="21"/>
      <c r="D843" s="21"/>
      <c r="E843" s="26"/>
      <c r="F843" s="21"/>
      <c r="G843" s="24"/>
    </row>
    <row r="844" customFormat="false" ht="15" hidden="false" customHeight="false" outlineLevel="0" collapsed="false">
      <c r="A844" s="25"/>
      <c r="B844" s="20"/>
      <c r="C844" s="21"/>
      <c r="D844" s="21"/>
      <c r="E844" s="26"/>
      <c r="F844" s="21"/>
      <c r="G844" s="24"/>
    </row>
    <row r="845" customFormat="false" ht="15" hidden="false" customHeight="false" outlineLevel="0" collapsed="false">
      <c r="A845" s="25"/>
      <c r="B845" s="20"/>
      <c r="C845" s="21"/>
      <c r="D845" s="21"/>
      <c r="E845" s="26"/>
      <c r="F845" s="21"/>
      <c r="G845" s="24"/>
    </row>
    <row r="846" customFormat="false" ht="15" hidden="false" customHeight="false" outlineLevel="0" collapsed="false">
      <c r="A846" s="25"/>
      <c r="B846" s="20"/>
      <c r="C846" s="21"/>
      <c r="D846" s="21"/>
      <c r="E846" s="26"/>
      <c r="F846" s="21"/>
      <c r="G846" s="24"/>
    </row>
    <row r="847" customFormat="false" ht="15" hidden="false" customHeight="false" outlineLevel="0" collapsed="false">
      <c r="A847" s="25"/>
      <c r="B847" s="20"/>
      <c r="C847" s="21"/>
      <c r="D847" s="21"/>
      <c r="E847" s="26"/>
      <c r="F847" s="21"/>
      <c r="G847" s="24"/>
    </row>
    <row r="848" customFormat="false" ht="15" hidden="false" customHeight="false" outlineLevel="0" collapsed="false">
      <c r="A848" s="25"/>
      <c r="B848" s="20"/>
      <c r="C848" s="21"/>
      <c r="D848" s="21"/>
      <c r="E848" s="26"/>
      <c r="F848" s="21"/>
      <c r="G848" s="24"/>
    </row>
    <row r="849" customFormat="false" ht="15" hidden="false" customHeight="false" outlineLevel="0" collapsed="false">
      <c r="A849" s="25"/>
      <c r="B849" s="20"/>
      <c r="C849" s="21"/>
      <c r="D849" s="21"/>
      <c r="E849" s="26"/>
      <c r="F849" s="21"/>
      <c r="G849" s="24"/>
    </row>
    <row r="850" customFormat="false" ht="15" hidden="false" customHeight="false" outlineLevel="0" collapsed="false">
      <c r="A850" s="25"/>
      <c r="B850" s="20"/>
      <c r="C850" s="21"/>
      <c r="D850" s="21"/>
      <c r="E850" s="26"/>
      <c r="F850" s="21"/>
      <c r="G850" s="24"/>
    </row>
    <row r="851" customFormat="false" ht="15" hidden="false" customHeight="false" outlineLevel="0" collapsed="false">
      <c r="A851" s="25"/>
      <c r="B851" s="20"/>
      <c r="C851" s="21"/>
      <c r="D851" s="21"/>
      <c r="E851" s="26"/>
      <c r="F851" s="21"/>
      <c r="G851" s="24"/>
    </row>
    <row r="852" customFormat="false" ht="15" hidden="false" customHeight="false" outlineLevel="0" collapsed="false">
      <c r="A852" s="25"/>
      <c r="B852" s="20"/>
      <c r="C852" s="21"/>
      <c r="D852" s="21"/>
      <c r="E852" s="26"/>
      <c r="F852" s="21"/>
      <c r="G852" s="24"/>
    </row>
    <row r="853" customFormat="false" ht="15" hidden="false" customHeight="false" outlineLevel="0" collapsed="false">
      <c r="A853" s="25"/>
      <c r="B853" s="20"/>
      <c r="C853" s="21"/>
      <c r="D853" s="21"/>
      <c r="E853" s="26"/>
      <c r="F853" s="21"/>
      <c r="G853" s="24"/>
    </row>
    <row r="854" customFormat="false" ht="15" hidden="false" customHeight="false" outlineLevel="0" collapsed="false">
      <c r="A854" s="25"/>
      <c r="B854" s="20"/>
      <c r="C854" s="21"/>
      <c r="D854" s="21"/>
      <c r="E854" s="26"/>
      <c r="F854" s="21"/>
      <c r="G854" s="24"/>
    </row>
    <row r="855" customFormat="false" ht="15" hidden="false" customHeight="false" outlineLevel="0" collapsed="false">
      <c r="A855" s="25"/>
      <c r="B855" s="20"/>
      <c r="C855" s="21"/>
      <c r="D855" s="21"/>
      <c r="E855" s="26"/>
      <c r="F855" s="21"/>
      <c r="G855" s="24"/>
    </row>
    <row r="856" customFormat="false" ht="15" hidden="false" customHeight="false" outlineLevel="0" collapsed="false">
      <c r="A856" s="25"/>
      <c r="B856" s="20"/>
      <c r="C856" s="21"/>
      <c r="D856" s="21"/>
      <c r="E856" s="26"/>
      <c r="F856" s="21"/>
      <c r="G856" s="24"/>
    </row>
    <row r="857" customFormat="false" ht="15" hidden="false" customHeight="false" outlineLevel="0" collapsed="false">
      <c r="A857" s="25"/>
      <c r="B857" s="20"/>
      <c r="C857" s="21"/>
      <c r="D857" s="21"/>
      <c r="E857" s="26"/>
      <c r="F857" s="21"/>
      <c r="G857" s="24"/>
    </row>
    <row r="858" customFormat="false" ht="15" hidden="false" customHeight="false" outlineLevel="0" collapsed="false">
      <c r="A858" s="25"/>
      <c r="B858" s="20"/>
      <c r="C858" s="21"/>
      <c r="D858" s="21"/>
      <c r="E858" s="26"/>
      <c r="F858" s="21"/>
      <c r="G858" s="24"/>
    </row>
    <row r="859" customFormat="false" ht="15" hidden="false" customHeight="false" outlineLevel="0" collapsed="false">
      <c r="A859" s="25"/>
      <c r="B859" s="20"/>
      <c r="C859" s="21"/>
      <c r="D859" s="21"/>
      <c r="E859" s="26"/>
      <c r="F859" s="21"/>
      <c r="G859" s="24"/>
    </row>
    <row r="860" customFormat="false" ht="15" hidden="false" customHeight="false" outlineLevel="0" collapsed="false">
      <c r="A860" s="25"/>
      <c r="B860" s="20"/>
      <c r="C860" s="21"/>
      <c r="D860" s="21"/>
      <c r="E860" s="26"/>
      <c r="F860" s="21"/>
      <c r="G860" s="24"/>
    </row>
    <row r="861" customFormat="false" ht="15" hidden="false" customHeight="false" outlineLevel="0" collapsed="false">
      <c r="A861" s="25"/>
      <c r="B861" s="20"/>
      <c r="C861" s="21"/>
      <c r="D861" s="21"/>
      <c r="E861" s="26"/>
      <c r="F861" s="21"/>
      <c r="G861" s="24"/>
    </row>
    <row r="862" customFormat="false" ht="15" hidden="false" customHeight="false" outlineLevel="0" collapsed="false">
      <c r="A862" s="25"/>
      <c r="B862" s="20"/>
      <c r="C862" s="21"/>
      <c r="D862" s="21"/>
      <c r="E862" s="26"/>
      <c r="F862" s="21"/>
      <c r="G862" s="24"/>
    </row>
    <row r="863" customFormat="false" ht="15" hidden="false" customHeight="false" outlineLevel="0" collapsed="false">
      <c r="A863" s="25"/>
      <c r="B863" s="20"/>
      <c r="C863" s="21"/>
      <c r="D863" s="21"/>
      <c r="E863" s="26"/>
      <c r="F863" s="21"/>
      <c r="G863" s="24"/>
    </row>
    <row r="864" customFormat="false" ht="15" hidden="false" customHeight="false" outlineLevel="0" collapsed="false">
      <c r="A864" s="25"/>
      <c r="B864" s="20"/>
      <c r="C864" s="21"/>
      <c r="D864" s="21"/>
      <c r="E864" s="26"/>
      <c r="F864" s="21"/>
      <c r="G864" s="24"/>
    </row>
    <row r="865" customFormat="false" ht="15" hidden="false" customHeight="false" outlineLevel="0" collapsed="false">
      <c r="A865" s="25"/>
      <c r="B865" s="20"/>
      <c r="C865" s="21"/>
      <c r="D865" s="21"/>
      <c r="E865" s="26"/>
      <c r="F865" s="21"/>
      <c r="G865" s="24"/>
    </row>
    <row r="866" customFormat="false" ht="15" hidden="false" customHeight="false" outlineLevel="0" collapsed="false">
      <c r="A866" s="25"/>
      <c r="B866" s="20"/>
      <c r="C866" s="21"/>
      <c r="D866" s="21"/>
      <c r="E866" s="26"/>
      <c r="F866" s="21"/>
      <c r="G866" s="24"/>
    </row>
    <row r="867" customFormat="false" ht="15" hidden="false" customHeight="false" outlineLevel="0" collapsed="false">
      <c r="A867" s="25"/>
      <c r="B867" s="20"/>
      <c r="C867" s="21"/>
      <c r="D867" s="21"/>
      <c r="E867" s="26"/>
      <c r="F867" s="21"/>
      <c r="G867" s="24"/>
    </row>
    <row r="868" customFormat="false" ht="15" hidden="false" customHeight="false" outlineLevel="0" collapsed="false">
      <c r="A868" s="25"/>
      <c r="B868" s="20"/>
      <c r="C868" s="21"/>
      <c r="D868" s="21"/>
      <c r="E868" s="26"/>
      <c r="F868" s="21"/>
      <c r="G868" s="24"/>
    </row>
    <row r="869" customFormat="false" ht="15" hidden="false" customHeight="false" outlineLevel="0" collapsed="false">
      <c r="A869" s="25"/>
      <c r="B869" s="20"/>
      <c r="C869" s="21"/>
      <c r="D869" s="21"/>
      <c r="E869" s="26"/>
      <c r="F869" s="21"/>
      <c r="G869" s="24"/>
    </row>
    <row r="870" customFormat="false" ht="15" hidden="false" customHeight="false" outlineLevel="0" collapsed="false">
      <c r="A870" s="25"/>
      <c r="B870" s="20"/>
      <c r="C870" s="21"/>
      <c r="D870" s="21"/>
      <c r="E870" s="26"/>
      <c r="F870" s="21"/>
      <c r="G870" s="24"/>
    </row>
    <row r="871" customFormat="false" ht="15" hidden="false" customHeight="false" outlineLevel="0" collapsed="false">
      <c r="A871" s="25"/>
      <c r="B871" s="20"/>
      <c r="C871" s="21"/>
      <c r="D871" s="21"/>
      <c r="E871" s="26"/>
      <c r="F871" s="21"/>
      <c r="G871" s="24"/>
    </row>
    <row r="872" customFormat="false" ht="15" hidden="false" customHeight="false" outlineLevel="0" collapsed="false">
      <c r="A872" s="25"/>
      <c r="B872" s="20"/>
      <c r="C872" s="21"/>
      <c r="D872" s="21"/>
      <c r="E872" s="26"/>
      <c r="F872" s="21"/>
      <c r="G872" s="24"/>
    </row>
    <row r="873" customFormat="false" ht="15" hidden="false" customHeight="false" outlineLevel="0" collapsed="false">
      <c r="A873" s="25"/>
      <c r="B873" s="20"/>
      <c r="C873" s="21"/>
      <c r="D873" s="21"/>
      <c r="E873" s="26"/>
      <c r="F873" s="21"/>
      <c r="G873" s="24"/>
    </row>
    <row r="874" customFormat="false" ht="15" hidden="false" customHeight="false" outlineLevel="0" collapsed="false">
      <c r="A874" s="25"/>
      <c r="B874" s="20"/>
      <c r="C874" s="21"/>
      <c r="D874" s="21"/>
      <c r="E874" s="26"/>
      <c r="F874" s="21"/>
      <c r="G874" s="24"/>
    </row>
    <row r="875" customFormat="false" ht="15" hidden="false" customHeight="false" outlineLevel="0" collapsed="false">
      <c r="A875" s="25"/>
      <c r="B875" s="20"/>
      <c r="C875" s="21"/>
      <c r="D875" s="21"/>
      <c r="E875" s="26"/>
      <c r="F875" s="21"/>
      <c r="G875" s="24"/>
    </row>
    <row r="876" customFormat="false" ht="15" hidden="false" customHeight="false" outlineLevel="0" collapsed="false">
      <c r="A876" s="25"/>
      <c r="B876" s="20"/>
      <c r="C876" s="21"/>
      <c r="D876" s="21"/>
      <c r="E876" s="26"/>
      <c r="F876" s="21"/>
      <c r="G876" s="24"/>
    </row>
    <row r="877" customFormat="false" ht="15" hidden="false" customHeight="false" outlineLevel="0" collapsed="false">
      <c r="A877" s="25"/>
      <c r="B877" s="20"/>
      <c r="C877" s="21"/>
      <c r="D877" s="21"/>
      <c r="E877" s="26"/>
      <c r="F877" s="21"/>
      <c r="G877" s="24"/>
    </row>
    <row r="878" customFormat="false" ht="15" hidden="false" customHeight="false" outlineLevel="0" collapsed="false">
      <c r="A878" s="25"/>
      <c r="B878" s="20"/>
      <c r="C878" s="21"/>
      <c r="D878" s="21"/>
      <c r="E878" s="26"/>
      <c r="F878" s="21"/>
      <c r="G878" s="24"/>
    </row>
    <row r="879" customFormat="false" ht="15" hidden="false" customHeight="false" outlineLevel="0" collapsed="false">
      <c r="A879" s="25"/>
      <c r="B879" s="20"/>
      <c r="C879" s="21"/>
      <c r="D879" s="21"/>
      <c r="E879" s="26"/>
      <c r="F879" s="21"/>
      <c r="G879" s="24"/>
    </row>
    <row r="880" customFormat="false" ht="15" hidden="false" customHeight="false" outlineLevel="0" collapsed="false">
      <c r="A880" s="25"/>
      <c r="B880" s="20"/>
      <c r="C880" s="21"/>
      <c r="D880" s="21"/>
      <c r="E880" s="26"/>
      <c r="F880" s="21"/>
      <c r="G880" s="24"/>
    </row>
    <row r="881" customFormat="false" ht="15" hidden="false" customHeight="false" outlineLevel="0" collapsed="false">
      <c r="A881" s="25"/>
      <c r="B881" s="20"/>
      <c r="C881" s="21"/>
      <c r="D881" s="21"/>
      <c r="E881" s="26"/>
      <c r="F881" s="21"/>
      <c r="G881" s="24"/>
    </row>
    <row r="882" customFormat="false" ht="15" hidden="false" customHeight="false" outlineLevel="0" collapsed="false">
      <c r="A882" s="25"/>
      <c r="B882" s="20"/>
      <c r="C882" s="21"/>
      <c r="D882" s="21"/>
      <c r="E882" s="26"/>
      <c r="F882" s="21"/>
      <c r="G882" s="24"/>
    </row>
    <row r="883" customFormat="false" ht="15" hidden="false" customHeight="false" outlineLevel="0" collapsed="false">
      <c r="A883" s="25"/>
      <c r="B883" s="20"/>
      <c r="C883" s="21"/>
      <c r="D883" s="21"/>
      <c r="E883" s="26"/>
      <c r="F883" s="21"/>
      <c r="G883" s="24"/>
    </row>
    <row r="884" customFormat="false" ht="15" hidden="false" customHeight="false" outlineLevel="0" collapsed="false">
      <c r="A884" s="25"/>
      <c r="B884" s="20"/>
      <c r="C884" s="21"/>
      <c r="D884" s="21"/>
      <c r="E884" s="26"/>
      <c r="F884" s="21"/>
      <c r="G884" s="24"/>
    </row>
    <row r="885" customFormat="false" ht="15" hidden="false" customHeight="false" outlineLevel="0" collapsed="false">
      <c r="A885" s="25"/>
      <c r="B885" s="20"/>
      <c r="C885" s="21"/>
      <c r="D885" s="21"/>
      <c r="E885" s="26"/>
      <c r="F885" s="21"/>
      <c r="G885" s="24"/>
    </row>
    <row r="886" customFormat="false" ht="15" hidden="false" customHeight="false" outlineLevel="0" collapsed="false">
      <c r="A886" s="25"/>
      <c r="B886" s="20"/>
      <c r="C886" s="21"/>
      <c r="D886" s="21"/>
      <c r="E886" s="26"/>
      <c r="F886" s="21"/>
      <c r="G886" s="24"/>
    </row>
    <row r="887" customFormat="false" ht="15" hidden="false" customHeight="false" outlineLevel="0" collapsed="false">
      <c r="A887" s="25"/>
      <c r="B887" s="20"/>
      <c r="C887" s="21"/>
      <c r="D887" s="21"/>
      <c r="E887" s="26"/>
      <c r="F887" s="21"/>
      <c r="G887" s="24"/>
    </row>
    <row r="888" customFormat="false" ht="15" hidden="false" customHeight="false" outlineLevel="0" collapsed="false">
      <c r="A888" s="25"/>
      <c r="B888" s="20"/>
      <c r="C888" s="21"/>
      <c r="D888" s="21"/>
      <c r="E888" s="26"/>
      <c r="F888" s="21"/>
      <c r="G888" s="24"/>
    </row>
    <row r="889" customFormat="false" ht="15" hidden="false" customHeight="false" outlineLevel="0" collapsed="false">
      <c r="A889" s="25"/>
      <c r="B889" s="20"/>
      <c r="C889" s="21"/>
      <c r="D889" s="21"/>
      <c r="E889" s="26"/>
      <c r="F889" s="21"/>
      <c r="G889" s="24"/>
    </row>
    <row r="890" customFormat="false" ht="15" hidden="false" customHeight="false" outlineLevel="0" collapsed="false">
      <c r="A890" s="25"/>
      <c r="B890" s="20"/>
      <c r="C890" s="21"/>
      <c r="D890" s="21"/>
      <c r="E890" s="26"/>
      <c r="F890" s="21"/>
      <c r="G890" s="24"/>
    </row>
    <row r="891" customFormat="false" ht="15" hidden="false" customHeight="false" outlineLevel="0" collapsed="false">
      <c r="A891" s="25"/>
      <c r="B891" s="20"/>
      <c r="C891" s="21"/>
      <c r="D891" s="21"/>
      <c r="E891" s="26"/>
      <c r="F891" s="21"/>
      <c r="G891" s="24"/>
    </row>
    <row r="892" customFormat="false" ht="15" hidden="false" customHeight="false" outlineLevel="0" collapsed="false">
      <c r="A892" s="25"/>
      <c r="B892" s="20"/>
      <c r="C892" s="21"/>
      <c r="D892" s="21"/>
      <c r="E892" s="26"/>
      <c r="F892" s="21"/>
      <c r="G892" s="24"/>
    </row>
    <row r="893" customFormat="false" ht="15" hidden="false" customHeight="false" outlineLevel="0" collapsed="false">
      <c r="A893" s="25"/>
      <c r="B893" s="20"/>
      <c r="C893" s="21"/>
      <c r="D893" s="21"/>
      <c r="E893" s="26"/>
      <c r="F893" s="21"/>
      <c r="G893" s="24"/>
    </row>
    <row r="894" customFormat="false" ht="15" hidden="false" customHeight="false" outlineLevel="0" collapsed="false">
      <c r="A894" s="25"/>
      <c r="B894" s="20"/>
      <c r="C894" s="21"/>
      <c r="D894" s="21"/>
      <c r="E894" s="26"/>
      <c r="F894" s="21"/>
      <c r="G894" s="24"/>
    </row>
    <row r="895" customFormat="false" ht="15" hidden="false" customHeight="false" outlineLevel="0" collapsed="false">
      <c r="A895" s="25"/>
      <c r="B895" s="20"/>
      <c r="C895" s="21"/>
      <c r="D895" s="21"/>
      <c r="E895" s="26"/>
      <c r="F895" s="21"/>
      <c r="G895" s="24"/>
    </row>
    <row r="896" customFormat="false" ht="15" hidden="false" customHeight="false" outlineLevel="0" collapsed="false">
      <c r="A896" s="25"/>
      <c r="B896" s="20"/>
      <c r="C896" s="21"/>
      <c r="D896" s="21"/>
      <c r="E896" s="26"/>
      <c r="F896" s="21"/>
      <c r="G896" s="24"/>
    </row>
    <row r="897" customFormat="false" ht="15" hidden="false" customHeight="false" outlineLevel="0" collapsed="false">
      <c r="A897" s="25"/>
      <c r="B897" s="20"/>
      <c r="C897" s="21"/>
      <c r="D897" s="21"/>
      <c r="E897" s="26"/>
      <c r="F897" s="21"/>
      <c r="G897" s="24"/>
    </row>
    <row r="898" customFormat="false" ht="15" hidden="false" customHeight="false" outlineLevel="0" collapsed="false">
      <c r="A898" s="25"/>
      <c r="B898" s="20"/>
      <c r="C898" s="21"/>
      <c r="D898" s="21"/>
      <c r="E898" s="26"/>
      <c r="F898" s="21"/>
      <c r="G898" s="24"/>
    </row>
    <row r="899" customFormat="false" ht="15" hidden="false" customHeight="false" outlineLevel="0" collapsed="false">
      <c r="A899" s="25"/>
      <c r="B899" s="20"/>
      <c r="C899" s="21"/>
      <c r="D899" s="21"/>
      <c r="E899" s="26"/>
      <c r="F899" s="21"/>
      <c r="G899" s="24"/>
    </row>
    <row r="900" customFormat="false" ht="15" hidden="false" customHeight="false" outlineLevel="0" collapsed="false">
      <c r="A900" s="25"/>
      <c r="B900" s="20"/>
      <c r="C900" s="21"/>
      <c r="D900" s="21"/>
      <c r="E900" s="26"/>
      <c r="F900" s="21"/>
      <c r="G900" s="24"/>
    </row>
    <row r="901" customFormat="false" ht="15" hidden="false" customHeight="false" outlineLevel="0" collapsed="false">
      <c r="A901" s="25"/>
      <c r="B901" s="20"/>
      <c r="C901" s="21"/>
      <c r="D901" s="21"/>
      <c r="E901" s="26"/>
      <c r="F901" s="21"/>
      <c r="G901" s="24"/>
    </row>
    <row r="902" customFormat="false" ht="15" hidden="false" customHeight="false" outlineLevel="0" collapsed="false">
      <c r="A902" s="25"/>
      <c r="B902" s="20"/>
      <c r="C902" s="21"/>
      <c r="D902" s="21"/>
      <c r="E902" s="26"/>
      <c r="F902" s="21"/>
      <c r="G902" s="24"/>
    </row>
    <row r="903" customFormat="false" ht="15" hidden="false" customHeight="false" outlineLevel="0" collapsed="false">
      <c r="A903" s="25"/>
      <c r="B903" s="20"/>
      <c r="C903" s="21"/>
      <c r="D903" s="21"/>
      <c r="E903" s="26"/>
      <c r="F903" s="21"/>
      <c r="G903" s="24"/>
    </row>
    <row r="904" customFormat="false" ht="15" hidden="false" customHeight="false" outlineLevel="0" collapsed="false">
      <c r="A904" s="25"/>
      <c r="B904" s="20"/>
      <c r="C904" s="21"/>
      <c r="D904" s="21"/>
      <c r="E904" s="26"/>
      <c r="F904" s="21"/>
      <c r="G904" s="24"/>
    </row>
    <row r="905" customFormat="false" ht="15" hidden="false" customHeight="false" outlineLevel="0" collapsed="false">
      <c r="A905" s="25"/>
      <c r="B905" s="20"/>
      <c r="C905" s="21"/>
      <c r="D905" s="21"/>
      <c r="E905" s="26"/>
      <c r="F905" s="21"/>
      <c r="G905" s="24"/>
    </row>
    <row r="906" customFormat="false" ht="15" hidden="false" customHeight="false" outlineLevel="0" collapsed="false">
      <c r="A906" s="25"/>
      <c r="B906" s="20"/>
      <c r="C906" s="21"/>
      <c r="D906" s="21"/>
      <c r="E906" s="26"/>
      <c r="F906" s="21"/>
      <c r="G906" s="24"/>
    </row>
    <row r="907" customFormat="false" ht="15" hidden="false" customHeight="false" outlineLevel="0" collapsed="false">
      <c r="A907" s="25"/>
      <c r="B907" s="20"/>
      <c r="C907" s="21"/>
      <c r="D907" s="21"/>
      <c r="E907" s="26"/>
      <c r="F907" s="21"/>
      <c r="G907" s="24"/>
    </row>
    <row r="908" customFormat="false" ht="15" hidden="false" customHeight="false" outlineLevel="0" collapsed="false">
      <c r="A908" s="25"/>
      <c r="B908" s="20"/>
      <c r="C908" s="21"/>
      <c r="D908" s="21"/>
      <c r="E908" s="26"/>
      <c r="F908" s="21"/>
      <c r="G908" s="24"/>
    </row>
    <row r="909" customFormat="false" ht="15" hidden="false" customHeight="false" outlineLevel="0" collapsed="false">
      <c r="A909" s="25"/>
      <c r="B909" s="20"/>
      <c r="C909" s="21"/>
      <c r="D909" s="21"/>
      <c r="E909" s="26"/>
      <c r="F909" s="21"/>
      <c r="G909" s="24"/>
    </row>
    <row r="910" customFormat="false" ht="15" hidden="false" customHeight="false" outlineLevel="0" collapsed="false">
      <c r="A910" s="25"/>
      <c r="B910" s="20"/>
      <c r="C910" s="21"/>
      <c r="D910" s="21"/>
      <c r="E910" s="26"/>
      <c r="F910" s="21"/>
      <c r="G910" s="24"/>
    </row>
    <row r="911" customFormat="false" ht="15" hidden="false" customHeight="false" outlineLevel="0" collapsed="false">
      <c r="A911" s="25"/>
      <c r="B911" s="20"/>
      <c r="C911" s="21"/>
      <c r="D911" s="21"/>
      <c r="E911" s="26"/>
      <c r="F911" s="21"/>
      <c r="G911" s="24"/>
    </row>
    <row r="912" customFormat="false" ht="15" hidden="false" customHeight="false" outlineLevel="0" collapsed="false">
      <c r="A912" s="25"/>
      <c r="B912" s="20"/>
      <c r="C912" s="21"/>
      <c r="D912" s="21"/>
      <c r="E912" s="26"/>
      <c r="F912" s="21"/>
      <c r="G912" s="24"/>
    </row>
    <row r="913" customFormat="false" ht="15" hidden="false" customHeight="false" outlineLevel="0" collapsed="false">
      <c r="A913" s="25"/>
      <c r="B913" s="20"/>
      <c r="C913" s="21"/>
      <c r="D913" s="21"/>
      <c r="E913" s="26"/>
      <c r="F913" s="21"/>
      <c r="G913" s="24"/>
    </row>
    <row r="914" customFormat="false" ht="15" hidden="false" customHeight="false" outlineLevel="0" collapsed="false">
      <c r="A914" s="25"/>
      <c r="B914" s="20"/>
      <c r="C914" s="21"/>
      <c r="D914" s="21"/>
      <c r="E914" s="26"/>
      <c r="F914" s="21"/>
      <c r="G914" s="24"/>
    </row>
    <row r="915" customFormat="false" ht="15" hidden="false" customHeight="false" outlineLevel="0" collapsed="false">
      <c r="A915" s="25"/>
      <c r="B915" s="20"/>
      <c r="C915" s="21"/>
      <c r="D915" s="21"/>
      <c r="E915" s="26"/>
      <c r="F915" s="21"/>
      <c r="G915" s="24"/>
    </row>
    <row r="916" customFormat="false" ht="15" hidden="false" customHeight="false" outlineLevel="0" collapsed="false">
      <c r="A916" s="25"/>
      <c r="B916" s="20"/>
      <c r="C916" s="21"/>
      <c r="D916" s="21"/>
      <c r="E916" s="26"/>
      <c r="F916" s="21"/>
      <c r="G916" s="24"/>
    </row>
    <row r="917" customFormat="false" ht="15" hidden="false" customHeight="false" outlineLevel="0" collapsed="false">
      <c r="A917" s="25"/>
      <c r="B917" s="20"/>
      <c r="C917" s="21"/>
      <c r="D917" s="21"/>
      <c r="E917" s="26"/>
      <c r="F917" s="21"/>
      <c r="G917" s="24"/>
    </row>
    <row r="918" customFormat="false" ht="15" hidden="false" customHeight="false" outlineLevel="0" collapsed="false">
      <c r="A918" s="25"/>
      <c r="B918" s="20"/>
      <c r="C918" s="21"/>
      <c r="D918" s="21"/>
      <c r="E918" s="26"/>
      <c r="F918" s="21"/>
      <c r="G918" s="24"/>
    </row>
    <row r="919" customFormat="false" ht="15" hidden="false" customHeight="false" outlineLevel="0" collapsed="false">
      <c r="A919" s="25"/>
      <c r="B919" s="20"/>
      <c r="C919" s="21"/>
      <c r="D919" s="21"/>
      <c r="E919" s="26"/>
      <c r="F919" s="21"/>
      <c r="G919" s="24"/>
    </row>
    <row r="920" customFormat="false" ht="15" hidden="false" customHeight="false" outlineLevel="0" collapsed="false">
      <c r="A920" s="25"/>
      <c r="B920" s="20"/>
      <c r="C920" s="21"/>
      <c r="D920" s="21"/>
      <c r="E920" s="26"/>
      <c r="F920" s="21"/>
      <c r="G920" s="24"/>
    </row>
    <row r="921" customFormat="false" ht="15" hidden="false" customHeight="false" outlineLevel="0" collapsed="false">
      <c r="A921" s="25"/>
      <c r="B921" s="20"/>
      <c r="C921" s="21"/>
      <c r="D921" s="21"/>
      <c r="E921" s="26"/>
      <c r="F921" s="21"/>
      <c r="G921" s="24"/>
    </row>
    <row r="922" customFormat="false" ht="15" hidden="false" customHeight="false" outlineLevel="0" collapsed="false">
      <c r="A922" s="25"/>
      <c r="B922" s="20"/>
      <c r="C922" s="21"/>
      <c r="D922" s="21"/>
      <c r="E922" s="26"/>
      <c r="F922" s="21"/>
      <c r="G922" s="24"/>
    </row>
    <row r="923" customFormat="false" ht="15" hidden="false" customHeight="false" outlineLevel="0" collapsed="false">
      <c r="A923" s="25"/>
      <c r="B923" s="20"/>
      <c r="C923" s="21"/>
      <c r="D923" s="21"/>
      <c r="E923" s="26"/>
      <c r="F923" s="21"/>
      <c r="G923" s="24"/>
    </row>
    <row r="924" customFormat="false" ht="15" hidden="false" customHeight="false" outlineLevel="0" collapsed="false">
      <c r="A924" s="25"/>
      <c r="B924" s="20"/>
      <c r="C924" s="21"/>
      <c r="D924" s="21"/>
      <c r="E924" s="26"/>
      <c r="F924" s="21"/>
      <c r="G924" s="24"/>
    </row>
    <row r="925" customFormat="false" ht="15" hidden="false" customHeight="false" outlineLevel="0" collapsed="false">
      <c r="A925" s="25"/>
      <c r="B925" s="20"/>
      <c r="C925" s="21"/>
      <c r="D925" s="21"/>
      <c r="E925" s="26"/>
      <c r="F925" s="21"/>
      <c r="G925" s="24"/>
    </row>
    <row r="926" customFormat="false" ht="15" hidden="false" customHeight="false" outlineLevel="0" collapsed="false">
      <c r="A926" s="25"/>
      <c r="B926" s="20"/>
      <c r="C926" s="21"/>
      <c r="D926" s="21"/>
      <c r="E926" s="26"/>
      <c r="F926" s="21"/>
      <c r="G926" s="24"/>
    </row>
    <row r="927" customFormat="false" ht="15" hidden="false" customHeight="false" outlineLevel="0" collapsed="false">
      <c r="A927" s="25"/>
      <c r="B927" s="20"/>
      <c r="C927" s="21"/>
      <c r="D927" s="21"/>
      <c r="E927" s="26"/>
      <c r="F927" s="21"/>
      <c r="G927" s="24"/>
    </row>
    <row r="928" customFormat="false" ht="15" hidden="false" customHeight="false" outlineLevel="0" collapsed="false">
      <c r="A928" s="25"/>
      <c r="B928" s="20"/>
      <c r="C928" s="21"/>
      <c r="D928" s="21"/>
      <c r="E928" s="26"/>
      <c r="F928" s="21"/>
      <c r="G928" s="24"/>
    </row>
    <row r="929" customFormat="false" ht="15" hidden="false" customHeight="false" outlineLevel="0" collapsed="false">
      <c r="A929" s="25"/>
      <c r="B929" s="20"/>
      <c r="C929" s="21"/>
      <c r="D929" s="21"/>
      <c r="E929" s="26"/>
      <c r="F929" s="21"/>
      <c r="G929" s="24"/>
    </row>
    <row r="930" customFormat="false" ht="15" hidden="false" customHeight="false" outlineLevel="0" collapsed="false">
      <c r="A930" s="25"/>
      <c r="B930" s="20"/>
      <c r="C930" s="21"/>
      <c r="D930" s="21"/>
      <c r="E930" s="26"/>
      <c r="F930" s="21"/>
      <c r="G930" s="24"/>
    </row>
    <row r="931" customFormat="false" ht="15" hidden="false" customHeight="false" outlineLevel="0" collapsed="false">
      <c r="A931" s="25"/>
      <c r="B931" s="20"/>
      <c r="C931" s="21"/>
      <c r="D931" s="21"/>
      <c r="E931" s="26"/>
      <c r="F931" s="21"/>
      <c r="G931" s="24"/>
    </row>
    <row r="932" customFormat="false" ht="15" hidden="false" customHeight="false" outlineLevel="0" collapsed="false">
      <c r="A932" s="25"/>
      <c r="B932" s="20"/>
      <c r="C932" s="21"/>
      <c r="D932" s="21"/>
      <c r="E932" s="26"/>
      <c r="F932" s="21"/>
      <c r="G932" s="24"/>
    </row>
    <row r="933" customFormat="false" ht="15" hidden="false" customHeight="false" outlineLevel="0" collapsed="false">
      <c r="A933" s="25"/>
      <c r="B933" s="20"/>
      <c r="C933" s="21"/>
      <c r="D933" s="21"/>
      <c r="E933" s="26"/>
      <c r="F933" s="21"/>
      <c r="G933" s="24"/>
    </row>
    <row r="934" customFormat="false" ht="15" hidden="false" customHeight="false" outlineLevel="0" collapsed="false">
      <c r="A934" s="25"/>
      <c r="B934" s="20"/>
      <c r="C934" s="21"/>
      <c r="D934" s="21"/>
      <c r="E934" s="26"/>
      <c r="F934" s="21"/>
      <c r="G934" s="24"/>
    </row>
    <row r="935" customFormat="false" ht="15" hidden="false" customHeight="false" outlineLevel="0" collapsed="false">
      <c r="A935" s="25"/>
      <c r="B935" s="20"/>
      <c r="C935" s="21"/>
      <c r="D935" s="21"/>
      <c r="E935" s="26"/>
      <c r="F935" s="21"/>
      <c r="G935" s="24"/>
    </row>
    <row r="936" customFormat="false" ht="15" hidden="false" customHeight="false" outlineLevel="0" collapsed="false">
      <c r="A936" s="25"/>
      <c r="B936" s="20"/>
      <c r="C936" s="21"/>
      <c r="D936" s="21"/>
      <c r="E936" s="26"/>
      <c r="F936" s="21"/>
      <c r="G936" s="24"/>
    </row>
    <row r="937" customFormat="false" ht="15" hidden="false" customHeight="false" outlineLevel="0" collapsed="false">
      <c r="A937" s="25"/>
      <c r="B937" s="20"/>
      <c r="C937" s="21"/>
      <c r="D937" s="21"/>
      <c r="E937" s="26"/>
      <c r="F937" s="21"/>
      <c r="G937" s="24"/>
    </row>
    <row r="938" customFormat="false" ht="15" hidden="false" customHeight="false" outlineLevel="0" collapsed="false">
      <c r="A938" s="25"/>
      <c r="B938" s="20"/>
      <c r="C938" s="21"/>
      <c r="D938" s="21"/>
      <c r="E938" s="26"/>
      <c r="F938" s="21"/>
      <c r="G938" s="24"/>
    </row>
    <row r="939" customFormat="false" ht="15" hidden="false" customHeight="false" outlineLevel="0" collapsed="false">
      <c r="A939" s="25"/>
      <c r="B939" s="20"/>
      <c r="C939" s="21"/>
      <c r="D939" s="21"/>
      <c r="E939" s="26"/>
      <c r="F939" s="21"/>
      <c r="G939" s="24"/>
    </row>
    <row r="940" customFormat="false" ht="15" hidden="false" customHeight="false" outlineLevel="0" collapsed="false">
      <c r="A940" s="25"/>
      <c r="B940" s="20"/>
      <c r="C940" s="21"/>
      <c r="D940" s="21"/>
      <c r="E940" s="26"/>
      <c r="F940" s="21"/>
      <c r="G940" s="24"/>
    </row>
    <row r="941" customFormat="false" ht="15" hidden="false" customHeight="false" outlineLevel="0" collapsed="false">
      <c r="A941" s="25"/>
      <c r="B941" s="20"/>
      <c r="C941" s="21"/>
      <c r="D941" s="21"/>
      <c r="E941" s="26"/>
      <c r="F941" s="21"/>
      <c r="G941" s="24"/>
    </row>
    <row r="942" customFormat="false" ht="15" hidden="false" customHeight="false" outlineLevel="0" collapsed="false">
      <c r="A942" s="25"/>
      <c r="B942" s="20"/>
      <c r="C942" s="21"/>
      <c r="D942" s="21"/>
      <c r="E942" s="26"/>
      <c r="F942" s="21"/>
      <c r="G942" s="24"/>
    </row>
    <row r="943" customFormat="false" ht="15" hidden="false" customHeight="false" outlineLevel="0" collapsed="false">
      <c r="A943" s="25"/>
      <c r="B943" s="20"/>
      <c r="C943" s="21"/>
      <c r="D943" s="21"/>
      <c r="E943" s="26"/>
      <c r="F943" s="21"/>
      <c r="G943" s="24"/>
    </row>
    <row r="944" customFormat="false" ht="15" hidden="false" customHeight="false" outlineLevel="0" collapsed="false">
      <c r="A944" s="25"/>
      <c r="B944" s="20"/>
      <c r="C944" s="21"/>
      <c r="D944" s="21"/>
      <c r="E944" s="26"/>
      <c r="F944" s="21"/>
      <c r="G944" s="24"/>
    </row>
    <row r="945" customFormat="false" ht="15" hidden="false" customHeight="false" outlineLevel="0" collapsed="false">
      <c r="A945" s="25"/>
      <c r="B945" s="20"/>
      <c r="C945" s="21"/>
      <c r="D945" s="21"/>
      <c r="E945" s="26"/>
      <c r="F945" s="21"/>
      <c r="G945" s="24"/>
    </row>
    <row r="946" customFormat="false" ht="15" hidden="false" customHeight="false" outlineLevel="0" collapsed="false">
      <c r="A946" s="25"/>
      <c r="B946" s="20"/>
      <c r="C946" s="21"/>
      <c r="D946" s="21"/>
      <c r="E946" s="26"/>
      <c r="F946" s="21"/>
      <c r="G946" s="24"/>
    </row>
    <row r="947" customFormat="false" ht="15" hidden="false" customHeight="false" outlineLevel="0" collapsed="false">
      <c r="A947" s="25"/>
      <c r="B947" s="20"/>
      <c r="C947" s="21"/>
      <c r="D947" s="21"/>
      <c r="E947" s="26"/>
      <c r="F947" s="21"/>
      <c r="G947" s="24"/>
    </row>
    <row r="948" customFormat="false" ht="15" hidden="false" customHeight="false" outlineLevel="0" collapsed="false">
      <c r="A948" s="25"/>
      <c r="B948" s="20"/>
      <c r="C948" s="21"/>
      <c r="D948" s="21"/>
      <c r="E948" s="26"/>
      <c r="F948" s="21"/>
      <c r="G948" s="24"/>
    </row>
    <row r="949" customFormat="false" ht="15" hidden="false" customHeight="false" outlineLevel="0" collapsed="false">
      <c r="A949" s="25"/>
      <c r="B949" s="20"/>
      <c r="C949" s="21"/>
      <c r="D949" s="21"/>
      <c r="E949" s="26"/>
      <c r="F949" s="21"/>
      <c r="G949" s="24"/>
    </row>
    <row r="950" customFormat="false" ht="15" hidden="false" customHeight="false" outlineLevel="0" collapsed="false">
      <c r="A950" s="25"/>
      <c r="B950" s="20"/>
      <c r="C950" s="21"/>
      <c r="D950" s="21"/>
      <c r="E950" s="26"/>
      <c r="F950" s="21"/>
      <c r="G950" s="24"/>
    </row>
    <row r="951" customFormat="false" ht="15" hidden="false" customHeight="false" outlineLevel="0" collapsed="false">
      <c r="A951" s="25"/>
      <c r="B951" s="20"/>
      <c r="C951" s="21"/>
      <c r="D951" s="21"/>
      <c r="E951" s="26"/>
      <c r="F951" s="21"/>
      <c r="G951" s="24"/>
    </row>
    <row r="952" customFormat="false" ht="15" hidden="false" customHeight="false" outlineLevel="0" collapsed="false">
      <c r="A952" s="25"/>
      <c r="B952" s="20"/>
      <c r="C952" s="21"/>
      <c r="D952" s="21"/>
      <c r="E952" s="26"/>
      <c r="F952" s="21"/>
      <c r="G952" s="24"/>
    </row>
    <row r="953" customFormat="false" ht="15" hidden="false" customHeight="false" outlineLevel="0" collapsed="false">
      <c r="A953" s="25"/>
      <c r="B953" s="20"/>
      <c r="C953" s="21"/>
      <c r="D953" s="21"/>
      <c r="E953" s="26"/>
      <c r="F953" s="21"/>
      <c r="G953" s="24"/>
    </row>
    <row r="954" customFormat="false" ht="15" hidden="false" customHeight="false" outlineLevel="0" collapsed="false">
      <c r="A954" s="25"/>
      <c r="B954" s="20"/>
      <c r="C954" s="21"/>
      <c r="D954" s="21"/>
      <c r="E954" s="26"/>
      <c r="F954" s="21"/>
      <c r="G954" s="24"/>
    </row>
    <row r="955" customFormat="false" ht="15" hidden="false" customHeight="false" outlineLevel="0" collapsed="false">
      <c r="A955" s="25"/>
      <c r="B955" s="20"/>
      <c r="C955" s="21"/>
      <c r="D955" s="21"/>
      <c r="E955" s="26"/>
      <c r="F955" s="21"/>
      <c r="G955" s="24"/>
    </row>
    <row r="956" customFormat="false" ht="15" hidden="false" customHeight="false" outlineLevel="0" collapsed="false">
      <c r="A956" s="25"/>
      <c r="B956" s="20"/>
      <c r="C956" s="21"/>
      <c r="D956" s="21"/>
      <c r="E956" s="26"/>
      <c r="F956" s="21"/>
      <c r="G956" s="24"/>
    </row>
    <row r="957" customFormat="false" ht="15" hidden="false" customHeight="false" outlineLevel="0" collapsed="false">
      <c r="A957" s="25"/>
      <c r="B957" s="20"/>
      <c r="C957" s="21"/>
      <c r="D957" s="21"/>
      <c r="E957" s="26"/>
      <c r="F957" s="21"/>
      <c r="G957" s="24"/>
    </row>
    <row r="958" customFormat="false" ht="15" hidden="false" customHeight="false" outlineLevel="0" collapsed="false">
      <c r="A958" s="25"/>
      <c r="B958" s="20"/>
      <c r="C958" s="21"/>
      <c r="D958" s="21"/>
      <c r="E958" s="26"/>
      <c r="F958" s="21"/>
      <c r="G958" s="24"/>
    </row>
    <row r="959" customFormat="false" ht="15" hidden="false" customHeight="false" outlineLevel="0" collapsed="false">
      <c r="A959" s="25"/>
      <c r="B959" s="20"/>
      <c r="C959" s="21"/>
      <c r="D959" s="21"/>
      <c r="E959" s="26"/>
      <c r="F959" s="21"/>
      <c r="G959" s="24"/>
    </row>
    <row r="960" customFormat="false" ht="15" hidden="false" customHeight="false" outlineLevel="0" collapsed="false">
      <c r="A960" s="25"/>
      <c r="B960" s="20"/>
      <c r="C960" s="21"/>
      <c r="D960" s="21"/>
      <c r="E960" s="26"/>
      <c r="F960" s="21"/>
      <c r="G960" s="24"/>
    </row>
    <row r="961" customFormat="false" ht="15" hidden="false" customHeight="false" outlineLevel="0" collapsed="false">
      <c r="A961" s="25"/>
      <c r="B961" s="20"/>
      <c r="C961" s="21"/>
      <c r="D961" s="21"/>
      <c r="E961" s="26"/>
      <c r="F961" s="21"/>
      <c r="G961" s="24"/>
    </row>
    <row r="962" customFormat="false" ht="15" hidden="false" customHeight="false" outlineLevel="0" collapsed="false">
      <c r="A962" s="25"/>
      <c r="B962" s="20"/>
      <c r="C962" s="21"/>
      <c r="D962" s="21"/>
      <c r="E962" s="26"/>
      <c r="F962" s="21"/>
      <c r="G962" s="24"/>
    </row>
    <row r="963" customFormat="false" ht="15" hidden="false" customHeight="false" outlineLevel="0" collapsed="false">
      <c r="A963" s="25"/>
      <c r="B963" s="20"/>
      <c r="C963" s="21"/>
      <c r="D963" s="21"/>
      <c r="E963" s="26"/>
      <c r="F963" s="21"/>
      <c r="G963" s="24"/>
    </row>
    <row r="964" customFormat="false" ht="15" hidden="false" customHeight="false" outlineLevel="0" collapsed="false">
      <c r="A964" s="25"/>
      <c r="B964" s="20"/>
      <c r="C964" s="21"/>
      <c r="D964" s="21"/>
      <c r="E964" s="26"/>
      <c r="F964" s="21"/>
      <c r="G964" s="24"/>
    </row>
    <row r="965" customFormat="false" ht="15" hidden="false" customHeight="false" outlineLevel="0" collapsed="false">
      <c r="A965" s="25"/>
      <c r="B965" s="20"/>
      <c r="C965" s="21"/>
      <c r="D965" s="21"/>
      <c r="E965" s="26"/>
      <c r="F965" s="21"/>
      <c r="G965" s="24"/>
    </row>
    <row r="966" customFormat="false" ht="15" hidden="false" customHeight="false" outlineLevel="0" collapsed="false">
      <c r="A966" s="25"/>
      <c r="B966" s="20"/>
      <c r="C966" s="21"/>
      <c r="D966" s="21"/>
      <c r="E966" s="26"/>
      <c r="F966" s="21"/>
      <c r="G966" s="24"/>
    </row>
    <row r="967" customFormat="false" ht="15" hidden="false" customHeight="false" outlineLevel="0" collapsed="false">
      <c r="A967" s="25"/>
      <c r="B967" s="20"/>
      <c r="C967" s="21"/>
      <c r="D967" s="21"/>
      <c r="E967" s="26"/>
      <c r="F967" s="21"/>
      <c r="G967" s="24"/>
    </row>
    <row r="968" customFormat="false" ht="15" hidden="false" customHeight="false" outlineLevel="0" collapsed="false">
      <c r="A968" s="25"/>
      <c r="B968" s="20"/>
      <c r="C968" s="21"/>
      <c r="D968" s="21"/>
      <c r="E968" s="26"/>
      <c r="F968" s="21"/>
      <c r="G968" s="24"/>
    </row>
    <row r="969" customFormat="false" ht="15" hidden="false" customHeight="false" outlineLevel="0" collapsed="false">
      <c r="A969" s="25"/>
      <c r="B969" s="20"/>
      <c r="C969" s="21"/>
      <c r="D969" s="21"/>
      <c r="E969" s="26"/>
      <c r="F969" s="21"/>
      <c r="G969" s="24"/>
    </row>
    <row r="970" customFormat="false" ht="15" hidden="false" customHeight="false" outlineLevel="0" collapsed="false">
      <c r="A970" s="25"/>
      <c r="B970" s="20"/>
      <c r="C970" s="21"/>
      <c r="D970" s="21"/>
      <c r="E970" s="26"/>
      <c r="F970" s="21"/>
      <c r="G970" s="24"/>
    </row>
    <row r="971" customFormat="false" ht="15" hidden="false" customHeight="false" outlineLevel="0" collapsed="false">
      <c r="A971" s="25"/>
      <c r="B971" s="20"/>
      <c r="C971" s="21"/>
      <c r="D971" s="21"/>
      <c r="E971" s="26"/>
      <c r="F971" s="21"/>
      <c r="G971" s="24"/>
    </row>
    <row r="972" customFormat="false" ht="15" hidden="false" customHeight="false" outlineLevel="0" collapsed="false">
      <c r="A972" s="25"/>
      <c r="B972" s="20"/>
      <c r="C972" s="21"/>
      <c r="D972" s="21"/>
      <c r="E972" s="26"/>
      <c r="F972" s="21"/>
      <c r="G972" s="24"/>
    </row>
    <row r="973" customFormat="false" ht="15" hidden="false" customHeight="false" outlineLevel="0" collapsed="false">
      <c r="A973" s="25"/>
      <c r="B973" s="20"/>
      <c r="C973" s="21"/>
      <c r="D973" s="21"/>
      <c r="E973" s="26"/>
      <c r="F973" s="21"/>
      <c r="G973" s="24"/>
    </row>
    <row r="974" customFormat="false" ht="15" hidden="false" customHeight="false" outlineLevel="0" collapsed="false">
      <c r="A974" s="25"/>
      <c r="B974" s="20"/>
      <c r="C974" s="21"/>
      <c r="D974" s="21"/>
      <c r="E974" s="26"/>
      <c r="F974" s="21"/>
      <c r="G974" s="24"/>
    </row>
    <row r="975" customFormat="false" ht="15" hidden="false" customHeight="false" outlineLevel="0" collapsed="false">
      <c r="A975" s="25"/>
      <c r="B975" s="20"/>
      <c r="C975" s="21"/>
      <c r="D975" s="21"/>
      <c r="E975" s="26"/>
      <c r="F975" s="21"/>
      <c r="G975" s="24"/>
    </row>
    <row r="976" customFormat="false" ht="15" hidden="false" customHeight="false" outlineLevel="0" collapsed="false">
      <c r="A976" s="25"/>
      <c r="B976" s="20"/>
      <c r="C976" s="21"/>
      <c r="D976" s="21"/>
      <c r="E976" s="26"/>
      <c r="F976" s="21"/>
      <c r="G976" s="24"/>
    </row>
    <row r="977" customFormat="false" ht="15" hidden="false" customHeight="false" outlineLevel="0" collapsed="false">
      <c r="A977" s="25"/>
      <c r="B977" s="20"/>
      <c r="C977" s="21"/>
      <c r="D977" s="21"/>
      <c r="E977" s="26"/>
      <c r="F977" s="21"/>
      <c r="G977" s="24"/>
    </row>
    <row r="978" customFormat="false" ht="15" hidden="false" customHeight="false" outlineLevel="0" collapsed="false">
      <c r="A978" s="25"/>
      <c r="B978" s="20"/>
      <c r="C978" s="21"/>
      <c r="D978" s="21"/>
      <c r="E978" s="26"/>
      <c r="F978" s="21"/>
      <c r="G978" s="24"/>
    </row>
    <row r="979" customFormat="false" ht="15" hidden="false" customHeight="false" outlineLevel="0" collapsed="false">
      <c r="A979" s="25"/>
      <c r="B979" s="20"/>
      <c r="C979" s="21"/>
      <c r="D979" s="21"/>
      <c r="E979" s="26"/>
      <c r="F979" s="21"/>
      <c r="G979" s="24"/>
    </row>
    <row r="980" customFormat="false" ht="15" hidden="false" customHeight="false" outlineLevel="0" collapsed="false">
      <c r="A980" s="25"/>
      <c r="B980" s="20"/>
      <c r="C980" s="21"/>
      <c r="D980" s="21"/>
      <c r="E980" s="26"/>
      <c r="F980" s="21"/>
      <c r="G980" s="24"/>
    </row>
    <row r="981" customFormat="false" ht="15" hidden="false" customHeight="false" outlineLevel="0" collapsed="false">
      <c r="A981" s="25"/>
      <c r="B981" s="20"/>
      <c r="C981" s="21"/>
      <c r="D981" s="21"/>
      <c r="E981" s="26"/>
      <c r="F981" s="21"/>
      <c r="G981" s="24"/>
    </row>
    <row r="982" customFormat="false" ht="15" hidden="false" customHeight="false" outlineLevel="0" collapsed="false">
      <c r="A982" s="25"/>
      <c r="B982" s="20"/>
      <c r="C982" s="21"/>
      <c r="D982" s="21"/>
      <c r="E982" s="26"/>
      <c r="F982" s="21"/>
      <c r="G982" s="24"/>
    </row>
    <row r="983" customFormat="false" ht="15" hidden="false" customHeight="false" outlineLevel="0" collapsed="false">
      <c r="A983" s="25"/>
      <c r="B983" s="20"/>
      <c r="C983" s="21"/>
      <c r="D983" s="21"/>
      <c r="E983" s="26"/>
      <c r="F983" s="21"/>
      <c r="G983" s="24"/>
    </row>
    <row r="984" customFormat="false" ht="15" hidden="false" customHeight="false" outlineLevel="0" collapsed="false">
      <c r="A984" s="25"/>
      <c r="B984" s="20"/>
      <c r="C984" s="21"/>
      <c r="D984" s="21"/>
      <c r="E984" s="26"/>
      <c r="F984" s="21"/>
      <c r="G984" s="24"/>
    </row>
    <row r="985" customFormat="false" ht="15" hidden="false" customHeight="false" outlineLevel="0" collapsed="false">
      <c r="A985" s="25"/>
      <c r="B985" s="20"/>
      <c r="C985" s="21"/>
      <c r="D985" s="21"/>
      <c r="E985" s="26"/>
      <c r="F985" s="21"/>
      <c r="G985" s="24"/>
    </row>
    <row r="986" customFormat="false" ht="15" hidden="false" customHeight="false" outlineLevel="0" collapsed="false">
      <c r="A986" s="25"/>
      <c r="B986" s="20"/>
      <c r="C986" s="21"/>
      <c r="D986" s="21"/>
      <c r="E986" s="26"/>
      <c r="F986" s="21"/>
      <c r="G986" s="24"/>
    </row>
    <row r="987" customFormat="false" ht="15" hidden="false" customHeight="false" outlineLevel="0" collapsed="false">
      <c r="A987" s="25"/>
      <c r="B987" s="20"/>
      <c r="C987" s="21"/>
      <c r="D987" s="21"/>
      <c r="E987" s="26"/>
      <c r="F987" s="21"/>
      <c r="G987" s="24"/>
    </row>
    <row r="988" customFormat="false" ht="15" hidden="false" customHeight="false" outlineLevel="0" collapsed="false">
      <c r="A988" s="25"/>
      <c r="B988" s="20"/>
      <c r="C988" s="21"/>
      <c r="D988" s="21"/>
      <c r="E988" s="26"/>
      <c r="F988" s="21"/>
      <c r="G988" s="24"/>
    </row>
    <row r="989" customFormat="false" ht="15" hidden="false" customHeight="false" outlineLevel="0" collapsed="false">
      <c r="A989" s="25"/>
      <c r="B989" s="20"/>
      <c r="C989" s="21"/>
      <c r="D989" s="21"/>
      <c r="E989" s="26"/>
      <c r="F989" s="21"/>
      <c r="G989" s="24"/>
    </row>
    <row r="990" customFormat="false" ht="15" hidden="false" customHeight="false" outlineLevel="0" collapsed="false">
      <c r="A990" s="25"/>
      <c r="B990" s="20"/>
      <c r="C990" s="21"/>
      <c r="D990" s="21"/>
      <c r="E990" s="26"/>
      <c r="F990" s="21"/>
      <c r="G990" s="24"/>
    </row>
    <row r="991" customFormat="false" ht="15" hidden="false" customHeight="false" outlineLevel="0" collapsed="false">
      <c r="A991" s="25"/>
      <c r="B991" s="20"/>
      <c r="C991" s="21"/>
      <c r="D991" s="21"/>
      <c r="E991" s="26"/>
      <c r="F991" s="21"/>
      <c r="G991" s="24"/>
    </row>
    <row r="992" customFormat="false" ht="15" hidden="false" customHeight="false" outlineLevel="0" collapsed="false">
      <c r="A992" s="25"/>
      <c r="B992" s="20"/>
      <c r="C992" s="21"/>
      <c r="D992" s="21"/>
      <c r="E992" s="26"/>
      <c r="F992" s="21"/>
      <c r="G992" s="24"/>
    </row>
    <row r="993" customFormat="false" ht="15" hidden="false" customHeight="false" outlineLevel="0" collapsed="false">
      <c r="A993" s="25"/>
      <c r="B993" s="20"/>
      <c r="C993" s="21"/>
      <c r="D993" s="21"/>
      <c r="E993" s="26"/>
      <c r="F993" s="21"/>
      <c r="G993" s="24"/>
    </row>
    <row r="994" customFormat="false" ht="15" hidden="false" customHeight="false" outlineLevel="0" collapsed="false">
      <c r="A994" s="25"/>
      <c r="B994" s="20"/>
      <c r="C994" s="21"/>
      <c r="D994" s="21"/>
      <c r="E994" s="26"/>
      <c r="F994" s="21"/>
      <c r="G994" s="24"/>
    </row>
    <row r="995" customFormat="false" ht="15" hidden="false" customHeight="false" outlineLevel="0" collapsed="false">
      <c r="A995" s="25"/>
      <c r="B995" s="20"/>
      <c r="C995" s="21"/>
      <c r="D995" s="21"/>
      <c r="E995" s="26"/>
      <c r="F995" s="21"/>
      <c r="G995" s="24"/>
    </row>
    <row r="996" customFormat="false" ht="15" hidden="false" customHeight="false" outlineLevel="0" collapsed="false">
      <c r="A996" s="25"/>
      <c r="B996" s="20"/>
      <c r="C996" s="21"/>
      <c r="D996" s="21"/>
      <c r="E996" s="26"/>
      <c r="F996" s="21"/>
      <c r="G996" s="24"/>
    </row>
    <row r="997" customFormat="false" ht="15" hidden="false" customHeight="false" outlineLevel="0" collapsed="false">
      <c r="A997" s="25"/>
      <c r="B997" s="20"/>
      <c r="C997" s="21"/>
      <c r="D997" s="21"/>
      <c r="E997" s="26"/>
      <c r="F997" s="21"/>
      <c r="G997" s="24"/>
    </row>
    <row r="998" customFormat="false" ht="15" hidden="false" customHeight="false" outlineLevel="0" collapsed="false">
      <c r="A998" s="25"/>
      <c r="B998" s="20"/>
      <c r="C998" s="21"/>
      <c r="D998" s="21"/>
      <c r="E998" s="26"/>
      <c r="F998" s="21"/>
      <c r="G998" s="24"/>
    </row>
    <row r="999" customFormat="false" ht="15" hidden="false" customHeight="false" outlineLevel="0" collapsed="false">
      <c r="A999" s="25"/>
      <c r="B999" s="20"/>
      <c r="C999" s="21"/>
      <c r="D999" s="21"/>
      <c r="E999" s="26"/>
      <c r="F999" s="21"/>
      <c r="G999" s="24"/>
    </row>
    <row r="1000" customFormat="false" ht="15" hidden="false" customHeight="false" outlineLevel="0" collapsed="false">
      <c r="A1000" s="25"/>
      <c r="B1000" s="20"/>
      <c r="C1000" s="21"/>
      <c r="D1000" s="21"/>
      <c r="E1000" s="26"/>
      <c r="F1000" s="21"/>
      <c r="G1000" s="24"/>
    </row>
    <row r="1001" customFormat="false" ht="15" hidden="false" customHeight="false" outlineLevel="0" collapsed="false">
      <c r="A1001" s="25"/>
      <c r="B1001" s="20"/>
      <c r="C1001" s="21"/>
      <c r="D1001" s="21"/>
      <c r="E1001" s="26"/>
      <c r="F1001" s="21"/>
      <c r="G1001" s="24"/>
    </row>
    <row r="1002" customFormat="false" ht="15" hidden="false" customHeight="false" outlineLevel="0" collapsed="false">
      <c r="A1002" s="25"/>
      <c r="B1002" s="20"/>
      <c r="C1002" s="21"/>
      <c r="D1002" s="21"/>
      <c r="E1002" s="26"/>
      <c r="F1002" s="21"/>
      <c r="G1002" s="24"/>
    </row>
  </sheetData>
  <autoFilter ref="A1:G3000"/>
  <dataValidations count="4">
    <dataValidation allowBlank="true" error="This Car ID does not exist on the Cars tab." errorStyle="warning" operator="between" showDropDown="false" showErrorMessage="true" showInputMessage="false" sqref="B2:B1002" type="list">
      <formula1>Cars!$A$2:$A$1000</formula1>
      <formula2>0</formula2>
    </dataValidation>
    <dataValidation allowBlank="true" errorStyle="stop" operator="between" showDropDown="false" showErrorMessage="true" showInputMessage="false" sqref="C2:C1002" type="list">
      <formula1>Lists!$H$2:$H$60</formula1>
      <formula2>0</formula2>
    </dataValidation>
    <dataValidation allowBlank="true" errorStyle="stop" operator="between" showDropDown="false" showErrorMessage="true" showInputMessage="false" sqref="F2:F1002" type="list">
      <formula1>Lists!$I$2:$I$60</formula1>
      <formula2>0</formula2>
    </dataValidation>
    <dataValidation allowBlank="true" error="Numbers only." errorStyle="stop" operator="greaterThanOrEqual" showDropDown="false" showErrorMessage="true" showInputMessage="false" sqref="E2:E100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15" hidden="false" customHeight="false" outlineLevel="0" collapsed="false">
      <c r="A1" s="37" t="s">
        <v>74</v>
      </c>
      <c r="B1" s="37" t="s">
        <v>75</v>
      </c>
      <c r="C1" s="37" t="s">
        <v>49</v>
      </c>
      <c r="D1" s="37" t="s">
        <v>80</v>
      </c>
      <c r="E1" s="37" t="s">
        <v>81</v>
      </c>
      <c r="F1" s="37" t="s">
        <v>293</v>
      </c>
      <c r="G1" s="37" t="s">
        <v>294</v>
      </c>
      <c r="H1" s="37" t="s">
        <v>295</v>
      </c>
      <c r="I1" s="37" t="s">
        <v>68</v>
      </c>
    </row>
    <row r="2" customFormat="false" ht="15" hidden="false" customHeight="false" outlineLevel="0" collapsed="false">
      <c r="A2" s="9" t="s">
        <v>130</v>
      </c>
      <c r="B2" s="9" t="s">
        <v>101</v>
      </c>
      <c r="C2" s="9" t="s">
        <v>57</v>
      </c>
      <c r="D2" s="9" t="s">
        <v>165</v>
      </c>
      <c r="E2" s="9" t="s">
        <v>296</v>
      </c>
      <c r="F2" s="9" t="s">
        <v>138</v>
      </c>
      <c r="G2" s="9" t="s">
        <v>107</v>
      </c>
      <c r="H2" s="9" t="s">
        <v>297</v>
      </c>
      <c r="I2" s="9" t="s">
        <v>70</v>
      </c>
    </row>
    <row r="3" customFormat="false" ht="15" hidden="false" customHeight="false" outlineLevel="0" collapsed="false">
      <c r="A3" s="9" t="s">
        <v>298</v>
      </c>
      <c r="B3" s="9" t="s">
        <v>201</v>
      </c>
      <c r="C3" s="9" t="s">
        <v>54</v>
      </c>
      <c r="D3" s="9" t="s">
        <v>111</v>
      </c>
      <c r="E3" s="9" t="s">
        <v>299</v>
      </c>
      <c r="F3" s="9" t="s">
        <v>106</v>
      </c>
      <c r="G3" s="9" t="s">
        <v>113</v>
      </c>
      <c r="H3" s="9" t="s">
        <v>290</v>
      </c>
      <c r="I3" s="9" t="s">
        <v>71</v>
      </c>
    </row>
    <row r="4" customFormat="false" ht="15" hidden="false" customHeight="false" outlineLevel="0" collapsed="false">
      <c r="A4" s="9" t="s">
        <v>100</v>
      </c>
      <c r="C4" s="9" t="s">
        <v>58</v>
      </c>
      <c r="D4" s="9" t="s">
        <v>117</v>
      </c>
      <c r="E4" s="9" t="s">
        <v>161</v>
      </c>
      <c r="F4" s="9" t="s">
        <v>173</v>
      </c>
      <c r="H4" s="9" t="s">
        <v>300</v>
      </c>
      <c r="I4" s="9" t="s">
        <v>72</v>
      </c>
    </row>
    <row r="5" customFormat="false" ht="15" hidden="false" customHeight="false" outlineLevel="0" collapsed="false">
      <c r="C5" s="9" t="s">
        <v>59</v>
      </c>
      <c r="D5" s="9" t="s">
        <v>129</v>
      </c>
      <c r="F5" s="9" t="s">
        <v>122</v>
      </c>
      <c r="H5" s="9" t="s">
        <v>301</v>
      </c>
    </row>
    <row r="6" customFormat="false" ht="15" hidden="false" customHeight="false" outlineLevel="0" collapsed="false">
      <c r="C6" s="9" t="s">
        <v>302</v>
      </c>
      <c r="D6" s="9" t="s">
        <v>105</v>
      </c>
      <c r="F6" s="9" t="s">
        <v>126</v>
      </c>
      <c r="H6" s="9" t="s">
        <v>303</v>
      </c>
    </row>
    <row r="7" customFormat="false" ht="15" hidden="false" customHeight="false" outlineLevel="0" collapsed="false">
      <c r="C7" s="9" t="s">
        <v>304</v>
      </c>
      <c r="D7" s="9" t="s">
        <v>275</v>
      </c>
      <c r="F7" s="9" t="s">
        <v>112</v>
      </c>
      <c r="H7" s="9" t="s">
        <v>305</v>
      </c>
    </row>
    <row r="8" customFormat="false" ht="15" hidden="false" customHeight="false" outlineLevel="0" collapsed="false">
      <c r="C8" s="9" t="s">
        <v>60</v>
      </c>
      <c r="D8" s="9" t="s">
        <v>261</v>
      </c>
      <c r="F8" s="9" t="s">
        <v>177</v>
      </c>
      <c r="H8" s="9" t="s">
        <v>306</v>
      </c>
    </row>
    <row r="9" customFormat="false" ht="15" hidden="false" customHeight="false" outlineLevel="0" collapsed="false">
      <c r="C9" s="9" t="s">
        <v>61</v>
      </c>
      <c r="D9" s="9" t="s">
        <v>121</v>
      </c>
      <c r="F9" s="9" t="s">
        <v>148</v>
      </c>
      <c r="H9" s="9" t="s">
        <v>307</v>
      </c>
    </row>
    <row r="10" customFormat="false" ht="15" hidden="false" customHeight="false" outlineLevel="0" collapsed="false">
      <c r="C10" s="9" t="s">
        <v>62</v>
      </c>
      <c r="D10" s="9" t="s">
        <v>249</v>
      </c>
      <c r="F10" s="9" t="s">
        <v>192</v>
      </c>
      <c r="H10" s="9" t="s">
        <v>308</v>
      </c>
    </row>
    <row r="11" customFormat="false" ht="15" hidden="false" customHeight="false" outlineLevel="0" collapsed="false">
      <c r="C11" s="9" t="s">
        <v>56</v>
      </c>
      <c r="D11" s="9" t="s">
        <v>152</v>
      </c>
      <c r="F11" s="9" t="s">
        <v>144</v>
      </c>
    </row>
    <row r="12" customFormat="false" ht="15" hidden="false" customHeight="false" outlineLevel="0" collapsed="false">
      <c r="C12" s="9" t="s">
        <v>55</v>
      </c>
      <c r="D12" s="9" t="s">
        <v>156</v>
      </c>
      <c r="F12" s="9" t="s">
        <v>133</v>
      </c>
    </row>
    <row r="13" customFormat="false" ht="15" hidden="false" customHeight="false" outlineLevel="0" collapsed="false">
      <c r="C13" s="9" t="s">
        <v>63</v>
      </c>
      <c r="D13" s="9" t="s">
        <v>198</v>
      </c>
      <c r="F13" s="9" t="s">
        <v>309</v>
      </c>
    </row>
    <row r="14" customFormat="false" ht="15" hidden="false" customHeight="false" outlineLevel="0" collapsed="false">
      <c r="C14" s="9" t="s">
        <v>64</v>
      </c>
      <c r="F14" s="9" t="s">
        <v>250</v>
      </c>
    </row>
    <row r="15" customFormat="false" ht="15" hidden="false" customHeight="false" outlineLevel="0" collapsed="false">
      <c r="C15" s="9" t="s">
        <v>65</v>
      </c>
      <c r="F15" s="9" t="s">
        <v>310</v>
      </c>
    </row>
    <row r="16" customFormat="false" ht="15" hidden="false" customHeight="false" outlineLevel="0" collapsed="false">
      <c r="C16" s="9" t="s">
        <v>53</v>
      </c>
    </row>
    <row r="17" customFormat="false" ht="15" hidden="false" customHeight="false" outlineLevel="0" collapsed="false">
      <c r="C17" s="9" t="s">
        <v>311</v>
      </c>
    </row>
    <row r="18" customFormat="false" ht="15" hidden="false" customHeight="false" outlineLevel="0" collapsed="false">
      <c r="C18" s="9" t="s">
        <v>51</v>
      </c>
    </row>
    <row r="19" customFormat="false" ht="15" hidden="false" customHeight="false" outlineLevel="0" collapsed="false">
      <c r="C19" s="9" t="s">
        <v>66</v>
      </c>
    </row>
    <row r="20" customFormat="false" ht="15" hidden="false" customHeight="false" outlineLevel="0" collapsed="false">
      <c r="C20" s="9" t="s">
        <v>52</v>
      </c>
    </row>
    <row r="62" customFormat="false" ht="15" hidden="false" customHeight="false" outlineLevel="0" collapsed="false">
      <c r="A62" s="7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313</v>
      </c>
    </row>
    <row r="3" customFormat="false" ht="42" hidden="false" customHeight="true" outlineLevel="0" collapsed="false">
      <c r="A3" s="18" t="s">
        <v>73</v>
      </c>
      <c r="B3" s="18" t="s">
        <v>314</v>
      </c>
      <c r="C3" s="18" t="s">
        <v>315</v>
      </c>
      <c r="D3" s="18" t="s">
        <v>316</v>
      </c>
    </row>
    <row r="4" customFormat="false" ht="15" hidden="false" customHeight="false" outlineLevel="0" collapsed="false">
      <c r="A4" s="38" t="n">
        <v>1</v>
      </c>
      <c r="B4" s="38" t="s">
        <v>317</v>
      </c>
      <c r="C4" s="38" t="s">
        <v>318</v>
      </c>
      <c r="D4" s="38" t="s">
        <v>319</v>
      </c>
    </row>
    <row r="5" customFormat="false" ht="15" hidden="false" customHeight="false" outlineLevel="0" collapsed="false">
      <c r="A5" s="38" t="n">
        <v>1</v>
      </c>
      <c r="B5" s="38" t="s">
        <v>317</v>
      </c>
      <c r="C5" s="38" t="s">
        <v>320</v>
      </c>
      <c r="D5" s="38" t="s">
        <v>321</v>
      </c>
    </row>
    <row r="6" customFormat="false" ht="15" hidden="false" customHeight="false" outlineLevel="0" collapsed="false">
      <c r="A6" s="38" t="n">
        <v>2</v>
      </c>
      <c r="B6" s="38" t="s">
        <v>322</v>
      </c>
      <c r="C6" s="38" t="s">
        <v>318</v>
      </c>
      <c r="D6" s="38" t="s">
        <v>319</v>
      </c>
    </row>
    <row r="7" customFormat="false" ht="15" hidden="false" customHeight="false" outlineLevel="0" collapsed="false">
      <c r="A7" s="38" t="n">
        <v>3</v>
      </c>
      <c r="B7" s="38" t="s">
        <v>323</v>
      </c>
      <c r="C7" s="38" t="s">
        <v>318</v>
      </c>
      <c r="D7" s="38" t="s">
        <v>319</v>
      </c>
    </row>
    <row r="8" customFormat="false" ht="15" hidden="false" customHeight="false" outlineLevel="0" collapsed="false">
      <c r="A8" s="38" t="n">
        <v>4</v>
      </c>
      <c r="B8" s="38" t="s">
        <v>324</v>
      </c>
      <c r="C8" s="38" t="s">
        <v>318</v>
      </c>
      <c r="D8" s="38" t="s">
        <v>319</v>
      </c>
    </row>
    <row r="9" customFormat="false" ht="15" hidden="false" customHeight="false" outlineLevel="0" collapsed="false">
      <c r="A9" s="38" t="n">
        <v>5</v>
      </c>
      <c r="B9" s="38" t="s">
        <v>325</v>
      </c>
      <c r="C9" s="38" t="s">
        <v>318</v>
      </c>
      <c r="D9" s="38" t="s">
        <v>319</v>
      </c>
    </row>
    <row r="10" customFormat="false" ht="15" hidden="false" customHeight="false" outlineLevel="0" collapsed="false">
      <c r="A10" s="38" t="n">
        <v>6</v>
      </c>
      <c r="B10" s="38" t="s">
        <v>326</v>
      </c>
      <c r="C10" s="38" t="s">
        <v>318</v>
      </c>
      <c r="D10" s="38" t="s">
        <v>319</v>
      </c>
    </row>
    <row r="11" customFormat="false" ht="15" hidden="false" customHeight="false" outlineLevel="0" collapsed="false">
      <c r="A11" s="38" t="n">
        <v>7</v>
      </c>
      <c r="B11" s="38" t="s">
        <v>327</v>
      </c>
      <c r="C11" s="38" t="s">
        <v>318</v>
      </c>
      <c r="D11" s="38" t="s">
        <v>319</v>
      </c>
    </row>
    <row r="12" customFormat="false" ht="15" hidden="false" customHeight="false" outlineLevel="0" collapsed="false">
      <c r="A12" s="38" t="n">
        <v>8</v>
      </c>
      <c r="B12" s="38" t="s">
        <v>328</v>
      </c>
      <c r="C12" s="38" t="s">
        <v>318</v>
      </c>
      <c r="D12" s="38" t="s">
        <v>319</v>
      </c>
    </row>
    <row r="13" customFormat="false" ht="15" hidden="false" customHeight="false" outlineLevel="0" collapsed="false">
      <c r="A13" s="38" t="n">
        <v>9</v>
      </c>
      <c r="B13" s="38" t="s">
        <v>329</v>
      </c>
      <c r="C13" s="38" t="s">
        <v>318</v>
      </c>
      <c r="D13" s="38" t="s">
        <v>319</v>
      </c>
    </row>
    <row r="14" customFormat="false" ht="23.85" hidden="false" customHeight="false" outlineLevel="0" collapsed="false">
      <c r="A14" s="38" t="n">
        <v>13</v>
      </c>
      <c r="B14" s="38" t="s">
        <v>330</v>
      </c>
      <c r="C14" s="38" t="s">
        <v>331</v>
      </c>
      <c r="D14" s="38" t="s">
        <v>332</v>
      </c>
    </row>
    <row r="15" customFormat="false" ht="23.85" hidden="false" customHeight="false" outlineLevel="0" collapsed="false">
      <c r="A15" s="38" t="n">
        <v>16</v>
      </c>
      <c r="B15" s="38" t="s">
        <v>333</v>
      </c>
      <c r="C15" s="38" t="s">
        <v>334</v>
      </c>
      <c r="D15" s="38" t="s">
        <v>335</v>
      </c>
    </row>
    <row r="16" customFormat="false" ht="23.85" hidden="false" customHeight="false" outlineLevel="0" collapsed="false">
      <c r="A16" s="38" t="n">
        <v>18</v>
      </c>
      <c r="B16" s="38" t="s">
        <v>336</v>
      </c>
      <c r="C16" s="38" t="s">
        <v>337</v>
      </c>
      <c r="D16" s="38" t="s">
        <v>338</v>
      </c>
    </row>
    <row r="17" customFormat="false" ht="23.85" hidden="false" customHeight="false" outlineLevel="0" collapsed="false">
      <c r="A17" s="38" t="n">
        <v>30</v>
      </c>
      <c r="B17" s="38" t="s">
        <v>339</v>
      </c>
      <c r="C17" s="38" t="s">
        <v>340</v>
      </c>
      <c r="D17" s="38" t="s">
        <v>341</v>
      </c>
    </row>
    <row r="18" customFormat="false" ht="23.85" hidden="false" customHeight="false" outlineLevel="0" collapsed="false">
      <c r="A18" s="38" t="n">
        <v>50</v>
      </c>
      <c r="B18" s="38" t="s">
        <v>342</v>
      </c>
      <c r="C18" s="38" t="s">
        <v>343</v>
      </c>
      <c r="D18" s="38" t="s">
        <v>344</v>
      </c>
    </row>
    <row r="19" customFormat="false" ht="23.85" hidden="false" customHeight="false" outlineLevel="0" collapsed="false">
      <c r="A19" s="38" t="n">
        <v>59</v>
      </c>
      <c r="B19" s="38" t="s">
        <v>345</v>
      </c>
      <c r="C19" s="38" t="s">
        <v>346</v>
      </c>
      <c r="D19" s="38" t="s">
        <v>347</v>
      </c>
    </row>
    <row r="20" customFormat="false" ht="23.85" hidden="false" customHeight="false" outlineLevel="0" collapsed="false">
      <c r="A20" s="38" t="n">
        <v>65</v>
      </c>
      <c r="B20" s="38" t="s">
        <v>348</v>
      </c>
      <c r="C20" s="38" t="s">
        <v>349</v>
      </c>
      <c r="D20" s="38" t="s">
        <v>350</v>
      </c>
    </row>
    <row r="21" customFormat="false" ht="23.85" hidden="false" customHeight="false" outlineLevel="0" collapsed="false">
      <c r="A21" s="38" t="n">
        <v>67</v>
      </c>
      <c r="B21" s="38" t="s">
        <v>351</v>
      </c>
      <c r="C21" s="38" t="s">
        <v>352</v>
      </c>
      <c r="D21" s="38" t="s">
        <v>353</v>
      </c>
    </row>
    <row r="22" customFormat="false" ht="23.85" hidden="false" customHeight="false" outlineLevel="0" collapsed="false">
      <c r="A22" s="38" t="n">
        <v>68</v>
      </c>
      <c r="B22" s="38" t="s">
        <v>354</v>
      </c>
      <c r="C22" s="38" t="s">
        <v>346</v>
      </c>
      <c r="D22" s="38" t="s">
        <v>355</v>
      </c>
    </row>
    <row r="23" customFormat="false" ht="23.85" hidden="false" customHeight="false" outlineLevel="0" collapsed="false">
      <c r="A23" s="38" t="n">
        <v>74</v>
      </c>
      <c r="B23" s="38" t="s">
        <v>356</v>
      </c>
      <c r="C23" s="38" t="s">
        <v>357</v>
      </c>
      <c r="D23" s="38" t="s">
        <v>358</v>
      </c>
    </row>
    <row r="24" customFormat="false" ht="23.85" hidden="false" customHeight="false" outlineLevel="0" collapsed="false">
      <c r="A24" s="38" t="n">
        <v>94</v>
      </c>
      <c r="B24" s="38" t="s">
        <v>359</v>
      </c>
      <c r="C24" s="38" t="s">
        <v>346</v>
      </c>
      <c r="D24" s="38" t="s">
        <v>360</v>
      </c>
    </row>
    <row r="25" customFormat="false" ht="23.85" hidden="false" customHeight="false" outlineLevel="0" collapsed="false">
      <c r="A25" s="38" t="n">
        <v>96</v>
      </c>
      <c r="B25" s="38" t="s">
        <v>361</v>
      </c>
      <c r="C25" s="38" t="s">
        <v>346</v>
      </c>
      <c r="D25" s="38" t="s">
        <v>362</v>
      </c>
    </row>
    <row r="26" customFormat="false" ht="23.85" hidden="false" customHeight="false" outlineLevel="0" collapsed="false">
      <c r="A26" s="38" t="n">
        <v>99</v>
      </c>
      <c r="B26" s="38" t="s">
        <v>363</v>
      </c>
      <c r="C26" s="38" t="s">
        <v>346</v>
      </c>
      <c r="D26" s="38" t="s">
        <v>364</v>
      </c>
    </row>
    <row r="27" customFormat="false" ht="15" hidden="false" customHeight="false" outlineLevel="0" collapsed="false">
      <c r="A27" s="38" t="n">
        <v>99</v>
      </c>
      <c r="B27" s="38" t="s">
        <v>363</v>
      </c>
      <c r="C27" s="38" t="s">
        <v>365</v>
      </c>
      <c r="D27" s="38" t="s">
        <v>366</v>
      </c>
    </row>
    <row r="28" customFormat="false" ht="23.85" hidden="false" customHeight="false" outlineLevel="0" collapsed="false">
      <c r="A28" s="38" t="n">
        <v>114</v>
      </c>
      <c r="B28" s="38" t="s">
        <v>367</v>
      </c>
      <c r="C28" s="38" t="s">
        <v>346</v>
      </c>
      <c r="D28" s="38" t="s">
        <v>368</v>
      </c>
    </row>
    <row r="29" customFormat="false" ht="15" hidden="false" customHeight="false" outlineLevel="0" collapsed="false">
      <c r="A29" s="38" t="n">
        <v>142</v>
      </c>
      <c r="B29" s="38" t="s">
        <v>369</v>
      </c>
      <c r="C29" s="38" t="s">
        <v>370</v>
      </c>
      <c r="D29" s="38" t="s">
        <v>371</v>
      </c>
    </row>
    <row r="30" customFormat="false" ht="15" hidden="false" customHeight="false" outlineLevel="0" collapsed="false">
      <c r="A30" s="38" t="n">
        <v>144</v>
      </c>
      <c r="B30" s="38" t="s">
        <v>372</v>
      </c>
      <c r="C30" s="38" t="s">
        <v>373</v>
      </c>
      <c r="D30" s="38" t="s">
        <v>371</v>
      </c>
    </row>
    <row r="31" customFormat="false" ht="23.85" hidden="false" customHeight="false" outlineLevel="0" collapsed="false">
      <c r="A31" s="38" t="n">
        <v>147</v>
      </c>
      <c r="B31" s="38" t="s">
        <v>374</v>
      </c>
      <c r="C31" s="38" t="s">
        <v>346</v>
      </c>
      <c r="D31" s="38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2026-10-07T05:37:19Z</dcterms:created>
  <dc:creator>openpyxl</dc:creator>
  <dc:description/>
  <dc:language>en-US</dc:language>
  <cp:lastModifiedBy/>
  <dcterms:modified xsi:type="dcterms:W3CDTF">2026-10-07T05:37:19Z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