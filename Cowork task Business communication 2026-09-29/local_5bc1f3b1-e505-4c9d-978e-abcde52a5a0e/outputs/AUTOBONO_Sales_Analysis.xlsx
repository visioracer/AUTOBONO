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y Model" sheetId="2" state="visible" r:id="rId4"/>
    <sheet name="By Month" sheetId="3" state="visible" r:id="rId5"/>
    <sheet name="By VAT Type" sheetId="4" state="visible" r:id="rId6"/>
    <sheet name="Raw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<sst xmlns="http://schemas.openxmlformats.org/spreadsheetml/2006/main" count="1498" uniqueCount="402">
  <si>
    <t xml:space="preserve">AUTOBONO — Full Sales &amp; Inventory Analysis</t>
  </si>
  <si>
    <t xml:space="preserve">Bottom-up analysis of the master AUTOBONO Google Sheet ("2023" + "2024" tabs), rebuilt from row-level data.</t>
  </si>
  <si>
    <t xml:space="preserve">Data pulled 25 Jul 2026. Every figure below is a live formula against the "Raw Data" tab — nothing is hand-typed.</t>
  </si>
  <si>
    <t xml:space="preserve">Completed sales</t>
  </si>
  <si>
    <t xml:space="preserve">Total revenue (sold)</t>
  </si>
  <si>
    <t xml:space="preserve">Total realized profit</t>
  </si>
  <si>
    <t xml:space="preserve">Weighted margin (total profit ÷ total cost, sold deals)</t>
  </si>
  <si>
    <t xml:space="preserve">Average profit / deal</t>
  </si>
  <si>
    <t xml:space="preserve">Median profit / deal</t>
  </si>
  <si>
    <t xml:space="preserve">Average margin % of cost (simple average across deals)</t>
  </si>
  <si>
    <t xml:space="preserve">Median margin % of cost</t>
  </si>
  <si>
    <t xml:space="preserve">Cars currently in stock / pending</t>
  </si>
  <si>
    <t xml:space="preserve">Capital tied up in current stock (cost basis)</t>
  </si>
  <si>
    <t xml:space="preserve">Total unique vehicles logged (2023 start – Jul 2026)</t>
  </si>
  <si>
    <t xml:space="preserve">Cross-check vs. the sheet's own embedded dashboard</t>
  </si>
  <si>
    <t xml:space="preserve">The AUTOBONO sheet has its own dashboard totals baked into the "2024" tab (row 4). Comparing them to our bottom-up recompute:</t>
  </si>
  <si>
    <t xml:space="preserve">Metric</t>
  </si>
  <si>
    <t xml:space="preserve">Sheet's own dashboard value</t>
  </si>
  <si>
    <t xml:space="preserve">Our bottom-up formula result</t>
  </si>
  <si>
    <t xml:space="preserve">Match?</t>
  </si>
  <si>
    <t xml:space="preserve">2024 tab: Total Costs, all 139 logged cars (sold + stock)</t>
  </si>
  <si>
    <t xml:space="preserve">2024 tab: Total Sale revenue, sold cars only</t>
  </si>
  <si>
    <t xml:space="preserve">2024 tab: Total Brutto (purchase side), all 139 cars</t>
  </si>
  <si>
    <t xml:space="preserve">2024 tab: Total profit, sold cars only</t>
  </si>
  <si>
    <t xml:space="preserve">Note: the "2023" tab's own dashboard total profit (–84,824.22 €) is NOT comparable — its formula counts unsold cars as a full loss (sale price 0 minus full cost) rather than excluding them. Our figures exclude unsold cars from profit and report them separately as inventory instead (see "Cars currently in stock" above). Also: the 2024 dashboard's Netto total (1,281,133.14 €) is ~10.7k € lower than our bottom-up Netto sum (~1,291,870 €) — a small unexplained residual in the original sheet; it does not affect Costs, Brutto, Sales or Profit, which all reconcile within rounding.</t>
  </si>
  <si>
    <t xml:space="preserve">Top takeaways</t>
  </si>
  <si>
    <t xml:space="preserve">1. Touran is your thinnest high-volume model.</t>
  </si>
  <si>
    <t xml:space="preserve">VW Touran: 8 sold, only 10,233 € total profit at a 10.6% weighted margin — well below the 16.2% company average and the lowest of any model with 5+ deals. Avg profit/deal is 1,279 € vs. ~1,690 € company-wide. Worth a firmer floor buy-price or walking away from thin Touran deals.</t>
  </si>
  <si>
    <t xml:space="preserve">2. Audi A4 is your best repeat performer.</t>
  </si>
  <si>
    <t xml:space="preserve">8 sold, 19,622 € total profit at 19.9% margin, avg profit/deal 2,453 € — the strongest volume model in the book. Skoda Octavia is the volume leader (21 sold, 30,749 € total profit) but at a lower 15.8% margin — good for cash flow, less good per unit.</t>
  </si>
  <si>
    <t xml:space="preserve">3. Profit is concentrated in a handful of models.</t>
  </si>
  <si>
    <t xml:space="preserve">The top 5 models by profit (Skoda Octavia, Audi A4, Seat Ateca, VW Tiguan, VW Golf) produced ≈ 98.6k € of the 217.9k € total — about 45% of all profit from 5 of 41 model groups.</t>
  </si>
  <si>
    <t xml:space="preserve">4. ≈160k € of capital is sitting in 19 unsold cars.</t>
  </si>
  <si>
    <t xml:space="preserve">Several have been listed since Nov 2025–Feb 2026 without selling (e.g. Alfa Romeo Stelvio, VW Tiguan, Seat Ateca, Skoda Karoq). Worth a slow-mover review — price cuts or wholesale exit on the oldest ones frees up cash.</t>
  </si>
  <si>
    <t xml:space="preserve">5. Watch for consignment deals skewing "margin %".</t>
  </si>
  <si>
    <t xml:space="preserve">BMW 420d, Audi A6 Avant, Kia Sportage and Nissan Navara show 900%+ "margin" — these are investor consignment/commission flips with a nominal 50–650 € recorded cost, not real buy-resell economics. Their euro profit is real; exclude them when benchmarking margin % by model.</t>
  </si>
  <si>
    <t xml:space="preserve">Sold deals by model group</t>
  </si>
  <si>
    <t xml:space="preserve">Only completed (SOLD) deals are counted. Sorted by total profit, high to low. All cells are live formulas against the Raw Data tab.</t>
  </si>
  <si>
    <t xml:space="preserve">Model group</t>
  </si>
  <si>
    <t xml:space="preserve">Deals sold</t>
  </si>
  <si>
    <t xml:space="preserve">Total revenue (€)</t>
  </si>
  <si>
    <t xml:space="preserve">Total costs (€)</t>
  </si>
  <si>
    <t xml:space="preserve">Total profit (€)</t>
  </si>
  <si>
    <t xml:space="preserve">Avg profit / deal (€)</t>
  </si>
  <si>
    <t xml:space="preserve">Avg margin % of cost</t>
  </si>
  <si>
    <t xml:space="preserve">Weighted margin % (profit/cost)</t>
  </si>
  <si>
    <t xml:space="preserve">Škoda Octavia</t>
  </si>
  <si>
    <t xml:space="preserve">Audi A4</t>
  </si>
  <si>
    <t xml:space="preserve">Seat Ateca</t>
  </si>
  <si>
    <t xml:space="preserve">VW Tiguan</t>
  </si>
  <si>
    <t xml:space="preserve">VW Golf</t>
  </si>
  <si>
    <t xml:space="preserve">Škoda Superb</t>
  </si>
  <si>
    <t xml:space="preserve">VW Passat</t>
  </si>
  <si>
    <t xml:space="preserve">VW Touran</t>
  </si>
  <si>
    <t xml:space="preserve">VW ID.3</t>
  </si>
  <si>
    <t xml:space="preserve">Seat Leon</t>
  </si>
  <si>
    <t xml:space="preserve">Seat Arona</t>
  </si>
  <si>
    <t xml:space="preserve">Citroën Jumpy</t>
  </si>
  <si>
    <t xml:space="preserve">Audi Q5</t>
  </si>
  <si>
    <t xml:space="preserve">Škoda Karoq</t>
  </si>
  <si>
    <t xml:space="preserve">Škoda Kodiaq</t>
  </si>
  <si>
    <t xml:space="preserve">Renault Espace</t>
  </si>
  <si>
    <t xml:space="preserve">Mazda 6</t>
  </si>
  <si>
    <t xml:space="preserve">VW ID.4</t>
  </si>
  <si>
    <t xml:space="preserve">Mercedes-Benz CLA</t>
  </si>
  <si>
    <t xml:space="preserve">Mazda MX-5</t>
  </si>
  <si>
    <t xml:space="preserve">Alfa Romeo Stelvio</t>
  </si>
  <si>
    <t xml:space="preserve">Mercedes-Benz E53</t>
  </si>
  <si>
    <t xml:space="preserve">Opel Insignia</t>
  </si>
  <si>
    <t xml:space="preserve">Hyundai i40</t>
  </si>
  <si>
    <t xml:space="preserve">Alfa Romeo Giulietta</t>
  </si>
  <si>
    <t xml:space="preserve">VW Touareg</t>
  </si>
  <si>
    <t xml:space="preserve">Kia Cee'd</t>
  </si>
  <si>
    <t xml:space="preserve">Volvo V90</t>
  </si>
  <si>
    <t xml:space="preserve">Seat Alhambra</t>
  </si>
  <si>
    <t xml:space="preserve">Maserati Ghibli</t>
  </si>
  <si>
    <t xml:space="preserve">BMW 530i</t>
  </si>
  <si>
    <t xml:space="preserve">Nissan Navara</t>
  </si>
  <si>
    <t xml:space="preserve">BMW 420d</t>
  </si>
  <si>
    <t xml:space="preserve">Audi A6</t>
  </si>
  <si>
    <t xml:space="preserve">Kia Sportage</t>
  </si>
  <si>
    <t xml:space="preserve">Hyundai Tucson</t>
  </si>
  <si>
    <t xml:space="preserve">Mercedes-Benz C</t>
  </si>
  <si>
    <t xml:space="preserve">Volvo V60</t>
  </si>
  <si>
    <t xml:space="preserve">VW Tayron</t>
  </si>
  <si>
    <t xml:space="preserve">BMW 525d</t>
  </si>
  <si>
    <t xml:space="preserve">Alfa Romeo Mito</t>
  </si>
  <si>
    <t xml:space="preserve">TOTAL / ALL SOLD</t>
  </si>
  <si>
    <t xml:space="preserve">Note: a few single-deal rows (BMW 420d, Audi A6 Avant, Kia Sportage, Nissan Navara) show very high "margin % of cost" (900%+). These are investor-consignment / commission-only deals where AUTOBONO never carried the full purchase cost, so "Costs" is a nominal figure (e.g. 50 €) rather than a real acquisition price. Their € profit is genuine but the % figure is not comparable to normal buy-resell deals.</t>
  </si>
  <si>
    <t xml:space="preserve">Sold deals by month (sale date)</t>
  </si>
  <si>
    <t xml:space="preserve">Covers the full running log from Apr 2023 through Jul 2026. All cells are live formulas against the Raw Data tab.</t>
  </si>
  <si>
    <t xml:space="preserve">Month</t>
  </si>
  <si>
    <t xml:space="preserve">Weighted margin %</t>
  </si>
  <si>
    <t xml:space="preserve">2023-04</t>
  </si>
  <si>
    <t xml:space="preserve">2023-07</t>
  </si>
  <si>
    <t xml:space="preserve">2023-10</t>
  </si>
  <si>
    <t xml:space="preserve">2023-11</t>
  </si>
  <si>
    <t xml:space="preserve">2023-12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</si>
  <si>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</si>
  <si>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</si>
  <si>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</si>
  <si>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</si>
  <si>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</si>
  <si>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</si>
  <si>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</si>
  <si>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</si>
  <si>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</si>
  <si>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</si>
  <si>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</si>
  <si>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</si>
  <si>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</si>
  <si>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</si>
  <si>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</si>
  <si>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</si>
  <si>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</si>
  <si>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</si>
  <si>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</si>
  <si>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</si>
  <si>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</si>
  <si>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</si>
  <si>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</si>
  <si>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</si>
  <si>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</si>
  <si>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</si>
  <si>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</si>
  <si>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</si>
  <si>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</si>
  <si>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</si>
  <si>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TOTAL</t>
  </si>
  <si>
    <t xml:space="preserve">Sold deals by VAT scheme</t>
  </si>
  <si>
    <t xml:space="preserve">M = margin scheme (VAT only on margin, no input VAT deduction). D = deductible/netto scheme (VAT reclaimed on purchase, charged on sale).</t>
  </si>
  <si>
    <t xml:space="preserve">VAT type</t>
  </si>
  <si>
    <t xml:space="preserve">M</t>
  </si>
  <si>
    <t xml:space="preserve">D</t>
  </si>
  <si>
    <t xml:space="preserve">Note: per-deal average margin % (not shown here) is heavily skewed by a few near-zero-cost consignment deals. The weighted margin % above (total profit ÷ total cost) is the reliable comparison — and it shows M and D scheme deals perform almost identically (~16% each), i.e. VAT scheme itself is not driving profitability.</t>
  </si>
  <si>
    <t xml:space="preserve">No.</t>
  </si>
  <si>
    <t xml:space="preserve">Year (tab)</t>
  </si>
  <si>
    <t xml:space="preserve">Vehicle</t>
  </si>
  <si>
    <t xml:space="preserve">Trim</t>
  </si>
  <si>
    <t xml:space="preserve">Model year</t>
  </si>
  <si>
    <t xml:space="preserve">Engine</t>
  </si>
  <si>
    <t xml:space="preserve">Gearbox</t>
  </si>
  <si>
    <t xml:space="preserve">Mileage (km)</t>
  </si>
  <si>
    <t xml:space="preserve">VAT type (M=margin, D=deductible)</t>
  </si>
  <si>
    <t xml:space="preserve">Buyer country</t>
  </si>
  <si>
    <t xml:space="preserve">Costs (€)</t>
  </si>
  <si>
    <t xml:space="preserve">Netto (€)</t>
  </si>
  <si>
    <t xml:space="preserve">VAT (€)</t>
  </si>
  <si>
    <t xml:space="preserve">Brutto (€)</t>
  </si>
  <si>
    <t xml:space="preserve">Sale price (€)</t>
  </si>
  <si>
    <t xml:space="preserve">Profit (€)</t>
  </si>
  <si>
    <t xml:space="preserve">Margin % of cost</t>
  </si>
  <si>
    <t xml:space="preserve">Purchase date</t>
  </si>
  <si>
    <t xml:space="preserve">Sale date</t>
  </si>
  <si>
    <t xml:space="preserve">Days listed→sold</t>
  </si>
  <si>
    <t xml:space="preserve">Status</t>
  </si>
  <si>
    <t xml:space="preserve">Helper: profit if sold</t>
  </si>
  <si>
    <t xml:space="preserve">Helper: margin% if sold</t>
  </si>
  <si>
    <t xml:space="preserve">Helper: sale year-month</t>
  </si>
  <si>
    <t xml:space="preserve">Hyundai i40 CW</t>
  </si>
  <si>
    <t xml:space="preserve">Business</t>
  </si>
  <si>
    <t xml:space="preserve">1.7 CRDi 104 kW</t>
  </si>
  <si>
    <t xml:space="preserve">DCT7</t>
  </si>
  <si>
    <t xml:space="preserve">🇨🇿</t>
  </si>
  <si>
    <t xml:space="preserve">SOLD</t>
  </si>
  <si>
    <t xml:space="preserve">Kia Cee'd SW</t>
  </si>
  <si>
    <t xml:space="preserve">Gold</t>
  </si>
  <si>
    <t xml:space="preserve">08/2019</t>
  </si>
  <si>
    <t xml:space="preserve">1.6 CRDi 85 kW</t>
  </si>
  <si>
    <t xml:space="preserve">MT6</t>
  </si>
  <si>
    <t xml:space="preserve">🇧🇪</t>
  </si>
  <si>
    <t xml:space="preserve">Škoda Superb Combi</t>
  </si>
  <si>
    <t xml:space="preserve">Style</t>
  </si>
  <si>
    <t xml:space="preserve">04/2016</t>
  </si>
  <si>
    <t xml:space="preserve">2.0 TDI 110 kW</t>
  </si>
  <si>
    <t xml:space="preserve">DSG6</t>
  </si>
  <si>
    <t xml:space="preserve">Revolution</t>
  </si>
  <si>
    <t xml:space="preserve">05/2013</t>
  </si>
  <si>
    <t xml:space="preserve">2.5 Skyactiv-G192</t>
  </si>
  <si>
    <t xml:space="preserve">AT6</t>
  </si>
  <si>
    <t xml:space="preserve">🇩🇪</t>
  </si>
  <si>
    <t xml:space="preserve">Ambition</t>
  </si>
  <si>
    <t xml:space="preserve">10/2017</t>
  </si>
  <si>
    <t xml:space="preserve">1.4 TSI 92 kW</t>
  </si>
  <si>
    <t xml:space="preserve">🇳🇱</t>
  </si>
  <si>
    <t xml:space="preserve">Highline</t>
  </si>
  <si>
    <t xml:space="preserve">DSG7</t>
  </si>
  <si>
    <t xml:space="preserve">Audi A4 Avant</t>
  </si>
  <si>
    <t xml:space="preserve">Basis</t>
  </si>
  <si>
    <t xml:space="preserve">07/2018</t>
  </si>
  <si>
    <t xml:space="preserve">🇮🇹</t>
  </si>
  <si>
    <t xml:space="preserve">STOCK</t>
  </si>
  <si>
    <t xml:space="preserve">Škoda Octavia Combi</t>
  </si>
  <si>
    <t xml:space="preserve">03/2018</t>
  </si>
  <si>
    <t xml:space="preserve">1.0 TSI 85 kW</t>
  </si>
  <si>
    <t xml:space="preserve">Volkswagen Passat</t>
  </si>
  <si>
    <t xml:space="preserve">Comfortline</t>
  </si>
  <si>
    <t xml:space="preserve">02/2017</t>
  </si>
  <si>
    <t xml:space="preserve">🇸🇰</t>
  </si>
  <si>
    <t xml:space="preserve">VW Passat Variant R-line</t>
  </si>
  <si>
    <t xml:space="preserve">Highline Business</t>
  </si>
  <si>
    <t xml:space="preserve">09/2015</t>
  </si>
  <si>
    <t xml:space="preserve">1.8 TSI 132 kW</t>
  </si>
  <si>
    <t xml:space="preserve">VW Touran R-line</t>
  </si>
  <si>
    <t xml:space="preserve">01/2018</t>
  </si>
  <si>
    <t xml:space="preserve">06/2017</t>
  </si>
  <si>
    <t xml:space="preserve">1.4 TSI 110 kW</t>
  </si>
  <si>
    <t xml:space="preserve">🇫🇷</t>
  </si>
  <si>
    <t xml:space="preserve">02/2020</t>
  </si>
  <si>
    <t xml:space="preserve">02/2019</t>
  </si>
  <si>
    <t xml:space="preserve">1.6 TDI 70 kW</t>
  </si>
  <si>
    <t xml:space="preserve">01/2016</t>
  </si>
  <si>
    <t xml:space="preserve">🇩🇰</t>
  </si>
  <si>
    <t xml:space="preserve">Cross Country</t>
  </si>
  <si>
    <t xml:space="preserve">2.0 D4 140 kW</t>
  </si>
  <si>
    <t xml:space="preserve">AT8</t>
  </si>
  <si>
    <t xml:space="preserve">Mercedes-Benz C 220d T-Modell</t>
  </si>
  <si>
    <t xml:space="preserve">Business Plus</t>
  </si>
  <si>
    <t xml:space="preserve">2.2d 125 kW</t>
  </si>
  <si>
    <t xml:space="preserve">AT9</t>
  </si>
  <si>
    <t xml:space="preserve">11/2018</t>
  </si>
  <si>
    <t xml:space="preserve">03/2020</t>
  </si>
  <si>
    <t xml:space="preserve">S-line</t>
  </si>
  <si>
    <t xml:space="preserve">03/2016</t>
  </si>
  <si>
    <t xml:space="preserve">2.0 TDI 140 kW</t>
  </si>
  <si>
    <t xml:space="preserve">Audi Q5 quattro</t>
  </si>
  <si>
    <t xml:space="preserve">09/2011</t>
  </si>
  <si>
    <t xml:space="preserve">3.0 TDI 176 kW 4x4</t>
  </si>
  <si>
    <t xml:space="preserve">2.5i 141 kW</t>
  </si>
  <si>
    <t xml:space="preserve">VW Passat Variant</t>
  </si>
  <si>
    <t xml:space="preserve">12/2019</t>
  </si>
  <si>
    <t xml:space="preserve">1.5 TSI 110 kW</t>
  </si>
  <si>
    <t xml:space="preserve">10/2018</t>
  </si>
  <si>
    <t xml:space="preserve">MT5</t>
  </si>
  <si>
    <t xml:space="preserve">02/2016</t>
  </si>
  <si>
    <t xml:space="preserve">02/2018</t>
  </si>
  <si>
    <t xml:space="preserve">Executive</t>
  </si>
  <si>
    <t xml:space="preserve">11/2017</t>
  </si>
  <si>
    <t xml:space="preserve">2.2d 154 kW</t>
  </si>
  <si>
    <t xml:space="preserve">AT8 Q4</t>
  </si>
  <si>
    <t xml:space="preserve">06/2016</t>
  </si>
  <si>
    <t xml:space="preserve">Exclusive</t>
  </si>
  <si>
    <t xml:space="preserve">07/2008</t>
  </si>
  <si>
    <t xml:space="preserve">3.0 TDI 176 kW</t>
  </si>
  <si>
    <t xml:space="preserve">AT6 4Motion</t>
  </si>
  <si>
    <t xml:space="preserve">VW Golf Variant</t>
  </si>
  <si>
    <t xml:space="preserve">08/2017</t>
  </si>
  <si>
    <t xml:space="preserve">01/2017</t>
  </si>
  <si>
    <t xml:space="preserve">🇦🇹</t>
  </si>
  <si>
    <t xml:space="preserve">05/2018</t>
  </si>
  <si>
    <t xml:space="preserve">1.6 TDI 85 kW</t>
  </si>
  <si>
    <t xml:space="preserve">Seat Leon ST</t>
  </si>
  <si>
    <t xml:space="preserve">Stylance</t>
  </si>
  <si>
    <t xml:space="preserve">09/2019</t>
  </si>
  <si>
    <t xml:space="preserve">🇱🇺</t>
  </si>
  <si>
    <t xml:space="preserve">10/2016</t>
  </si>
  <si>
    <t xml:space="preserve">11/2015</t>
  </si>
  <si>
    <t xml:space="preserve">Mercedes-Benz CLA 220 d Shooting Brake</t>
  </si>
  <si>
    <t xml:space="preserve">AMG line</t>
  </si>
  <si>
    <t xml:space="preserve">2.2d 130 kW</t>
  </si>
  <si>
    <t xml:space="preserve">03/2012</t>
  </si>
  <si>
    <t xml:space="preserve">DSG7 4x4</t>
  </si>
  <si>
    <t xml:space="preserve">09/2017</t>
  </si>
  <si>
    <t xml:space="preserve">MT6 4x4</t>
  </si>
  <si>
    <t xml:space="preserve">Distinctive</t>
  </si>
  <si>
    <t xml:space="preserve">08/2010</t>
  </si>
  <si>
    <t xml:space="preserve">1.4 TB 125 kW</t>
  </si>
  <si>
    <t xml:space="preserve">12/2017</t>
  </si>
  <si>
    <t xml:space="preserve">Design</t>
  </si>
  <si>
    <t xml:space="preserve">12/2016</t>
  </si>
  <si>
    <t xml:space="preserve">2.0 TDI</t>
  </si>
  <si>
    <t xml:space="preserve">L2H1</t>
  </si>
  <si>
    <t xml:space="preserve">2.0 HDI 130 kW</t>
  </si>
  <si>
    <t xml:space="preserve">VW Tiguan 4Motion</t>
  </si>
  <si>
    <t xml:space="preserve">Sport &amp; Style</t>
  </si>
  <si>
    <t xml:space="preserve">11/2011</t>
  </si>
  <si>
    <t xml:space="preserve">1.4 TSI 118 kW</t>
  </si>
  <si>
    <t xml:space="preserve">🇸🇪</t>
  </si>
  <si>
    <t xml:space="preserve">11/2010</t>
  </si>
  <si>
    <t xml:space="preserve">1.6 TDI</t>
  </si>
  <si>
    <t xml:space="preserve">1.0 TSI</t>
  </si>
  <si>
    <t xml:space="preserve">Zen</t>
  </si>
  <si>
    <t xml:space="preserve">01/2021</t>
  </si>
  <si>
    <t xml:space="preserve">2.0 dCi 118 kW</t>
  </si>
  <si>
    <t xml:space="preserve">EDC6</t>
  </si>
  <si>
    <t xml:space="preserve">09/2016</t>
  </si>
  <si>
    <t xml:space="preserve">1.6 TDI 88 kW</t>
  </si>
  <si>
    <t xml:space="preserve">2.0 TDI </t>
  </si>
  <si>
    <t xml:space="preserve">Sport</t>
  </si>
  <si>
    <t xml:space="preserve">07/2017</t>
  </si>
  <si>
    <t xml:space="preserve">05/2016</t>
  </si>
  <si>
    <t xml:space="preserve">03/2017</t>
  </si>
  <si>
    <t xml:space="preserve">08/2015</t>
  </si>
  <si>
    <t xml:space="preserve">06/2009</t>
  </si>
  <si>
    <t xml:space="preserve">1.4 T-Jet 114 kW</t>
  </si>
  <si>
    <t xml:space="preserve">Trend &amp; Fun</t>
  </si>
  <si>
    <t xml:space="preserve">12/2013</t>
  </si>
  <si>
    <t xml:space="preserve">2.0 TDI 103 kW</t>
  </si>
  <si>
    <t xml:space="preserve">07/2009</t>
  </si>
  <si>
    <t xml:space="preserve">2.0 Skyactiv-G 118 kW</t>
  </si>
  <si>
    <t xml:space="preserve">Mercedes-Benz E53 AMG</t>
  </si>
  <si>
    <t xml:space="preserve">AMG</t>
  </si>
  <si>
    <t xml:space="preserve">02/2023</t>
  </si>
  <si>
    <t xml:space="preserve">3.0i 320 kW</t>
  </si>
  <si>
    <t xml:space="preserve">AT9 4Matic+</t>
  </si>
  <si>
    <t xml:space="preserve">11/2019</t>
  </si>
  <si>
    <t xml:space="preserve">09/2020</t>
  </si>
  <si>
    <t xml:space="preserve">Opel Vivaro</t>
  </si>
  <si>
    <t xml:space="preserve">08/2020</t>
  </si>
  <si>
    <t xml:space="preserve">2.0 HDI 90 kW</t>
  </si>
  <si>
    <t xml:space="preserve">Inscription</t>
  </si>
  <si>
    <t xml:space="preserve">2.0 D5 173 kW AWD</t>
  </si>
  <si>
    <t xml:space="preserve">BMW 530i xDrive Touring</t>
  </si>
  <si>
    <t xml:space="preserve">M Sport</t>
  </si>
  <si>
    <t xml:space="preserve">2.0i 185 kW xDrive</t>
  </si>
  <si>
    <t xml:space="preserve">05/2022</t>
  </si>
  <si>
    <t xml:space="preserve">2.0 TDI 85 kW</t>
  </si>
  <si>
    <t xml:space="preserve">05/2021</t>
  </si>
  <si>
    <t xml:space="preserve">05/2017</t>
  </si>
  <si>
    <t xml:space="preserve">12/2014</t>
  </si>
  <si>
    <t xml:space="preserve">1.4 TSI 92 kW CZCA</t>
  </si>
  <si>
    <t xml:space="preserve">2.0 TDI 110 kW DFGA</t>
  </si>
  <si>
    <t xml:space="preserve">Elegance</t>
  </si>
  <si>
    <t xml:space="preserve">1.4 TSI 103 kW</t>
  </si>
  <si>
    <t xml:space="preserve">1.4 TSI 90 kW</t>
  </si>
  <si>
    <t xml:space="preserve">2.0 TDI 140 kW 4Motion</t>
  </si>
  <si>
    <t xml:space="preserve">1.7 CRDI 104 kW</t>
  </si>
  <si>
    <t xml:space="preserve">07/2016</t>
  </si>
  <si>
    <t xml:space="preserve">2.0 TDI 140 kW </t>
  </si>
  <si>
    <t xml:space="preserve">Xcellence</t>
  </si>
  <si>
    <t xml:space="preserve">11/2016</t>
  </si>
  <si>
    <t xml:space="preserve">1.4 TIS 110 kW</t>
  </si>
  <si>
    <t xml:space="preserve">08/2012</t>
  </si>
  <si>
    <t xml:space="preserve">2.0 TDI 81 kW</t>
  </si>
  <si>
    <t xml:space="preserve">Alltrack</t>
  </si>
  <si>
    <t xml:space="preserve">11/2021</t>
  </si>
  <si>
    <t xml:space="preserve">2.0 TDI 147 kW 4Motion</t>
  </si>
  <si>
    <t xml:space="preserve">Maserati Ghibli S Q4</t>
  </si>
  <si>
    <t xml:space="preserve">GranSport</t>
  </si>
  <si>
    <t xml:space="preserve">3.0 V6 316 kW</t>
  </si>
  <si>
    <t xml:space="preserve">12/2015</t>
  </si>
  <si>
    <t xml:space="preserve">03/2023</t>
  </si>
  <si>
    <t xml:space="preserve">1.6 CRDi 100 kW</t>
  </si>
  <si>
    <t xml:space="preserve">12/2018</t>
  </si>
  <si>
    <t xml:space="preserve">04/2013</t>
  </si>
  <si>
    <t xml:space="preserve">FR</t>
  </si>
  <si>
    <t xml:space="preserve">08/2018</t>
  </si>
  <si>
    <t xml:space="preserve">2.0 TDI 103 kW 4Motion</t>
  </si>
  <si>
    <t xml:space="preserve">09/2014</t>
  </si>
  <si>
    <t xml:space="preserve">2.0 TDI 130 kW 4Motion</t>
  </si>
  <si>
    <t xml:space="preserve">Opel Insignia Grand Sport</t>
  </si>
  <si>
    <t xml:space="preserve">OPC line</t>
  </si>
  <si>
    <t xml:space="preserve">2.0 CDTI 125 kW</t>
  </si>
  <si>
    <t xml:space="preserve">Nissan Navara Double</t>
  </si>
  <si>
    <t xml:space="preserve">N-Guard</t>
  </si>
  <si>
    <t xml:space="preserve">04/2022</t>
  </si>
  <si>
    <t xml:space="preserve">2.3 dCi 140 kW</t>
  </si>
  <si>
    <t xml:space="preserve">AT7</t>
  </si>
  <si>
    <t xml:space="preserve">🇭🇺</t>
  </si>
  <si>
    <t xml:space="preserve">Highline R-line</t>
  </si>
  <si>
    <t xml:space="preserve">12/2025</t>
  </si>
  <si>
    <t xml:space="preserve">2.0 TDI 142 kW 4Motion</t>
  </si>
  <si>
    <t xml:space="preserve">BMW 420d Gran Coupé</t>
  </si>
  <si>
    <t xml:space="preserve">2.0d 140 kW</t>
  </si>
  <si>
    <t xml:space="preserve">Super</t>
  </si>
  <si>
    <t xml:space="preserve">2.2d 110 kW</t>
  </si>
  <si>
    <t xml:space="preserve">1st Pro</t>
  </si>
  <si>
    <t xml:space="preserve">12/2020</t>
  </si>
  <si>
    <t xml:space="preserve">58 kWh 150 kW</t>
  </si>
  <si>
    <t xml:space="preserve">AT1</t>
  </si>
  <si>
    <t xml:space="preserve">04/2017</t>
  </si>
  <si>
    <t xml:space="preserve">BMW 525d Touring</t>
  </si>
  <si>
    <t xml:space="preserve">11/2005</t>
  </si>
  <si>
    <t xml:space="preserve">2.5d 130 kW</t>
  </si>
  <si>
    <t xml:space="preserve">03/2013</t>
  </si>
  <si>
    <t xml:space="preserve">Pro</t>
  </si>
  <si>
    <t xml:space="preserve">77 kWh 150 kW</t>
  </si>
  <si>
    <t xml:space="preserve">1.5 TSI 96 kW</t>
  </si>
  <si>
    <t xml:space="preserve">12/2011</t>
  </si>
  <si>
    <t xml:space="preserve">07/2019</t>
  </si>
  <si>
    <t xml:space="preserve">04/2019</t>
  </si>
  <si>
    <t xml:space="preserve">2.0 TSI 140 kW</t>
  </si>
  <si>
    <t xml:space="preserve">04/2018</t>
  </si>
  <si>
    <t xml:space="preserve">10/2020</t>
  </si>
  <si>
    <t xml:space="preserve">1.4 T-Jet 88 kW</t>
  </si>
  <si>
    <t xml:space="preserve">06/2019</t>
  </si>
  <si>
    <t xml:space="preserve">2.0 TDI 110 kW 4x4</t>
  </si>
  <si>
    <t xml:space="preserve">Mercedes-Benz E53 AMG 4Matic</t>
  </si>
  <si>
    <t xml:space="preserve">3.0i 320 kW 4Matic+</t>
  </si>
  <si>
    <t xml:space="preserve">Mercedes-Benz GLA 200 d</t>
  </si>
  <si>
    <t xml:space="preserve">2.0d 110 kW</t>
  </si>
  <si>
    <t xml:space="preserve">DCT8</t>
  </si>
  <si>
    <t xml:space="preserve">Mercedes-Benz GLA</t>
  </si>
  <si>
    <t xml:space="preserve">GTE</t>
  </si>
  <si>
    <t xml:space="preserve">1.4 TSI 160 kW</t>
  </si>
  <si>
    <t xml:space="preserve">Mazda CX-3</t>
  </si>
  <si>
    <t xml:space="preserve">Attraction</t>
  </si>
  <si>
    <t xml:space="preserve">2.0i 88 kW</t>
  </si>
  <si>
    <t xml:space="preserve">Audi A6 Avant</t>
  </si>
  <si>
    <t xml:space="preserve">Allroad</t>
  </si>
  <si>
    <t xml:space="preserve">3.0 TDI V6 257 kW</t>
  </si>
  <si>
    <t xml:space="preserve">Note: "2023" tab rows for car No.10–15 are excluded here because those same cars reappear (with updated, final sale data) as rows in the "2024" tab under the same No. and VIN — including both would double-count them. Cars No.16 onward in the raw 2023 tab were empty placeholder/deposit rows, not vehicles, and are excluded too.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</si>
</sst>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&quot; €&quot;;\(#,##0&quot; €)&quot;"/>
    <numFmt numFmtId="167" formatCode="0.0%;\(0.0%\)"/>
    <numFmt numFmtId="168" formatCode="dd\.mm\.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99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666666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profit by month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Month'!F5</c:f>
              <c:strCache>
                <c:ptCount val="1"/>
                <c:pt idx="0">
                  <c:v>Total profit (€)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Month'!$B$6:$B$40</c:f>
              <c:strCache>
                <c:ptCount val="35"/>
                <c:pt idx="0">
                  <c:v>2023-04</c:v>
                </c:pt>
                <c:pt idx="1">
                  <c:v>2023-07</c:v>
                </c:pt>
                <c:pt idx="2">
                  <c:v>2023-10</c:v>
                </c:pt>
                <c:pt idx="3">
                  <c:v>2023-11</c:v>
                </c:pt>
                <c:pt idx="4">
                  <c:v>2023-12</c:v>
                </c:pt>
                <c:pt idx="5">
                  <c:v>2024-02</c:v>
                </c:pt>
                <c:pt idx="6">
                  <c:v>2024-03</c:v>
                </c:pt>
                <c:pt idx="7">
                  <c:v>2024-04</c:v>
                </c:pt>
                <c:pt idx="8">
                  <c:v>2024-05</c:v>
                </c:pt>
                <c:pt idx="9">
                  <c:v>2024-06</c:v>
                </c:pt>
                <c:pt idx="10">
                  <c:v>2024-07</c:v>
                </c:pt>
                <c:pt idx="11">
                  <c:v>2024-08</c:v>
                </c:pt>
                <c:pt idx="12">
                  <c:v>2024-09</c:v>
                </c:pt>
                <c:pt idx="13">
                  <c:v>2024-10</c:v>
                </c:pt>
                <c:pt idx="14">
                  <c:v>2024-11</c:v>
                </c:pt>
                <c:pt idx="15">
                  <c:v>2024-12</c:v>
                </c:pt>
                <c:pt idx="16">
                  <c:v>2025-01</c:v>
                </c:pt>
                <c:pt idx="17">
                  <c:v>2025-02</c:v>
                </c:pt>
                <c:pt idx="18">
                  <c:v>2025-03</c:v>
                </c:pt>
                <c:pt idx="19">
                  <c:v>2025-04</c:v>
                </c:pt>
                <c:pt idx="20">
                  <c:v>2025-05</c:v>
                </c:pt>
                <c:pt idx="21">
                  <c:v>2025-06</c:v>
                </c:pt>
                <c:pt idx="22">
                  <c:v>2025-07</c:v>
                </c:pt>
                <c:pt idx="23">
                  <c:v>2025-08</c:v>
                </c:pt>
                <c:pt idx="24">
                  <c:v>2025-09</c:v>
                </c:pt>
                <c:pt idx="25">
                  <c:v>2025-10</c:v>
                </c:pt>
                <c:pt idx="26">
                  <c:v>2025-11</c:v>
                </c:pt>
                <c:pt idx="27">
                  <c:v>2025-12</c:v>
                </c:pt>
                <c:pt idx="28">
                  <c:v>2026-01</c:v>
                </c:pt>
                <c:pt idx="29">
                  <c:v>2026-02</c:v>
                </c:pt>
                <c:pt idx="30">
                  <c:v>2026-03</c:v>
                </c:pt>
                <c:pt idx="31">
                  <c:v>2026-04</c:v>
                </c:pt>
                <c:pt idx="32">
                  <c:v>2026-05</c:v>
                </c:pt>
                <c:pt idx="33">
                  <c:v>2026-06</c:v>
                </c:pt>
                <c:pt idx="34">
                  <c:v>2026-07</c:v>
                </c:pt>
              </c:strCache>
            </c:strRef>
          </c:cat>
          <c:val>
            <c:numRef>
              <c:f>'By Month'!$F$6:$F$40</c:f>
              <c:numCache>
                <c:formatCode>#,##0" €";\(#,##0" €)"</c:formatCode>
                <c:ptCount val="35"/>
                <c:pt idx="0">
                  <c:v>1696.21</c:v>
                </c:pt>
                <c:pt idx="1">
                  <c:v>2483.92</c:v>
                </c:pt>
                <c:pt idx="2">
                  <c:v>2887</c:v>
                </c:pt>
                <c:pt idx="3">
                  <c:v>2936.99</c:v>
                </c:pt>
                <c:pt idx="4">
                  <c:v>1228</c:v>
                </c:pt>
                <c:pt idx="5">
                  <c:v>1935</c:v>
                </c:pt>
                <c:pt idx="6">
                  <c:v>2500</c:v>
                </c:pt>
                <c:pt idx="7">
                  <c:v>2956</c:v>
                </c:pt>
                <c:pt idx="8">
                  <c:v>3649</c:v>
                </c:pt>
                <c:pt idx="9">
                  <c:v>3205</c:v>
                </c:pt>
                <c:pt idx="10">
                  <c:v>1987</c:v>
                </c:pt>
                <c:pt idx="11">
                  <c:v>20027</c:v>
                </c:pt>
                <c:pt idx="12">
                  <c:v>788</c:v>
                </c:pt>
                <c:pt idx="13">
                  <c:v>6042</c:v>
                </c:pt>
                <c:pt idx="14">
                  <c:v>11594</c:v>
                </c:pt>
                <c:pt idx="15">
                  <c:v>17929</c:v>
                </c:pt>
                <c:pt idx="16">
                  <c:v>5878</c:v>
                </c:pt>
                <c:pt idx="17">
                  <c:v>15879</c:v>
                </c:pt>
                <c:pt idx="18">
                  <c:v>3698</c:v>
                </c:pt>
                <c:pt idx="19">
                  <c:v>13449</c:v>
                </c:pt>
                <c:pt idx="20">
                  <c:v>7085</c:v>
                </c:pt>
                <c:pt idx="21">
                  <c:v>1599</c:v>
                </c:pt>
                <c:pt idx="22">
                  <c:v>13034</c:v>
                </c:pt>
                <c:pt idx="23">
                  <c:v>10995</c:v>
                </c:pt>
                <c:pt idx="24">
                  <c:v>2933</c:v>
                </c:pt>
                <c:pt idx="25">
                  <c:v>2350</c:v>
                </c:pt>
                <c:pt idx="26">
                  <c:v>12741</c:v>
                </c:pt>
                <c:pt idx="27">
                  <c:v>774</c:v>
                </c:pt>
                <c:pt idx="28">
                  <c:v>4900</c:v>
                </c:pt>
                <c:pt idx="29">
                  <c:v>4232</c:v>
                </c:pt>
                <c:pt idx="30">
                  <c:v>13297</c:v>
                </c:pt>
                <c:pt idx="31">
                  <c:v>5918</c:v>
                </c:pt>
                <c:pt idx="32">
                  <c:v>3754</c:v>
                </c:pt>
                <c:pt idx="33">
                  <c:v>8586</c:v>
                </c:pt>
                <c:pt idx="34">
                  <c:v>2972</c:v>
                </c:pt>
              </c:numCache>
            </c:numRef>
          </c:val>
        </c:ser>
        <c:gapWidth val="150"/>
        <c:overlap val="0"/>
        <c:axId val="89778902"/>
        <c:axId val="26777468"/>
      </c:barChart>
      <c:catAx>
        <c:axId val="89778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777468"/>
        <c:crosses val="autoZero"/>
        <c:auto val="1"/>
        <c:lblAlgn val="ctr"/>
        <c:lblOffset val="100"/>
        <c:noMultiLvlLbl val="0"/>
      </c:catAx>
      <c:valAx>
        <c:axId val="26777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(#,##0&quot; €)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7789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22</xdr:col>
      <xdr:colOff>78840</xdr:colOff>
      <xdr:row>22</xdr:row>
      <xdr:rowOff>170640</xdr:rowOff>
    </xdr:to>
    <xdr:graphicFrame>
      <xdr:nvGraphicFramePr>
        <xdr:cNvPr id="1" name="Chart 1"/>
        <xdr:cNvGraphicFramePr/>
      </xdr:nvGraphicFramePr>
      <xdr:xfrm>
        <a:off x="7214400" y="8215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20"/>
    <col collapsed="false" customWidth="true" hidden="false" outlineLevel="0" max="8" min="8" style="0" width="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8" hidden="false" customHeight="true" outlineLevel="0" collapsed="false">
      <c r="B6" s="4" t="s">
        <v>3</v>
      </c>
      <c r="C6" s="4"/>
      <c r="D6" s="5" t="s">
        <v>4</v>
      </c>
      <c r="E6" s="5"/>
      <c r="F6" s="6" t="s">
        <v>5</v>
      </c>
      <c r="G6" s="6"/>
    </row>
    <row r="7" customFormat="false" ht="21.75" hidden="false" customHeight="true" outlineLevel="0" collapsed="false">
      <c r="B7" s="7" t="n">
        <f aca="false">COUNTIF('Raw Data'!$U$2:$U$149,"SOLD")</f>
        <v>129</v>
      </c>
      <c r="C7" s="7"/>
      <c r="D7" s="8" t="n">
        <f aca="false">SUMIF('Raw Data'!$U$2:$U$149,"SOLD",'Raw Data'!$O$2:$O$149)</f>
        <v>1813360</v>
      </c>
      <c r="E7" s="8"/>
      <c r="F7" s="9" t="n">
        <f aca="false">SUMIF('Raw Data'!$U$2:$U$149,"SOLD",'Raw Data'!$P$2:$P$149)</f>
        <v>217918.12</v>
      </c>
      <c r="G7" s="9"/>
    </row>
    <row r="8" customFormat="false" ht="21.75" hidden="false" customHeight="true" outlineLevel="0" collapsed="false">
      <c r="B8" s="7"/>
      <c r="C8" s="7"/>
      <c r="D8" s="8"/>
      <c r="E8" s="8"/>
      <c r="F8" s="9"/>
      <c r="G8" s="9"/>
    </row>
    <row r="11" customFormat="false" ht="15" hidden="false" customHeight="false" outlineLevel="0" collapsed="false">
      <c r="B11" s="10" t="s">
        <v>6</v>
      </c>
      <c r="D11" s="11" t="n">
        <f aca="false">SUMIF('Raw Data'!$U$2:$U$149,"SOLD",'Raw Data'!$P$2:$P$149)/SUMIF('Raw Data'!$U$2:$U$149,"SOLD",'Raw Data'!$K$2:$K$149)</f>
        <v>0.162199109013673</v>
      </c>
    </row>
    <row r="12" customFormat="false" ht="15" hidden="false" customHeight="false" outlineLevel="0" collapsed="false">
      <c r="B12" s="10" t="s">
        <v>7</v>
      </c>
      <c r="D12" s="12" t="n">
        <f aca="false">SUMIF('Raw Data'!$U$2:$U$149,"SOLD",'Raw Data'!$P$2:$P$149)/COUNTIF('Raw Data'!$U$2:$U$149,"SOLD")</f>
        <v>1689.28775193798</v>
      </c>
    </row>
    <row r="13" customFormat="false" ht="15" hidden="false" customHeight="false" outlineLevel="0" collapsed="false">
      <c r="B13" s="10" t="s">
        <v>8</v>
      </c>
      <c r="D13" s="12" t="n">
        <f aca="false">MEDIAN('Raw Data'!$W$2:$W$149)</f>
        <v>1693</v>
      </c>
    </row>
    <row r="14" customFormat="false" ht="15" hidden="false" customHeight="false" outlineLevel="0" collapsed="false">
      <c r="B14" s="10" t="s">
        <v>9</v>
      </c>
      <c r="D14" s="11" t="n">
        <f aca="false">AVERAGEIF('Raw Data'!$U$2:$U$149,"SOLD",'Raw Data'!$Q$2:$Q$149)</f>
        <v>0.698595348837209</v>
      </c>
    </row>
    <row r="15" customFormat="false" ht="15" hidden="false" customHeight="false" outlineLevel="0" collapsed="false">
      <c r="B15" s="10" t="s">
        <v>10</v>
      </c>
      <c r="D15" s="11" t="n">
        <f aca="false">MEDIAN('Raw Data'!$X$2:$X$149)</f>
        <v>0.1672</v>
      </c>
    </row>
    <row r="16" customFormat="false" ht="15" hidden="false" customHeight="false" outlineLevel="0" collapsed="false">
      <c r="B16" s="10" t="s">
        <v>11</v>
      </c>
      <c r="D16" s="13" t="n">
        <f aca="false">COUNTIF('Raw Data'!$U$2:$U$149,"STOCK")</f>
        <v>19</v>
      </c>
    </row>
    <row r="17" customFormat="false" ht="15" hidden="false" customHeight="false" outlineLevel="0" collapsed="false">
      <c r="B17" s="10" t="s">
        <v>12</v>
      </c>
      <c r="D17" s="12" t="n">
        <f aca="false">SUMIF('Raw Data'!$U$2:$U$149,"STOCK",'Raw Data'!$K$2:$K$149)</f>
        <v>173310.06</v>
      </c>
    </row>
    <row r="18" customFormat="false" ht="15" hidden="false" customHeight="false" outlineLevel="0" collapsed="false">
      <c r="B18" s="10" t="s">
        <v>13</v>
      </c>
      <c r="D18" s="13" t="n">
        <f aca="false">COUNTA('Raw Data'!$A$2:$A$149)</f>
        <v>148</v>
      </c>
    </row>
    <row r="20" customFormat="false" ht="15" hidden="false" customHeight="false" outlineLevel="0" collapsed="false">
      <c r="B20" s="14" t="s">
        <v>14</v>
      </c>
    </row>
    <row r="21" customFormat="false" ht="15" hidden="false" customHeight="false" outlineLevel="0" collapsed="false">
      <c r="B21" s="15" t="s">
        <v>15</v>
      </c>
      <c r="C21" s="15"/>
      <c r="D21" s="15"/>
      <c r="E21" s="15"/>
      <c r="F21" s="15"/>
    </row>
    <row r="22" customFormat="false" ht="23.85" hidden="false" customHeight="false" outlineLevel="0" collapsed="false">
      <c r="B22" s="16" t="s">
        <v>16</v>
      </c>
      <c r="C22" s="16" t="s">
        <v>17</v>
      </c>
      <c r="D22" s="16" t="s">
        <v>18</v>
      </c>
      <c r="E22" s="16" t="s">
        <v>19</v>
      </c>
    </row>
    <row r="23" customFormat="false" ht="23.85" hidden="false" customHeight="false" outlineLevel="0" collapsed="false">
      <c r="B23" s="17" t="s">
        <v>20</v>
      </c>
      <c r="C23" s="18" t="n">
        <v>1400197.07</v>
      </c>
      <c r="D23" s="19" t="n">
        <f aca="false">SUMIFS('Raw Data'!$K$2:$K$149,'Raw Data'!$B$2:$B$149,2024)</f>
        <v>1400197.05</v>
      </c>
      <c r="E23" s="20" t="str">
        <f aca="false">IF(ABS(C23-D23)&lt;500,"Match","Check")</f>
        <v>Match</v>
      </c>
    </row>
    <row r="24" customFormat="false" ht="23.85" hidden="false" customHeight="false" outlineLevel="0" collapsed="false">
      <c r="B24" s="17" t="s">
        <v>21</v>
      </c>
      <c r="C24" s="18" t="n">
        <v>1697960</v>
      </c>
      <c r="D24" s="19" t="n">
        <f aca="false">SUMIFS('Raw Data'!$O$2:$O$149,'Raw Data'!$B$2:$B$149,2024,'Raw Data'!$U$2:$U$149,"SOLD")</f>
        <v>1697960</v>
      </c>
      <c r="E24" s="20" t="str">
        <f aca="false">IF(ABS(C24-D24)&lt;500,"Match","Check")</f>
        <v>Match</v>
      </c>
    </row>
    <row r="25" customFormat="false" ht="23.85" hidden="false" customHeight="false" outlineLevel="0" collapsed="false">
      <c r="B25" s="17" t="s">
        <v>22</v>
      </c>
      <c r="C25" s="18" t="n">
        <v>1433350</v>
      </c>
      <c r="D25" s="19" t="n">
        <f aca="false">SUMIFS('Raw Data'!$N$2:$N$149,'Raw Data'!$B$2:$B$149,2024)</f>
        <v>1433350</v>
      </c>
      <c r="E25" s="20" t="str">
        <f aca="false">IF(ABS(C25-D25)&lt;500,"Match","Check")</f>
        <v>Match</v>
      </c>
    </row>
    <row r="26" customFormat="false" ht="15" hidden="false" customHeight="false" outlineLevel="0" collapsed="false">
      <c r="B26" s="17" t="s">
        <v>23</v>
      </c>
      <c r="C26" s="18" t="n">
        <v>206543</v>
      </c>
      <c r="D26" s="19" t="n">
        <f aca="false">SUMIFS('Raw Data'!$P$2:$P$149,'Raw Data'!$B$2:$B$149,2024,'Raw Data'!$U$2:$U$149,"SOLD")</f>
        <v>206686</v>
      </c>
      <c r="E26" s="20" t="str">
        <f aca="false">IF(ABS(C26-D26)&lt;500,"Match","Check")</f>
        <v>Match</v>
      </c>
    </row>
    <row r="28" customFormat="false" ht="19.5" hidden="false" customHeight="true" outlineLevel="0" collapsed="false">
      <c r="B28" s="21" t="s">
        <v>24</v>
      </c>
      <c r="C28" s="21"/>
      <c r="D28" s="21"/>
      <c r="E28" s="21"/>
      <c r="F28" s="21"/>
    </row>
    <row r="29" customFormat="false" ht="15" hidden="false" customHeight="false" outlineLevel="0" collapsed="false">
      <c r="B29" s="21"/>
      <c r="C29" s="21"/>
      <c r="D29" s="21"/>
      <c r="E29" s="21"/>
      <c r="F29" s="21"/>
    </row>
    <row r="30" customFormat="false" ht="15" hidden="false" customHeight="false" outlineLevel="0" collapsed="false">
      <c r="B30" s="21"/>
      <c r="C30" s="21"/>
      <c r="D30" s="21"/>
      <c r="E30" s="21"/>
      <c r="F30" s="21"/>
    </row>
    <row r="31" customFormat="false" ht="15" hidden="false" customHeight="false" outlineLevel="0" collapsed="false">
      <c r="B31" s="21"/>
      <c r="C31" s="21"/>
      <c r="D31" s="21"/>
      <c r="E31" s="21"/>
      <c r="F31" s="21"/>
    </row>
    <row r="33" customFormat="false" ht="15" hidden="false" customHeight="false" outlineLevel="0" collapsed="false">
      <c r="B33" s="14" t="s">
        <v>25</v>
      </c>
    </row>
    <row r="34" customFormat="false" ht="15" hidden="false" customHeight="true" outlineLevel="0" collapsed="false">
      <c r="B34" s="22" t="s">
        <v>26</v>
      </c>
      <c r="C34" s="22"/>
      <c r="D34" s="22"/>
      <c r="E34" s="22"/>
      <c r="F34" s="22"/>
    </row>
    <row r="35" customFormat="false" ht="15" hidden="false" customHeight="true" outlineLevel="0" collapsed="false">
      <c r="B35" s="23" t="s">
        <v>27</v>
      </c>
      <c r="C35" s="23"/>
      <c r="D35" s="23"/>
      <c r="E35" s="23"/>
      <c r="F35" s="23"/>
    </row>
    <row r="36" customFormat="false" ht="15" hidden="false" customHeight="false" outlineLevel="0" collapsed="false">
      <c r="B36" s="23"/>
      <c r="C36" s="23"/>
      <c r="D36" s="23"/>
      <c r="E36" s="23"/>
      <c r="F36" s="23"/>
    </row>
    <row r="38" customFormat="false" ht="15" hidden="false" customHeight="true" outlineLevel="0" collapsed="false">
      <c r="B38" s="22" t="s">
        <v>28</v>
      </c>
      <c r="C38" s="22"/>
      <c r="D38" s="22"/>
      <c r="E38" s="22"/>
      <c r="F38" s="22"/>
    </row>
    <row r="39" customFormat="false" ht="15" hidden="false" customHeight="true" outlineLevel="0" collapsed="false">
      <c r="B39" s="23" t="s">
        <v>29</v>
      </c>
      <c r="C39" s="23"/>
      <c r="D39" s="23"/>
      <c r="E39" s="23"/>
      <c r="F39" s="23"/>
    </row>
    <row r="40" customFormat="false" ht="15" hidden="false" customHeight="false" outlineLevel="0" collapsed="false">
      <c r="B40" s="23"/>
      <c r="C40" s="23"/>
      <c r="D40" s="23"/>
      <c r="E40" s="23"/>
      <c r="F40" s="23"/>
    </row>
    <row r="42" customFormat="false" ht="15" hidden="false" customHeight="true" outlineLevel="0" collapsed="false">
      <c r="B42" s="22" t="s">
        <v>30</v>
      </c>
      <c r="C42" s="22"/>
      <c r="D42" s="22"/>
      <c r="E42" s="22"/>
      <c r="F42" s="22"/>
    </row>
    <row r="43" customFormat="false" ht="15" hidden="false" customHeight="true" outlineLevel="0" collapsed="false">
      <c r="B43" s="23" t="s">
        <v>31</v>
      </c>
      <c r="C43" s="23"/>
      <c r="D43" s="23"/>
      <c r="E43" s="23"/>
      <c r="F43" s="23"/>
    </row>
    <row r="44" customFormat="false" ht="15" hidden="false" customHeight="false" outlineLevel="0" collapsed="false">
      <c r="B44" s="23"/>
      <c r="C44" s="23"/>
      <c r="D44" s="23"/>
      <c r="E44" s="23"/>
      <c r="F44" s="23"/>
    </row>
    <row r="46" customFormat="false" ht="15" hidden="false" customHeight="true" outlineLevel="0" collapsed="false">
      <c r="B46" s="22" t="s">
        <v>32</v>
      </c>
      <c r="C46" s="22"/>
      <c r="D46" s="22"/>
      <c r="E46" s="22"/>
      <c r="F46" s="22"/>
    </row>
    <row r="47" customFormat="false" ht="15" hidden="false" customHeight="true" outlineLevel="0" collapsed="false">
      <c r="B47" s="23" t="s">
        <v>33</v>
      </c>
      <c r="C47" s="23"/>
      <c r="D47" s="23"/>
      <c r="E47" s="23"/>
      <c r="F47" s="23"/>
    </row>
    <row r="48" customFormat="false" ht="15" hidden="false" customHeight="false" outlineLevel="0" collapsed="false">
      <c r="B48" s="23"/>
      <c r="C48" s="23"/>
      <c r="D48" s="23"/>
      <c r="E48" s="23"/>
      <c r="F48" s="23"/>
    </row>
    <row r="50" customFormat="false" ht="15" hidden="false" customHeight="true" outlineLevel="0" collapsed="false">
      <c r="B50" s="22" t="s">
        <v>34</v>
      </c>
      <c r="C50" s="22"/>
      <c r="D50" s="22"/>
      <c r="E50" s="22"/>
      <c r="F50" s="22"/>
    </row>
    <row r="51" customFormat="false" ht="15" hidden="false" customHeight="true" outlineLevel="0" collapsed="false">
      <c r="B51" s="23" t="s">
        <v>35</v>
      </c>
      <c r="C51" s="23"/>
      <c r="D51" s="23"/>
      <c r="E51" s="23"/>
      <c r="F51" s="23"/>
    </row>
    <row r="52" customFormat="false" ht="15" hidden="false" customHeight="false" outlineLevel="0" collapsed="false">
      <c r="B52" s="23"/>
      <c r="C52" s="23"/>
      <c r="D52" s="23"/>
      <c r="E52" s="23"/>
      <c r="F52" s="23"/>
    </row>
  </sheetData>
  <mergeCells count="18">
    <mergeCell ref="B6:C6"/>
    <mergeCell ref="D6:E6"/>
    <mergeCell ref="F6:G6"/>
    <mergeCell ref="B7:C8"/>
    <mergeCell ref="D7:E8"/>
    <mergeCell ref="F7:G8"/>
    <mergeCell ref="B21:F21"/>
    <mergeCell ref="B28:F31"/>
    <mergeCell ref="B34:F34"/>
    <mergeCell ref="B35:F36"/>
    <mergeCell ref="B38:F38"/>
    <mergeCell ref="B39:F40"/>
    <mergeCell ref="B42:F42"/>
    <mergeCell ref="B43:F44"/>
    <mergeCell ref="B46:F46"/>
    <mergeCell ref="B47:F48"/>
    <mergeCell ref="B50:F50"/>
    <mergeCell ref="B51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9" min="3" style="0" width="17"/>
  </cols>
  <sheetData>
    <row r="2" customFormat="false" ht="19.7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30" hidden="false" customHeight="true" outlineLevel="0" collapsed="false">
      <c r="B5" s="24" t="s">
        <v>38</v>
      </c>
      <c r="C5" s="24" t="s">
        <v>39</v>
      </c>
      <c r="D5" s="24" t="s">
        <v>40</v>
      </c>
      <c r="E5" s="24" t="s">
        <v>41</v>
      </c>
      <c r="F5" s="24" t="s">
        <v>42</v>
      </c>
      <c r="G5" s="24" t="s">
        <v>43</v>
      </c>
      <c r="H5" s="24" t="s">
        <v>44</v>
      </c>
      <c r="I5" s="24" t="s">
        <v>45</v>
      </c>
    </row>
    <row r="6" customFormat="false" ht="15" hidden="false" customHeight="false" outlineLevel="0" collapsed="false">
      <c r="B6" s="20" t="s">
        <v>46</v>
      </c>
      <c r="C6" s="25" t="n">
        <f aca="false">COUNTIFS('Raw Data'!$V$2:$V$149,$B6,'Raw Data'!$U$2:$U$149,"SOLD")</f>
        <v>21</v>
      </c>
      <c r="D6" s="26" t="n">
        <f aca="false">SUMIFS('Raw Data'!$O$2:$O$149,'Raw Data'!$V$2:$V$149,$B6,'Raw Data'!$U$2:$U$149,"SOLD")</f>
        <v>237510</v>
      </c>
      <c r="E6" s="26" t="n">
        <f aca="false">SUMIFS('Raw Data'!$K$2:$K$149,'Raw Data'!$V$2:$V$149,$B6,'Raw Data'!$U$2:$U$149,"SOLD")</f>
        <v>196245.81</v>
      </c>
      <c r="F6" s="26" t="n">
        <f aca="false">SUMIFS('Raw Data'!$P$2:$P$149,'Raw Data'!$V$2:$V$149,$B6,'Raw Data'!$U$2:$U$149,"SOLD")</f>
        <v>30749.4</v>
      </c>
      <c r="G6" s="26" t="n">
        <f aca="false">IF(C6=0,"",F6/C6)</f>
        <v>1464.25714285714</v>
      </c>
      <c r="H6" s="27" t="n">
        <f aca="false">IFERROR(AVERAGEIFS('Raw Data'!$Q$2:$Q$149,'Raw Data'!$V$2:$V$149,$B6,'Raw Data'!$U$2:$U$149,"SOLD"),"")</f>
        <v>0.157971428571429</v>
      </c>
      <c r="I6" s="27" t="n">
        <f aca="false">IF(E6=0,"",F6/E6)</f>
        <v>0.156688186107005</v>
      </c>
    </row>
    <row r="7" customFormat="false" ht="15" hidden="false" customHeight="false" outlineLevel="0" collapsed="false">
      <c r="B7" s="20" t="s">
        <v>47</v>
      </c>
      <c r="C7" s="25" t="n">
        <f aca="false">COUNTIFS('Raw Data'!$V$2:$V$149,$B7,'Raw Data'!$U$2:$U$149,"SOLD")</f>
        <v>8</v>
      </c>
      <c r="D7" s="26" t="n">
        <f aca="false">SUMIFS('Raw Data'!$O$2:$O$149,'Raw Data'!$V$2:$V$149,$B7,'Raw Data'!$U$2:$U$149,"SOLD")</f>
        <v>123140</v>
      </c>
      <c r="E7" s="26" t="n">
        <f aca="false">SUMIFS('Raw Data'!$K$2:$K$149,'Raw Data'!$V$2:$V$149,$B7,'Raw Data'!$U$2:$U$149,"SOLD")</f>
        <v>98067.59</v>
      </c>
      <c r="F7" s="26" t="n">
        <f aca="false">SUMIFS('Raw Data'!$P$2:$P$149,'Raw Data'!$V$2:$V$149,$B7,'Raw Data'!$U$2:$U$149,"SOLD")</f>
        <v>19622</v>
      </c>
      <c r="G7" s="26" t="n">
        <f aca="false">IF(C7=0,"",F7/C7)</f>
        <v>2452.75</v>
      </c>
      <c r="H7" s="27" t="n">
        <f aca="false">IFERROR(AVERAGEIFS('Raw Data'!$Q$2:$Q$149,'Raw Data'!$V$2:$V$149,$B7,'Raw Data'!$U$2:$U$149,"SOLD"),"")</f>
        <v>0.199225</v>
      </c>
      <c r="I7" s="27" t="n">
        <f aca="false">IF(E7=0,"",F7/E7)</f>
        <v>0.200086491367841</v>
      </c>
    </row>
    <row r="8" customFormat="false" ht="15" hidden="false" customHeight="false" outlineLevel="0" collapsed="false">
      <c r="B8" s="20" t="s">
        <v>48</v>
      </c>
      <c r="C8" s="25" t="n">
        <f aca="false">COUNTIFS('Raw Data'!$V$2:$V$149,$B8,'Raw Data'!$U$2:$U$149,"SOLD")</f>
        <v>10</v>
      </c>
      <c r="D8" s="26" t="n">
        <f aca="false">SUMIFS('Raw Data'!$O$2:$O$149,'Raw Data'!$V$2:$V$149,$B8,'Raw Data'!$U$2:$U$149,"SOLD")</f>
        <v>138490</v>
      </c>
      <c r="E8" s="26" t="n">
        <f aca="false">SUMIFS('Raw Data'!$K$2:$K$149,'Raw Data'!$V$2:$V$149,$B8,'Raw Data'!$U$2:$U$149,"SOLD")</f>
        <v>116385.16</v>
      </c>
      <c r="F8" s="26" t="n">
        <f aca="false">SUMIFS('Raw Data'!$P$2:$P$149,'Raw Data'!$V$2:$V$149,$B8,'Raw Data'!$U$2:$U$149,"SOLD")</f>
        <v>18825</v>
      </c>
      <c r="G8" s="26" t="n">
        <f aca="false">IF(C8=0,"",F8/C8)</f>
        <v>1882.5</v>
      </c>
      <c r="H8" s="27" t="n">
        <f aca="false">IFERROR(AVERAGEIFS('Raw Data'!$Q$2:$Q$149,'Raw Data'!$V$2:$V$149,$B8,'Raw Data'!$U$2:$U$149,"SOLD"),"")</f>
        <v>0.16513</v>
      </c>
      <c r="I8" s="27" t="n">
        <f aca="false">IF(E8=0,"",F8/E8)</f>
        <v>0.161747425530884</v>
      </c>
    </row>
    <row r="9" customFormat="false" ht="15" hidden="false" customHeight="false" outlineLevel="0" collapsed="false">
      <c r="B9" s="20" t="s">
        <v>49</v>
      </c>
      <c r="C9" s="25" t="n">
        <f aca="false">COUNTIFS('Raw Data'!$V$2:$V$149,$B9,'Raw Data'!$U$2:$U$149,"SOLD")</f>
        <v>8</v>
      </c>
      <c r="D9" s="26" t="n">
        <f aca="false">SUMIFS('Raw Data'!$O$2:$O$149,'Raw Data'!$V$2:$V$149,$B9,'Raw Data'!$U$2:$U$149,"SOLD")</f>
        <v>92195</v>
      </c>
      <c r="E9" s="26" t="n">
        <f aca="false">SUMIFS('Raw Data'!$K$2:$K$149,'Raw Data'!$V$2:$V$149,$B9,'Raw Data'!$U$2:$U$149,"SOLD")</f>
        <v>76456.11</v>
      </c>
      <c r="F9" s="26" t="n">
        <f aca="false">SUMIFS('Raw Data'!$P$2:$P$149,'Raw Data'!$V$2:$V$149,$B9,'Raw Data'!$U$2:$U$149,"SOLD")</f>
        <v>15344</v>
      </c>
      <c r="G9" s="26" t="n">
        <f aca="false">IF(C9=0,"",F9/C9)</f>
        <v>1918</v>
      </c>
      <c r="H9" s="27" t="n">
        <f aca="false">IFERROR(AVERAGEIFS('Raw Data'!$Q$2:$Q$149,'Raw Data'!$V$2:$V$149,$B9,'Raw Data'!$U$2:$U$149,"SOLD"),"")</f>
        <v>0.2044875</v>
      </c>
      <c r="I9" s="27" t="n">
        <f aca="false">IF(E9=0,"",F9/E9)</f>
        <v>0.200690304542044</v>
      </c>
    </row>
    <row r="10" customFormat="false" ht="15" hidden="false" customHeight="false" outlineLevel="0" collapsed="false">
      <c r="B10" s="20" t="s">
        <v>50</v>
      </c>
      <c r="C10" s="25" t="n">
        <f aca="false">COUNTIFS('Raw Data'!$V$2:$V$149,$B10,'Raw Data'!$U$2:$U$149,"SOLD")</f>
        <v>7</v>
      </c>
      <c r="D10" s="26" t="n">
        <f aca="false">SUMIFS('Raw Data'!$O$2:$O$149,'Raw Data'!$V$2:$V$149,$B10,'Raw Data'!$U$2:$U$149,"SOLD")</f>
        <v>82750</v>
      </c>
      <c r="E10" s="26" t="n">
        <f aca="false">SUMIFS('Raw Data'!$K$2:$K$149,'Raw Data'!$V$2:$V$149,$B10,'Raw Data'!$U$2:$U$149,"SOLD")</f>
        <v>65831.89</v>
      </c>
      <c r="F10" s="26" t="n">
        <f aca="false">SUMIFS('Raw Data'!$P$2:$P$149,'Raw Data'!$V$2:$V$149,$B10,'Raw Data'!$U$2:$U$149,"SOLD")</f>
        <v>13977</v>
      </c>
      <c r="G10" s="26" t="n">
        <f aca="false">IF(C10=0,"",F10/C10)</f>
        <v>1996.71428571429</v>
      </c>
      <c r="H10" s="27" t="n">
        <f aca="false">IFERROR(AVERAGEIFS('Raw Data'!$Q$2:$Q$149,'Raw Data'!$V$2:$V$149,$B10,'Raw Data'!$U$2:$U$149,"SOLD"),"")</f>
        <v>0.212</v>
      </c>
      <c r="I10" s="27" t="n">
        <f aca="false">IF(E10=0,"",F10/E10)</f>
        <v>0.212313515531758</v>
      </c>
    </row>
    <row r="11" customFormat="false" ht="15" hidden="false" customHeight="false" outlineLevel="0" collapsed="false">
      <c r="B11" s="20" t="s">
        <v>51</v>
      </c>
      <c r="C11" s="25" t="n">
        <f aca="false">COUNTIFS('Raw Data'!$V$2:$V$149,$B11,'Raw Data'!$U$2:$U$149,"SOLD")</f>
        <v>6</v>
      </c>
      <c r="D11" s="26" t="n">
        <f aca="false">SUMIFS('Raw Data'!$O$2:$O$149,'Raw Data'!$V$2:$V$149,$B11,'Raw Data'!$U$2:$U$149,"SOLD")</f>
        <v>91440</v>
      </c>
      <c r="E11" s="26" t="n">
        <f aca="false">SUMIFS('Raw Data'!$K$2:$K$149,'Raw Data'!$V$2:$V$149,$B11,'Raw Data'!$U$2:$U$149,"SOLD")</f>
        <v>75821.79</v>
      </c>
      <c r="F11" s="26" t="n">
        <f aca="false">SUMIFS('Raw Data'!$P$2:$P$149,'Raw Data'!$V$2:$V$149,$B11,'Raw Data'!$U$2:$U$149,"SOLD")</f>
        <v>12890.59</v>
      </c>
      <c r="G11" s="26" t="n">
        <f aca="false">IF(C11=0,"",F11/C11)</f>
        <v>2148.43166666667</v>
      </c>
      <c r="H11" s="27" t="n">
        <f aca="false">IFERROR(AVERAGEIFS('Raw Data'!$Q$2:$Q$149,'Raw Data'!$V$2:$V$149,$B11,'Raw Data'!$U$2:$U$149,"SOLD"),"")</f>
        <v>0.17955</v>
      </c>
      <c r="I11" s="27" t="n">
        <f aca="false">IF(E11=0,"",F11/E11)</f>
        <v>0.17001168133857</v>
      </c>
    </row>
    <row r="12" customFormat="false" ht="15" hidden="false" customHeight="false" outlineLevel="0" collapsed="false">
      <c r="B12" s="20" t="s">
        <v>52</v>
      </c>
      <c r="C12" s="25" t="n">
        <f aca="false">COUNTIFS('Raw Data'!$V$2:$V$149,$B12,'Raw Data'!$U$2:$U$149,"SOLD")</f>
        <v>9</v>
      </c>
      <c r="D12" s="26" t="n">
        <f aca="false">SUMIFS('Raw Data'!$O$2:$O$149,'Raw Data'!$V$2:$V$149,$B12,'Raw Data'!$U$2:$U$149,"SOLD")</f>
        <v>147116</v>
      </c>
      <c r="E12" s="26" t="n">
        <f aca="false">SUMIFS('Raw Data'!$K$2:$K$149,'Raw Data'!$V$2:$V$149,$B12,'Raw Data'!$U$2:$U$149,"SOLD")</f>
        <v>102510.96</v>
      </c>
      <c r="F12" s="26" t="n">
        <f aca="false">SUMIFS('Raw Data'!$P$2:$P$149,'Raw Data'!$V$2:$V$149,$B12,'Raw Data'!$U$2:$U$149,"SOLD")</f>
        <v>11657</v>
      </c>
      <c r="G12" s="26" t="n">
        <f aca="false">IF(C12=0,"",F12/C12)</f>
        <v>1295.22222222222</v>
      </c>
      <c r="H12" s="27" t="n">
        <f aca="false">IFERROR(AVERAGEIFS('Raw Data'!$Q$2:$Q$149,'Raw Data'!$V$2:$V$149,$B12,'Raw Data'!$U$2:$U$149,"SOLD"),"")</f>
        <v>0.164144444444444</v>
      </c>
      <c r="I12" s="27" t="n">
        <f aca="false">IF(E12=0,"",F12/E12)</f>
        <v>0.113714670119176</v>
      </c>
    </row>
    <row r="13" customFormat="false" ht="15" hidden="false" customHeight="false" outlineLevel="0" collapsed="false">
      <c r="B13" s="20" t="s">
        <v>53</v>
      </c>
      <c r="C13" s="25" t="n">
        <f aca="false">COUNTIFS('Raw Data'!$V$2:$V$149,$B13,'Raw Data'!$U$2:$U$149,"SOLD")</f>
        <v>8</v>
      </c>
      <c r="D13" s="26" t="n">
        <f aca="false">SUMIFS('Raw Data'!$O$2:$O$149,'Raw Data'!$V$2:$V$149,$B13,'Raw Data'!$U$2:$U$149,"SOLD")</f>
        <v>111840</v>
      </c>
      <c r="E13" s="26" t="n">
        <f aca="false">SUMIFS('Raw Data'!$K$2:$K$149,'Raw Data'!$V$2:$V$149,$B13,'Raw Data'!$U$2:$U$149,"SOLD")</f>
        <v>100761.68</v>
      </c>
      <c r="F13" s="26" t="n">
        <f aca="false">SUMIFS('Raw Data'!$P$2:$P$149,'Raw Data'!$V$2:$V$149,$B13,'Raw Data'!$U$2:$U$149,"SOLD")</f>
        <v>10233</v>
      </c>
      <c r="G13" s="26" t="n">
        <f aca="false">IF(C13=0,"",F13/C13)</f>
        <v>1279.125</v>
      </c>
      <c r="H13" s="27" t="n">
        <f aca="false">IFERROR(AVERAGEIFS('Raw Data'!$Q$2:$Q$149,'Raw Data'!$V$2:$V$149,$B13,'Raw Data'!$U$2:$U$149,"SOLD"),"")</f>
        <v>0.10565</v>
      </c>
      <c r="I13" s="27" t="n">
        <f aca="false">IF(E13=0,"",F13/E13)</f>
        <v>0.101556464719524</v>
      </c>
    </row>
    <row r="14" customFormat="false" ht="15" hidden="false" customHeight="false" outlineLevel="0" collapsed="false">
      <c r="B14" s="20" t="s">
        <v>54</v>
      </c>
      <c r="C14" s="25" t="n">
        <f aca="false">COUNTIFS('Raw Data'!$V$2:$V$149,$B14,'Raw Data'!$U$2:$U$149,"SOLD")</f>
        <v>5</v>
      </c>
      <c r="D14" s="26" t="n">
        <f aca="false">SUMIFS('Raw Data'!$O$2:$O$149,'Raw Data'!$V$2:$V$149,$B14,'Raw Data'!$U$2:$U$149,"SOLD")</f>
        <v>74250</v>
      </c>
      <c r="E14" s="26" t="n">
        <f aca="false">SUMIFS('Raw Data'!$K$2:$K$149,'Raw Data'!$V$2:$V$149,$B14,'Raw Data'!$U$2:$U$149,"SOLD")</f>
        <v>56891</v>
      </c>
      <c r="F14" s="26" t="n">
        <f aca="false">SUMIFS('Raw Data'!$P$2:$P$149,'Raw Data'!$V$2:$V$149,$B14,'Raw Data'!$U$2:$U$149,"SOLD")</f>
        <v>10010</v>
      </c>
      <c r="G14" s="26" t="n">
        <f aca="false">IF(C14=0,"",F14/C14)</f>
        <v>2002</v>
      </c>
      <c r="H14" s="27" t="n">
        <f aca="false">IFERROR(AVERAGEIFS('Raw Data'!$Q$2:$Q$149,'Raw Data'!$V$2:$V$149,$B14,'Raw Data'!$U$2:$U$149,"SOLD"),"")</f>
        <v>0.18448</v>
      </c>
      <c r="I14" s="27" t="n">
        <f aca="false">IF(E14=0,"",F14/E14)</f>
        <v>0.175950501836846</v>
      </c>
    </row>
    <row r="15" customFormat="false" ht="15" hidden="false" customHeight="false" outlineLevel="0" collapsed="false">
      <c r="B15" s="20" t="s">
        <v>55</v>
      </c>
      <c r="C15" s="25" t="n">
        <f aca="false">COUNTIFS('Raw Data'!$V$2:$V$149,$B15,'Raw Data'!$U$2:$U$149,"SOLD")</f>
        <v>4</v>
      </c>
      <c r="D15" s="26" t="n">
        <f aca="false">SUMIFS('Raw Data'!$O$2:$O$149,'Raw Data'!$V$2:$V$149,$B15,'Raw Data'!$U$2:$U$149,"SOLD")</f>
        <v>50078</v>
      </c>
      <c r="E15" s="26" t="n">
        <f aca="false">SUMIFS('Raw Data'!$K$2:$K$149,'Raw Data'!$V$2:$V$149,$B15,'Raw Data'!$U$2:$U$149,"SOLD")</f>
        <v>39426.34</v>
      </c>
      <c r="F15" s="26" t="n">
        <f aca="false">SUMIFS('Raw Data'!$P$2:$P$149,'Raw Data'!$V$2:$V$149,$B15,'Raw Data'!$U$2:$U$149,"SOLD")</f>
        <v>6565</v>
      </c>
      <c r="G15" s="26" t="n">
        <f aca="false">IF(C15=0,"",F15/C15)</f>
        <v>1641.25</v>
      </c>
      <c r="H15" s="27" t="n">
        <f aca="false">IFERROR(AVERAGEIFS('Raw Data'!$Q$2:$Q$149,'Raw Data'!$V$2:$V$149,$B15,'Raw Data'!$U$2:$U$149,"SOLD"),"")</f>
        <v>0.201325</v>
      </c>
      <c r="I15" s="27" t="n">
        <f aca="false">IF(E15=0,"",F15/E15)</f>
        <v>0.166513046861565</v>
      </c>
    </row>
    <row r="16" customFormat="false" ht="15" hidden="false" customHeight="false" outlineLevel="0" collapsed="false">
      <c r="B16" s="20" t="s">
        <v>56</v>
      </c>
      <c r="C16" s="25" t="n">
        <f aca="false">COUNTIFS('Raw Data'!$V$2:$V$149,$B16,'Raw Data'!$U$2:$U$149,"SOLD")</f>
        <v>3</v>
      </c>
      <c r="D16" s="26" t="n">
        <f aca="false">SUMIFS('Raw Data'!$O$2:$O$149,'Raw Data'!$V$2:$V$149,$B16,'Raw Data'!$U$2:$U$149,"SOLD")</f>
        <v>41200</v>
      </c>
      <c r="E16" s="26" t="n">
        <f aca="false">SUMIFS('Raw Data'!$K$2:$K$149,'Raw Data'!$V$2:$V$149,$B16,'Raw Data'!$U$2:$U$149,"SOLD")</f>
        <v>34841.27</v>
      </c>
      <c r="F16" s="26" t="n">
        <f aca="false">SUMIFS('Raw Data'!$P$2:$P$149,'Raw Data'!$V$2:$V$149,$B16,'Raw Data'!$U$2:$U$149,"SOLD")</f>
        <v>6358</v>
      </c>
      <c r="G16" s="26" t="n">
        <f aca="false">IF(C16=0,"",F16/C16)</f>
        <v>2119.33333333333</v>
      </c>
      <c r="H16" s="27" t="n">
        <f aca="false">IFERROR(AVERAGEIFS('Raw Data'!$Q$2:$Q$149,'Raw Data'!$V$2:$V$149,$B16,'Raw Data'!$U$2:$U$149,"SOLD"),"")</f>
        <v>0.1866</v>
      </c>
      <c r="I16" s="27" t="n">
        <f aca="false">IF(E16=0,"",F16/E16)</f>
        <v>0.182484737209637</v>
      </c>
    </row>
    <row r="17" customFormat="false" ht="15" hidden="false" customHeight="false" outlineLevel="0" collapsed="false">
      <c r="B17" s="20" t="s">
        <v>57</v>
      </c>
      <c r="C17" s="25" t="n">
        <f aca="false">COUNTIFS('Raw Data'!$V$2:$V$149,$B17,'Raw Data'!$U$2:$U$149,"SOLD")</f>
        <v>3</v>
      </c>
      <c r="D17" s="26" t="n">
        <f aca="false">SUMIFS('Raw Data'!$O$2:$O$149,'Raw Data'!$V$2:$V$149,$B17,'Raw Data'!$U$2:$U$149,"SOLD")</f>
        <v>43190</v>
      </c>
      <c r="E17" s="26" t="n">
        <f aca="false">SUMIFS('Raw Data'!$K$2:$K$149,'Raw Data'!$V$2:$V$149,$B17,'Raw Data'!$U$2:$U$149,"SOLD")</f>
        <v>32639.93</v>
      </c>
      <c r="F17" s="26" t="n">
        <f aca="false">SUMIFS('Raw Data'!$P$2:$P$149,'Raw Data'!$V$2:$V$149,$B17,'Raw Data'!$U$2:$U$149,"SOLD")</f>
        <v>5930</v>
      </c>
      <c r="G17" s="26" t="n">
        <f aca="false">IF(C17=0,"",F17/C17)</f>
        <v>1976.66666666667</v>
      </c>
      <c r="H17" s="27" t="n">
        <f aca="false">IFERROR(AVERAGEIFS('Raw Data'!$Q$2:$Q$149,'Raw Data'!$V$2:$V$149,$B17,'Raw Data'!$U$2:$U$149,"SOLD"),"")</f>
        <v>0.2106</v>
      </c>
      <c r="I17" s="27" t="n">
        <f aca="false">IF(E17=0,"",F17/E17)</f>
        <v>0.181679311199503</v>
      </c>
    </row>
    <row r="18" customFormat="false" ht="15" hidden="false" customHeight="false" outlineLevel="0" collapsed="false">
      <c r="B18" s="20" t="s">
        <v>58</v>
      </c>
      <c r="C18" s="25" t="n">
        <f aca="false">COUNTIFS('Raw Data'!$V$2:$V$149,$B18,'Raw Data'!$U$2:$U$149,"SOLD")</f>
        <v>3</v>
      </c>
      <c r="D18" s="26" t="n">
        <f aca="false">SUMIFS('Raw Data'!$O$2:$O$149,'Raw Data'!$V$2:$V$149,$B18,'Raw Data'!$U$2:$U$149,"SOLD")</f>
        <v>37290</v>
      </c>
      <c r="E18" s="26" t="n">
        <f aca="false">SUMIFS('Raw Data'!$K$2:$K$149,'Raw Data'!$V$2:$V$149,$B18,'Raw Data'!$U$2:$U$149,"SOLD")</f>
        <v>29265.67</v>
      </c>
      <c r="F18" s="26" t="n">
        <f aca="false">SUMIFS('Raw Data'!$P$2:$P$149,'Raw Data'!$V$2:$V$149,$B18,'Raw Data'!$U$2:$U$149,"SOLD")</f>
        <v>5841</v>
      </c>
      <c r="G18" s="26" t="n">
        <f aca="false">IF(C18=0,"",F18/C18)</f>
        <v>1947</v>
      </c>
      <c r="H18" s="27" t="n">
        <f aca="false">IFERROR(AVERAGEIFS('Raw Data'!$Q$2:$Q$149,'Raw Data'!$V$2:$V$149,$B18,'Raw Data'!$U$2:$U$149,"SOLD"),"")</f>
        <v>0.1984</v>
      </c>
      <c r="I18" s="27" t="n">
        <f aca="false">IF(E18=0,"",F18/E18)</f>
        <v>0.199585384513664</v>
      </c>
    </row>
    <row r="19" customFormat="false" ht="15" hidden="false" customHeight="false" outlineLevel="0" collapsed="false">
      <c r="B19" s="20" t="s">
        <v>59</v>
      </c>
      <c r="C19" s="25" t="n">
        <f aca="false">COUNTIFS('Raw Data'!$V$2:$V$149,$B19,'Raw Data'!$U$2:$U$149,"SOLD")</f>
        <v>3</v>
      </c>
      <c r="D19" s="26" t="n">
        <f aca="false">SUMIFS('Raw Data'!$O$2:$O$149,'Raw Data'!$V$2:$V$149,$B19,'Raw Data'!$U$2:$U$149,"SOLD")</f>
        <v>49400</v>
      </c>
      <c r="E19" s="26" t="n">
        <f aca="false">SUMIFS('Raw Data'!$K$2:$K$149,'Raw Data'!$V$2:$V$149,$B19,'Raw Data'!$U$2:$U$149,"SOLD")</f>
        <v>37868.85</v>
      </c>
      <c r="F19" s="26" t="n">
        <f aca="false">SUMIFS('Raw Data'!$P$2:$P$149,'Raw Data'!$V$2:$V$149,$B19,'Raw Data'!$U$2:$U$149,"SOLD")</f>
        <v>5678</v>
      </c>
      <c r="G19" s="26" t="n">
        <f aca="false">IF(C19=0,"",F19/C19)</f>
        <v>1892.66666666667</v>
      </c>
      <c r="H19" s="27" t="n">
        <f aca="false">IFERROR(AVERAGEIFS('Raw Data'!$Q$2:$Q$149,'Raw Data'!$V$2:$V$149,$B19,'Raw Data'!$U$2:$U$149,"SOLD"),"")</f>
        <v>0.156233333333333</v>
      </c>
      <c r="I19" s="27" t="n">
        <f aca="false">IF(E19=0,"",F19/E19)</f>
        <v>0.149938537874797</v>
      </c>
    </row>
    <row r="20" customFormat="false" ht="15" hidden="false" customHeight="false" outlineLevel="0" collapsed="false">
      <c r="B20" s="20" t="s">
        <v>60</v>
      </c>
      <c r="C20" s="25" t="n">
        <f aca="false">COUNTIFS('Raw Data'!$V$2:$V$149,$B20,'Raw Data'!$U$2:$U$149,"SOLD")</f>
        <v>3</v>
      </c>
      <c r="D20" s="26" t="n">
        <f aca="false">SUMIFS('Raw Data'!$O$2:$O$149,'Raw Data'!$V$2:$V$149,$B20,'Raw Data'!$U$2:$U$149,"SOLD")</f>
        <v>56300</v>
      </c>
      <c r="E20" s="26" t="n">
        <f aca="false">SUMIFS('Raw Data'!$K$2:$K$149,'Raw Data'!$V$2:$V$149,$B20,'Raw Data'!$U$2:$U$149,"SOLD")</f>
        <v>33659.19</v>
      </c>
      <c r="F20" s="26" t="n">
        <f aca="false">SUMIFS('Raw Data'!$P$2:$P$149,'Raw Data'!$V$2:$V$149,$B20,'Raw Data'!$U$2:$U$149,"SOLD")</f>
        <v>4631</v>
      </c>
      <c r="G20" s="26" t="n">
        <f aca="false">IF(C20=0,"",F20/C20)</f>
        <v>1543.66666666667</v>
      </c>
      <c r="H20" s="27" t="n">
        <f aca="false">IFERROR(AVERAGEIFS('Raw Data'!$Q$2:$Q$149,'Raw Data'!$V$2:$V$149,$B20,'Raw Data'!$U$2:$U$149,"SOLD"),"")</f>
        <v>2.66953333333333</v>
      </c>
      <c r="I20" s="27" t="n">
        <f aca="false">IF(E20=0,"",F20/E20)</f>
        <v>0.137585010215635</v>
      </c>
    </row>
    <row r="21" customFormat="false" ht="15" hidden="false" customHeight="false" outlineLevel="0" collapsed="false">
      <c r="B21" s="20" t="s">
        <v>61</v>
      </c>
      <c r="C21" s="25" t="n">
        <f aca="false">COUNTIFS('Raw Data'!$V$2:$V$149,$B21,'Raw Data'!$U$2:$U$149,"SOLD")</f>
        <v>1</v>
      </c>
      <c r="D21" s="26" t="n">
        <f aca="false">SUMIFS('Raw Data'!$O$2:$O$149,'Raw Data'!$V$2:$V$149,$B21,'Raw Data'!$U$2:$U$149,"SOLD")</f>
        <v>17300</v>
      </c>
      <c r="E21" s="26" t="n">
        <f aca="false">SUMIFS('Raw Data'!$K$2:$K$149,'Raw Data'!$V$2:$V$149,$B21,'Raw Data'!$U$2:$U$149,"SOLD")</f>
        <v>11099</v>
      </c>
      <c r="F21" s="26" t="n">
        <f aca="false">SUMIFS('Raw Data'!$P$2:$P$149,'Raw Data'!$V$2:$V$149,$B21,'Raw Data'!$U$2:$U$149,"SOLD")</f>
        <v>3318</v>
      </c>
      <c r="G21" s="26" t="n">
        <f aca="false">IF(C21=0,"",F21/C21)</f>
        <v>3318</v>
      </c>
      <c r="H21" s="27" t="n">
        <f aca="false">IFERROR(AVERAGEIFS('Raw Data'!$Q$2:$Q$149,'Raw Data'!$V$2:$V$149,$B21,'Raw Data'!$U$2:$U$149,"SOLD"),"")</f>
        <v>0.2989</v>
      </c>
      <c r="I21" s="27" t="n">
        <f aca="false">IF(E21=0,"",F21/E21)</f>
        <v>0.298945850977566</v>
      </c>
    </row>
    <row r="22" customFormat="false" ht="15" hidden="false" customHeight="false" outlineLevel="0" collapsed="false">
      <c r="B22" s="20" t="s">
        <v>62</v>
      </c>
      <c r="C22" s="25" t="n">
        <f aca="false">COUNTIFS('Raw Data'!$V$2:$V$149,$B22,'Raw Data'!$U$2:$U$149,"SOLD")</f>
        <v>2</v>
      </c>
      <c r="D22" s="26" t="n">
        <f aca="false">SUMIFS('Raw Data'!$O$2:$O$149,'Raw Data'!$V$2:$V$149,$B22,'Raw Data'!$U$2:$U$149,"SOLD")</f>
        <v>30250</v>
      </c>
      <c r="E22" s="26" t="n">
        <f aca="false">SUMIFS('Raw Data'!$K$2:$K$149,'Raw Data'!$V$2:$V$149,$B22,'Raw Data'!$U$2:$U$149,"SOLD")</f>
        <v>27088.79</v>
      </c>
      <c r="F22" s="26" t="n">
        <f aca="false">SUMIFS('Raw Data'!$P$2:$P$149,'Raw Data'!$V$2:$V$149,$B22,'Raw Data'!$U$2:$U$149,"SOLD")</f>
        <v>3161.21</v>
      </c>
      <c r="G22" s="26" t="n">
        <f aca="false">IF(C22=0,"",F22/C22)</f>
        <v>1580.605</v>
      </c>
      <c r="H22" s="27" t="n">
        <f aca="false">IFERROR(AVERAGEIFS('Raw Data'!$Q$2:$Q$149,'Raw Data'!$V$2:$V$149,$B22,'Raw Data'!$U$2:$U$149,"SOLD"),"")</f>
        <v>0.11515</v>
      </c>
      <c r="I22" s="27" t="n">
        <f aca="false">IF(E22=0,"",F22/E22)</f>
        <v>0.116698088028295</v>
      </c>
    </row>
    <row r="23" customFormat="false" ht="15" hidden="false" customHeight="false" outlineLevel="0" collapsed="false">
      <c r="B23" s="20" t="s">
        <v>63</v>
      </c>
      <c r="C23" s="25" t="n">
        <f aca="false">COUNTIFS('Raw Data'!$V$2:$V$149,$B23,'Raw Data'!$U$2:$U$149,"SOLD")</f>
        <v>2</v>
      </c>
      <c r="D23" s="26" t="n">
        <f aca="false">SUMIFS('Raw Data'!$O$2:$O$149,'Raw Data'!$V$2:$V$149,$B23,'Raw Data'!$U$2:$U$149,"SOLD")</f>
        <v>32500</v>
      </c>
      <c r="E23" s="26" t="n">
        <f aca="false">SUMIFS('Raw Data'!$K$2:$K$149,'Raw Data'!$V$2:$V$149,$B23,'Raw Data'!$U$2:$U$149,"SOLD")</f>
        <v>24073</v>
      </c>
      <c r="F23" s="26" t="n">
        <f aca="false">SUMIFS('Raw Data'!$P$2:$P$149,'Raw Data'!$V$2:$V$149,$B23,'Raw Data'!$U$2:$U$149,"SOLD")</f>
        <v>3079</v>
      </c>
      <c r="G23" s="26" t="n">
        <f aca="false">IF(C23=0,"",F23/C23)</f>
        <v>1539.5</v>
      </c>
      <c r="H23" s="27" t="n">
        <f aca="false">IFERROR(AVERAGEIFS('Raw Data'!$Q$2:$Q$149,'Raw Data'!$V$2:$V$149,$B23,'Raw Data'!$U$2:$U$149,"SOLD"),"")</f>
        <v>0.12785</v>
      </c>
      <c r="I23" s="27" t="n">
        <f aca="false">IF(E23=0,"",F23/E23)</f>
        <v>0.127902629501932</v>
      </c>
    </row>
    <row r="24" customFormat="false" ht="15" hidden="false" customHeight="false" outlineLevel="0" collapsed="false">
      <c r="B24" s="20" t="s">
        <v>64</v>
      </c>
      <c r="C24" s="25" t="n">
        <f aca="false">COUNTIFS('Raw Data'!$V$2:$V$149,$B24,'Raw Data'!$U$2:$U$149,"SOLD")</f>
        <v>1</v>
      </c>
      <c r="D24" s="26" t="n">
        <f aca="false">SUMIFS('Raw Data'!$O$2:$O$149,'Raw Data'!$V$2:$V$149,$B24,'Raw Data'!$U$2:$U$149,"SOLD")</f>
        <v>18800</v>
      </c>
      <c r="E24" s="26" t="n">
        <f aca="false">SUMIFS('Raw Data'!$K$2:$K$149,'Raw Data'!$V$2:$V$149,$B24,'Raw Data'!$U$2:$U$149,"SOLD")</f>
        <v>12980</v>
      </c>
      <c r="F24" s="26" t="n">
        <f aca="false">SUMIFS('Raw Data'!$P$2:$P$149,'Raw Data'!$V$2:$V$149,$B24,'Raw Data'!$U$2:$U$149,"SOLD")</f>
        <v>2987</v>
      </c>
      <c r="G24" s="26" t="n">
        <f aca="false">IF(C24=0,"",F24/C24)</f>
        <v>2987</v>
      </c>
      <c r="H24" s="27" t="n">
        <f aca="false">IFERROR(AVERAGEIFS('Raw Data'!$Q$2:$Q$149,'Raw Data'!$V$2:$V$149,$B24,'Raw Data'!$U$2:$U$149,"SOLD"),"")</f>
        <v>0.2301</v>
      </c>
      <c r="I24" s="27" t="n">
        <f aca="false">IF(E24=0,"",F24/E24)</f>
        <v>0.230123266563945</v>
      </c>
    </row>
    <row r="25" customFormat="false" ht="15" hidden="false" customHeight="false" outlineLevel="0" collapsed="false">
      <c r="B25" s="20" t="s">
        <v>65</v>
      </c>
      <c r="C25" s="25" t="n">
        <f aca="false">COUNTIFS('Raw Data'!$V$2:$V$149,$B25,'Raw Data'!$U$2:$U$149,"SOLD")</f>
        <v>1</v>
      </c>
      <c r="D25" s="26" t="n">
        <f aca="false">SUMIFS('Raw Data'!$O$2:$O$149,'Raw Data'!$V$2:$V$149,$B25,'Raw Data'!$U$2:$U$149,"SOLD")</f>
        <v>13200</v>
      </c>
      <c r="E25" s="26" t="n">
        <f aca="false">SUMIFS('Raw Data'!$K$2:$K$149,'Raw Data'!$V$2:$V$149,$B25,'Raw Data'!$U$2:$U$149,"SOLD")</f>
        <v>11145.56</v>
      </c>
      <c r="F25" s="26" t="n">
        <f aca="false">SUMIFS('Raw Data'!$P$2:$P$149,'Raw Data'!$V$2:$V$149,$B25,'Raw Data'!$U$2:$U$149,"SOLD")</f>
        <v>2886</v>
      </c>
      <c r="G25" s="26" t="n">
        <f aca="false">IF(C25=0,"",F25/C25)</f>
        <v>2886</v>
      </c>
      <c r="H25" s="27" t="n">
        <f aca="false">IFERROR(AVERAGEIFS('Raw Data'!$Q$2:$Q$149,'Raw Data'!$V$2:$V$149,$B25,'Raw Data'!$U$2:$U$149,"SOLD"),"")</f>
        <v>0.2589</v>
      </c>
      <c r="I25" s="27" t="n">
        <f aca="false">IF(E25=0,"",F25/E25)</f>
        <v>0.258937191132613</v>
      </c>
    </row>
    <row r="26" customFormat="false" ht="15" hidden="false" customHeight="false" outlineLevel="0" collapsed="false">
      <c r="B26" s="20" t="s">
        <v>66</v>
      </c>
      <c r="C26" s="25" t="n">
        <f aca="false">COUNTIFS('Raw Data'!$V$2:$V$149,$B26,'Raw Data'!$U$2:$U$149,"SOLD")</f>
        <v>1</v>
      </c>
      <c r="D26" s="26" t="n">
        <f aca="false">SUMIFS('Raw Data'!$O$2:$O$149,'Raw Data'!$V$2:$V$149,$B26,'Raw Data'!$U$2:$U$149,"SOLD")</f>
        <v>20750</v>
      </c>
      <c r="E26" s="26" t="n">
        <f aca="false">SUMIFS('Raw Data'!$K$2:$K$149,'Raw Data'!$V$2:$V$149,$B26,'Raw Data'!$U$2:$U$149,"SOLD")</f>
        <v>14740</v>
      </c>
      <c r="F26" s="26" t="n">
        <f aca="false">SUMIFS('Raw Data'!$P$2:$P$149,'Raw Data'!$V$2:$V$149,$B26,'Raw Data'!$U$2:$U$149,"SOLD")</f>
        <v>2130</v>
      </c>
      <c r="G26" s="26" t="n">
        <f aca="false">IF(C26=0,"",F26/C26)</f>
        <v>2130</v>
      </c>
      <c r="H26" s="27" t="n">
        <f aca="false">IFERROR(AVERAGEIFS('Raw Data'!$Q$2:$Q$149,'Raw Data'!$V$2:$V$149,$B26,'Raw Data'!$U$2:$U$149,"SOLD"),"")</f>
        <v>0.1445</v>
      </c>
      <c r="I26" s="27" t="n">
        <f aca="false">IF(E26=0,"",F26/E26)</f>
        <v>0.144504748982361</v>
      </c>
    </row>
    <row r="27" customFormat="false" ht="15" hidden="false" customHeight="false" outlineLevel="0" collapsed="false">
      <c r="B27" s="20" t="s">
        <v>67</v>
      </c>
      <c r="C27" s="25" t="n">
        <f aca="false">COUNTIFS('Raw Data'!$V$2:$V$149,$B27,'Raw Data'!$U$2:$U$149,"SOLD")</f>
        <v>1</v>
      </c>
      <c r="D27" s="26" t="n">
        <f aca="false">SUMIFS('Raw Data'!$O$2:$O$149,'Raw Data'!$V$2:$V$149,$B27,'Raw Data'!$U$2:$U$149,"SOLD")</f>
        <v>72390</v>
      </c>
      <c r="E27" s="26" t="n">
        <f aca="false">SUMIFS('Raw Data'!$K$2:$K$149,'Raw Data'!$V$2:$V$149,$B27,'Raw Data'!$U$2:$U$149,"SOLD")</f>
        <v>1708.42</v>
      </c>
      <c r="F27" s="26" t="n">
        <f aca="false">SUMIFS('Raw Data'!$P$2:$P$149,'Raw Data'!$V$2:$V$149,$B27,'Raw Data'!$U$2:$U$149,"SOLD")</f>
        <v>2056</v>
      </c>
      <c r="G27" s="26" t="n">
        <f aca="false">IF(C27=0,"",F27/C27)</f>
        <v>2056</v>
      </c>
      <c r="H27" s="27" t="n">
        <f aca="false">IFERROR(AVERAGEIFS('Raw Data'!$Q$2:$Q$149,'Raw Data'!$V$2:$V$149,$B27,'Raw Data'!$U$2:$U$149,"SOLD"),"")</f>
        <v>1.2035</v>
      </c>
      <c r="I27" s="27" t="n">
        <f aca="false">IF(E27=0,"",F27/E27)</f>
        <v>1.20345114199085</v>
      </c>
    </row>
    <row r="28" customFormat="false" ht="15" hidden="false" customHeight="false" outlineLevel="0" collapsed="false">
      <c r="B28" s="20" t="s">
        <v>68</v>
      </c>
      <c r="C28" s="25" t="n">
        <f aca="false">COUNTIFS('Raw Data'!$V$2:$V$149,$B28,'Raw Data'!$U$2:$U$149,"SOLD")</f>
        <v>1</v>
      </c>
      <c r="D28" s="26" t="n">
        <f aca="false">SUMIFS('Raw Data'!$O$2:$O$149,'Raw Data'!$V$2:$V$149,$B28,'Raw Data'!$U$2:$U$149,"SOLD")</f>
        <v>10495</v>
      </c>
      <c r="E28" s="26" t="n">
        <f aca="false">SUMIFS('Raw Data'!$K$2:$K$149,'Raw Data'!$V$2:$V$149,$B28,'Raw Data'!$U$2:$U$149,"SOLD")</f>
        <v>8540</v>
      </c>
      <c r="F28" s="26" t="n">
        <f aca="false">SUMIFS('Raw Data'!$P$2:$P$149,'Raw Data'!$V$2:$V$149,$B28,'Raw Data'!$U$2:$U$149,"SOLD")</f>
        <v>1955</v>
      </c>
      <c r="G28" s="26" t="n">
        <f aca="false">IF(C28=0,"",F28/C28)</f>
        <v>1955</v>
      </c>
      <c r="H28" s="27" t="n">
        <f aca="false">IFERROR(AVERAGEIFS('Raw Data'!$Q$2:$Q$149,'Raw Data'!$V$2:$V$149,$B28,'Raw Data'!$U$2:$U$149,"SOLD"),"")</f>
        <v>0.2289</v>
      </c>
      <c r="I28" s="27" t="n">
        <f aca="false">IF(E28=0,"",F28/E28)</f>
        <v>0.228922716627635</v>
      </c>
    </row>
    <row r="29" customFormat="false" ht="15" hidden="false" customHeight="false" outlineLevel="0" collapsed="false">
      <c r="B29" s="20" t="s">
        <v>69</v>
      </c>
      <c r="C29" s="25" t="n">
        <f aca="false">COUNTIFS('Raw Data'!$V$2:$V$149,$B29,'Raw Data'!$U$2:$U$149,"SOLD")</f>
        <v>1</v>
      </c>
      <c r="D29" s="26" t="n">
        <f aca="false">SUMIFS('Raw Data'!$O$2:$O$149,'Raw Data'!$V$2:$V$149,$B29,'Raw Data'!$U$2:$U$149,"SOLD")</f>
        <v>12800</v>
      </c>
      <c r="E29" s="26" t="n">
        <f aca="false">SUMIFS('Raw Data'!$K$2:$K$149,'Raw Data'!$V$2:$V$149,$B29,'Raw Data'!$U$2:$U$149,"SOLD")</f>
        <v>11103.79</v>
      </c>
      <c r="F29" s="26" t="n">
        <f aca="false">SUMIFS('Raw Data'!$P$2:$P$149,'Raw Data'!$V$2:$V$149,$B29,'Raw Data'!$U$2:$U$149,"SOLD")</f>
        <v>1696.21</v>
      </c>
      <c r="G29" s="26" t="n">
        <f aca="false">IF(C29=0,"",F29/C29)</f>
        <v>1696.21</v>
      </c>
      <c r="H29" s="27" t="n">
        <f aca="false">IFERROR(AVERAGEIFS('Raw Data'!$Q$2:$Q$149,'Raw Data'!$V$2:$V$149,$B29,'Raw Data'!$U$2:$U$149,"SOLD"),"")</f>
        <v>0.1528</v>
      </c>
      <c r="I29" s="27" t="n">
        <f aca="false">IF(E29=0,"",F29/E29)</f>
        <v>0.152759553269649</v>
      </c>
    </row>
    <row r="30" customFormat="false" ht="15" hidden="false" customHeight="false" outlineLevel="0" collapsed="false">
      <c r="B30" s="20" t="s">
        <v>70</v>
      </c>
      <c r="C30" s="25" t="n">
        <f aca="false">COUNTIFS('Raw Data'!$V$2:$V$149,$B30,'Raw Data'!$U$2:$U$149,"SOLD")</f>
        <v>1</v>
      </c>
      <c r="D30" s="26" t="n">
        <f aca="false">SUMIFS('Raw Data'!$O$2:$O$149,'Raw Data'!$V$2:$V$149,$B30,'Raw Data'!$U$2:$U$149,"SOLD")</f>
        <v>6650</v>
      </c>
      <c r="E30" s="26" t="n">
        <f aca="false">SUMIFS('Raw Data'!$K$2:$K$149,'Raw Data'!$V$2:$V$149,$B30,'Raw Data'!$U$2:$U$149,"SOLD")</f>
        <v>4975</v>
      </c>
      <c r="F30" s="26" t="n">
        <f aca="false">SUMIFS('Raw Data'!$P$2:$P$149,'Raw Data'!$V$2:$V$149,$B30,'Raw Data'!$U$2:$U$149,"SOLD")</f>
        <v>1675</v>
      </c>
      <c r="G30" s="26" t="n">
        <f aca="false">IF(C30=0,"",F30/C30)</f>
        <v>1675</v>
      </c>
      <c r="H30" s="27" t="n">
        <f aca="false">IFERROR(AVERAGEIFS('Raw Data'!$Q$2:$Q$149,'Raw Data'!$V$2:$V$149,$B30,'Raw Data'!$U$2:$U$149,"SOLD"),"")</f>
        <v>0.3367</v>
      </c>
      <c r="I30" s="27" t="n">
        <f aca="false">IF(E30=0,"",F30/E30)</f>
        <v>0.336683417085427</v>
      </c>
    </row>
    <row r="31" customFormat="false" ht="15" hidden="false" customHeight="false" outlineLevel="0" collapsed="false">
      <c r="B31" s="20" t="s">
        <v>71</v>
      </c>
      <c r="C31" s="25" t="n">
        <f aca="false">COUNTIFS('Raw Data'!$V$2:$V$149,$B31,'Raw Data'!$U$2:$U$149,"SOLD")</f>
        <v>1</v>
      </c>
      <c r="D31" s="26" t="n">
        <f aca="false">SUMIFS('Raw Data'!$O$2:$O$149,'Raw Data'!$V$2:$V$149,$B31,'Raw Data'!$U$2:$U$149,"SOLD")</f>
        <v>9300</v>
      </c>
      <c r="E31" s="26" t="n">
        <f aca="false">SUMIFS('Raw Data'!$K$2:$K$149,'Raw Data'!$V$2:$V$149,$B31,'Raw Data'!$U$2:$U$149,"SOLD")</f>
        <v>7780.83</v>
      </c>
      <c r="F31" s="26" t="n">
        <f aca="false">SUMIFS('Raw Data'!$P$2:$P$149,'Raw Data'!$V$2:$V$149,$B31,'Raw Data'!$U$2:$U$149,"SOLD")</f>
        <v>1519</v>
      </c>
      <c r="G31" s="26" t="n">
        <f aca="false">IF(C31=0,"",F31/C31)</f>
        <v>1519</v>
      </c>
      <c r="H31" s="27" t="n">
        <f aca="false">IFERROR(AVERAGEIFS('Raw Data'!$Q$2:$Q$149,'Raw Data'!$V$2:$V$149,$B31,'Raw Data'!$U$2:$U$149,"SOLD"),"")</f>
        <v>0.1952</v>
      </c>
      <c r="I31" s="27" t="n">
        <f aca="false">IF(E31=0,"",F31/E31)</f>
        <v>0.195223388764438</v>
      </c>
    </row>
    <row r="32" customFormat="false" ht="15" hidden="false" customHeight="false" outlineLevel="0" collapsed="false">
      <c r="B32" s="20" t="s">
        <v>72</v>
      </c>
      <c r="C32" s="25" t="n">
        <f aca="false">COUNTIFS('Raw Data'!$V$2:$V$149,$B32,'Raw Data'!$U$2:$U$149,"SOLD")</f>
        <v>1</v>
      </c>
      <c r="D32" s="26" t="n">
        <f aca="false">SUMIFS('Raw Data'!$O$2:$O$149,'Raw Data'!$V$2:$V$149,$B32,'Raw Data'!$U$2:$U$149,"SOLD")</f>
        <v>14350</v>
      </c>
      <c r="E32" s="26" t="n">
        <f aca="false">SUMIFS('Raw Data'!$K$2:$K$149,'Raw Data'!$V$2:$V$149,$B32,'Raw Data'!$U$2:$U$149,"SOLD")</f>
        <v>12942.29</v>
      </c>
      <c r="F32" s="26" t="n">
        <f aca="false">SUMIFS('Raw Data'!$P$2:$P$149,'Raw Data'!$V$2:$V$149,$B32,'Raw Data'!$U$2:$U$149,"SOLD")</f>
        <v>1407.71</v>
      </c>
      <c r="G32" s="26" t="n">
        <f aca="false">IF(C32=0,"",F32/C32)</f>
        <v>1407.71</v>
      </c>
      <c r="H32" s="27" t="n">
        <f aca="false">IFERROR(AVERAGEIFS('Raw Data'!$Q$2:$Q$149,'Raw Data'!$V$2:$V$149,$B32,'Raw Data'!$U$2:$U$149,"SOLD"),"")</f>
        <v>0.1088</v>
      </c>
      <c r="I32" s="27" t="n">
        <f aca="false">IF(E32=0,"",F32/E32)</f>
        <v>0.108768231897137</v>
      </c>
    </row>
    <row r="33" customFormat="false" ht="15" hidden="false" customHeight="false" outlineLevel="0" collapsed="false">
      <c r="B33" s="20" t="s">
        <v>73</v>
      </c>
      <c r="C33" s="25" t="n">
        <f aca="false">COUNTIFS('Raw Data'!$V$2:$V$149,$B33,'Raw Data'!$U$2:$U$149,"SOLD")</f>
        <v>1</v>
      </c>
      <c r="D33" s="26" t="n">
        <f aca="false">SUMIFS('Raw Data'!$O$2:$O$149,'Raw Data'!$V$2:$V$149,$B33,'Raw Data'!$U$2:$U$149,"SOLD")</f>
        <v>21550</v>
      </c>
      <c r="E33" s="26" t="n">
        <f aca="false">SUMIFS('Raw Data'!$K$2:$K$149,'Raw Data'!$V$2:$V$149,$B33,'Raw Data'!$U$2:$U$149,"SOLD")</f>
        <v>20190.81</v>
      </c>
      <c r="F33" s="26" t="n">
        <f aca="false">SUMIFS('Raw Data'!$P$2:$P$149,'Raw Data'!$V$2:$V$149,$B33,'Raw Data'!$U$2:$U$149,"SOLD")</f>
        <v>1359</v>
      </c>
      <c r="G33" s="26" t="n">
        <f aca="false">IF(C33=0,"",F33/C33)</f>
        <v>1359</v>
      </c>
      <c r="H33" s="27" t="n">
        <f aca="false">IFERROR(AVERAGEIFS('Raw Data'!$Q$2:$Q$149,'Raw Data'!$V$2:$V$149,$B33,'Raw Data'!$U$2:$U$149,"SOLD"),"")</f>
        <v>0.0673</v>
      </c>
      <c r="I33" s="27" t="n">
        <f aca="false">IF(E33=0,"",F33/E33)</f>
        <v>0.0673078494622058</v>
      </c>
    </row>
    <row r="34" customFormat="false" ht="15" hidden="false" customHeight="false" outlineLevel="0" collapsed="false">
      <c r="B34" s="20" t="s">
        <v>74</v>
      </c>
      <c r="C34" s="25" t="n">
        <f aca="false">COUNTIFS('Raw Data'!$V$2:$V$149,$B34,'Raw Data'!$U$2:$U$149,"SOLD")</f>
        <v>1</v>
      </c>
      <c r="D34" s="26" t="n">
        <f aca="false">SUMIFS('Raw Data'!$O$2:$O$149,'Raw Data'!$V$2:$V$149,$B34,'Raw Data'!$U$2:$U$149,"SOLD")</f>
        <v>11350</v>
      </c>
      <c r="E34" s="26" t="n">
        <f aca="false">SUMIFS('Raw Data'!$K$2:$K$149,'Raw Data'!$V$2:$V$149,$B34,'Raw Data'!$U$2:$U$149,"SOLD")</f>
        <v>10000</v>
      </c>
      <c r="F34" s="26" t="n">
        <f aca="false">SUMIFS('Raw Data'!$P$2:$P$149,'Raw Data'!$V$2:$V$149,$B34,'Raw Data'!$U$2:$U$149,"SOLD")</f>
        <v>1350</v>
      </c>
      <c r="G34" s="26" t="n">
        <f aca="false">IF(C34=0,"",F34/C34)</f>
        <v>1350</v>
      </c>
      <c r="H34" s="27" t="n">
        <f aca="false">IFERROR(AVERAGEIFS('Raw Data'!$Q$2:$Q$149,'Raw Data'!$V$2:$V$149,$B34,'Raw Data'!$U$2:$U$149,"SOLD"),"")</f>
        <v>0.135</v>
      </c>
      <c r="I34" s="27" t="n">
        <f aca="false">IF(E34=0,"",F34/E34)</f>
        <v>0.135</v>
      </c>
    </row>
    <row r="35" customFormat="false" ht="15" hidden="false" customHeight="false" outlineLevel="0" collapsed="false">
      <c r="B35" s="20" t="s">
        <v>75</v>
      </c>
      <c r="C35" s="25" t="n">
        <f aca="false">COUNTIFS('Raw Data'!$V$2:$V$149,$B35,'Raw Data'!$U$2:$U$149,"SOLD")</f>
        <v>1</v>
      </c>
      <c r="D35" s="26" t="n">
        <f aca="false">SUMIFS('Raw Data'!$O$2:$O$149,'Raw Data'!$V$2:$V$149,$B35,'Raw Data'!$U$2:$U$149,"SOLD")</f>
        <v>38701</v>
      </c>
      <c r="E35" s="26" t="n">
        <f aca="false">SUMIFS('Raw Data'!$K$2:$K$149,'Raw Data'!$V$2:$V$149,$B35,'Raw Data'!$U$2:$U$149,"SOLD")</f>
        <v>1451</v>
      </c>
      <c r="F35" s="26" t="n">
        <f aca="false">SUMIFS('Raw Data'!$P$2:$P$149,'Raw Data'!$V$2:$V$149,$B35,'Raw Data'!$U$2:$U$149,"SOLD")</f>
        <v>1250</v>
      </c>
      <c r="G35" s="26" t="n">
        <f aca="false">IF(C35=0,"",F35/C35)</f>
        <v>1250</v>
      </c>
      <c r="H35" s="27" t="n">
        <f aca="false">IFERROR(AVERAGEIFS('Raw Data'!$Q$2:$Q$149,'Raw Data'!$V$2:$V$149,$B35,'Raw Data'!$U$2:$U$149,"SOLD"),"")</f>
        <v>0.8615</v>
      </c>
      <c r="I35" s="27" t="n">
        <f aca="false">IF(E35=0,"",F35/E35)</f>
        <v>0.861474844934528</v>
      </c>
    </row>
    <row r="36" customFormat="false" ht="15" hidden="false" customHeight="false" outlineLevel="0" collapsed="false">
      <c r="B36" s="20" t="s">
        <v>76</v>
      </c>
      <c r="C36" s="25" t="n">
        <f aca="false">COUNTIFS('Raw Data'!$V$2:$V$149,$B36,'Raw Data'!$U$2:$U$149,"SOLD")</f>
        <v>1</v>
      </c>
      <c r="D36" s="26" t="n">
        <f aca="false">SUMIFS('Raw Data'!$O$2:$O$149,'Raw Data'!$V$2:$V$149,$B36,'Raw Data'!$U$2:$U$149,"SOLD")</f>
        <v>25500</v>
      </c>
      <c r="E36" s="26" t="n">
        <f aca="false">SUMIFS('Raw Data'!$K$2:$K$149,'Raw Data'!$V$2:$V$149,$B36,'Raw Data'!$U$2:$U$149,"SOLD")</f>
        <v>24341.45</v>
      </c>
      <c r="F36" s="26" t="n">
        <f aca="false">SUMIFS('Raw Data'!$P$2:$P$149,'Raw Data'!$V$2:$V$149,$B36,'Raw Data'!$U$2:$U$149,"SOLD")</f>
        <v>1000</v>
      </c>
      <c r="G36" s="26" t="n">
        <f aca="false">IF(C36=0,"",F36/C36)</f>
        <v>1000</v>
      </c>
      <c r="H36" s="27" t="n">
        <f aca="false">IFERROR(AVERAGEIFS('Raw Data'!$Q$2:$Q$149,'Raw Data'!$V$2:$V$149,$B36,'Raw Data'!$U$2:$U$149,"SOLD"),"")</f>
        <v>0.0411</v>
      </c>
      <c r="I36" s="27" t="n">
        <f aca="false">IF(E36=0,"",F36/E36)</f>
        <v>0.0410821869691411</v>
      </c>
    </row>
    <row r="37" customFormat="false" ht="15" hidden="false" customHeight="false" outlineLevel="0" collapsed="false">
      <c r="B37" s="20" t="s">
        <v>77</v>
      </c>
      <c r="C37" s="25" t="n">
        <f aca="false">COUNTIFS('Raw Data'!$V$2:$V$149,$B37,'Raw Data'!$U$2:$U$149,"SOLD")</f>
        <v>1</v>
      </c>
      <c r="D37" s="26" t="n">
        <f aca="false">SUMIFS('Raw Data'!$O$2:$O$149,'Raw Data'!$V$2:$V$149,$B37,'Raw Data'!$U$2:$U$149,"SOLD")</f>
        <v>1650</v>
      </c>
      <c r="E37" s="26" t="n">
        <f aca="false">SUMIFS('Raw Data'!$K$2:$K$149,'Raw Data'!$V$2:$V$149,$B37,'Raw Data'!$U$2:$U$149,"SOLD")</f>
        <v>650</v>
      </c>
      <c r="F37" s="26" t="n">
        <f aca="false">SUMIFS('Raw Data'!$P$2:$P$149,'Raw Data'!$V$2:$V$149,$B37,'Raw Data'!$U$2:$U$149,"SOLD")</f>
        <v>1000</v>
      </c>
      <c r="G37" s="26" t="n">
        <f aca="false">IF(C37=0,"",F37/C37)</f>
        <v>1000</v>
      </c>
      <c r="H37" s="27" t="n">
        <f aca="false">IFERROR(AVERAGEIFS('Raw Data'!$Q$2:$Q$149,'Raw Data'!$V$2:$V$149,$B37,'Raw Data'!$U$2:$U$149,"SOLD"),"")</f>
        <v>1.5385</v>
      </c>
      <c r="I37" s="27" t="n">
        <f aca="false">IF(E37=0,"",F37/E37)</f>
        <v>1.53846153846154</v>
      </c>
    </row>
    <row r="38" customFormat="false" ht="15" hidden="false" customHeight="false" outlineLevel="0" collapsed="false">
      <c r="B38" s="20" t="s">
        <v>78</v>
      </c>
      <c r="C38" s="25" t="n">
        <f aca="false">COUNTIFS('Raw Data'!$V$2:$V$149,$B38,'Raw Data'!$U$2:$U$149,"SOLD")</f>
        <v>1</v>
      </c>
      <c r="D38" s="26" t="n">
        <f aca="false">SUMIFS('Raw Data'!$O$2:$O$149,'Raw Data'!$V$2:$V$149,$B38,'Raw Data'!$U$2:$U$149,"SOLD")</f>
        <v>1000</v>
      </c>
      <c r="E38" s="26" t="n">
        <f aca="false">SUMIFS('Raw Data'!$K$2:$K$149,'Raw Data'!$V$2:$V$149,$B38,'Raw Data'!$U$2:$U$149,"SOLD")</f>
        <v>50</v>
      </c>
      <c r="F38" s="26" t="n">
        <f aca="false">SUMIFS('Raw Data'!$P$2:$P$149,'Raw Data'!$V$2:$V$149,$B38,'Raw Data'!$U$2:$U$149,"SOLD")</f>
        <v>950</v>
      </c>
      <c r="G38" s="26" t="n">
        <f aca="false">IF(C38=0,"",F38/C38)</f>
        <v>950</v>
      </c>
      <c r="H38" s="27" t="n">
        <f aca="false">IFERROR(AVERAGEIFS('Raw Data'!$Q$2:$Q$149,'Raw Data'!$V$2:$V$149,$B38,'Raw Data'!$U$2:$U$149,"SOLD"),"")</f>
        <v>19</v>
      </c>
      <c r="I38" s="27" t="n">
        <f aca="false">IF(E38=0,"",F38/E38)</f>
        <v>19</v>
      </c>
    </row>
    <row r="39" customFormat="false" ht="15" hidden="false" customHeight="false" outlineLevel="0" collapsed="false">
      <c r="B39" s="20" t="s">
        <v>79</v>
      </c>
      <c r="C39" s="25" t="n">
        <f aca="false">COUNTIFS('Raw Data'!$V$2:$V$149,$B39,'Raw Data'!$U$2:$U$149,"SOLD")</f>
        <v>1</v>
      </c>
      <c r="D39" s="26" t="n">
        <f aca="false">SUMIFS('Raw Data'!$O$2:$O$149,'Raw Data'!$V$2:$V$149,$B39,'Raw Data'!$U$2:$U$149,"SOLD")</f>
        <v>29990</v>
      </c>
      <c r="E39" s="26" t="n">
        <f aca="false">SUMIFS('Raw Data'!$K$2:$K$149,'Raw Data'!$V$2:$V$149,$B39,'Raw Data'!$U$2:$U$149,"SOLD")</f>
        <v>50</v>
      </c>
      <c r="F39" s="26" t="n">
        <f aca="false">SUMIFS('Raw Data'!$P$2:$P$149,'Raw Data'!$V$2:$V$149,$B39,'Raw Data'!$U$2:$U$149,"SOLD")</f>
        <v>950</v>
      </c>
      <c r="G39" s="26" t="n">
        <f aca="false">IF(C39=0,"",F39/C39)</f>
        <v>950</v>
      </c>
      <c r="H39" s="27" t="n">
        <f aca="false">IFERROR(AVERAGEIFS('Raw Data'!$Q$2:$Q$149,'Raw Data'!$V$2:$V$149,$B39,'Raw Data'!$U$2:$U$149,"SOLD"),"")</f>
        <v>19</v>
      </c>
      <c r="I39" s="27" t="n">
        <f aca="false">IF(E39=0,"",F39/E39)</f>
        <v>19</v>
      </c>
    </row>
    <row r="40" customFormat="false" ht="15" hidden="false" customHeight="false" outlineLevel="0" collapsed="false">
      <c r="B40" s="20" t="s">
        <v>80</v>
      </c>
      <c r="C40" s="25" t="n">
        <f aca="false">COUNTIFS('Raw Data'!$V$2:$V$149,$B40,'Raw Data'!$U$2:$U$149,"SOLD")</f>
        <v>1</v>
      </c>
      <c r="D40" s="26" t="n">
        <f aca="false">SUMIFS('Raw Data'!$O$2:$O$149,'Raw Data'!$V$2:$V$149,$B40,'Raw Data'!$U$2:$U$149,"SOLD")</f>
        <v>900</v>
      </c>
      <c r="E40" s="26" t="n">
        <f aca="false">SUMIFS('Raw Data'!$K$2:$K$149,'Raw Data'!$V$2:$V$149,$B40,'Raw Data'!$U$2:$U$149,"SOLD")</f>
        <v>43</v>
      </c>
      <c r="F40" s="26" t="n">
        <f aca="false">SUMIFS('Raw Data'!$P$2:$P$149,'Raw Data'!$V$2:$V$149,$B40,'Raw Data'!$U$2:$U$149,"SOLD")</f>
        <v>857</v>
      </c>
      <c r="G40" s="26" t="n">
        <f aca="false">IF(C40=0,"",F40/C40)</f>
        <v>857</v>
      </c>
      <c r="H40" s="27" t="n">
        <f aca="false">IFERROR(AVERAGEIFS('Raw Data'!$Q$2:$Q$149,'Raw Data'!$V$2:$V$149,$B40,'Raw Data'!$U$2:$U$149,"SOLD"),"")</f>
        <v>19.9302</v>
      </c>
      <c r="I40" s="27" t="n">
        <f aca="false">IF(E40=0,"",F40/E40)</f>
        <v>19.9302325581395</v>
      </c>
    </row>
    <row r="41" customFormat="false" ht="15" hidden="false" customHeight="false" outlineLevel="0" collapsed="false">
      <c r="B41" s="20" t="s">
        <v>81</v>
      </c>
      <c r="C41" s="25" t="n">
        <f aca="false">COUNTIFS('Raw Data'!$V$2:$V$149,$B41,'Raw Data'!$U$2:$U$149,"SOLD")</f>
        <v>1</v>
      </c>
      <c r="D41" s="26" t="n">
        <f aca="false">SUMIFS('Raw Data'!$O$2:$O$149,'Raw Data'!$V$2:$V$149,$B41,'Raw Data'!$U$2:$U$149,"SOLD")</f>
        <v>12300</v>
      </c>
      <c r="E41" s="26" t="n">
        <f aca="false">SUMIFS('Raw Data'!$K$2:$K$149,'Raw Data'!$V$2:$V$149,$B41,'Raw Data'!$U$2:$U$149,"SOLD")</f>
        <v>11500</v>
      </c>
      <c r="F41" s="26" t="n">
        <f aca="false">SUMIFS('Raw Data'!$P$2:$P$149,'Raw Data'!$V$2:$V$149,$B41,'Raw Data'!$U$2:$U$149,"SOLD")</f>
        <v>800</v>
      </c>
      <c r="G41" s="26" t="n">
        <f aca="false">IF(C41=0,"",F41/C41)</f>
        <v>800</v>
      </c>
      <c r="H41" s="27" t="n">
        <f aca="false">IFERROR(AVERAGEIFS('Raw Data'!$Q$2:$Q$149,'Raw Data'!$V$2:$V$149,$B41,'Raw Data'!$U$2:$U$149,"SOLD"),"")</f>
        <v>0.0696</v>
      </c>
      <c r="I41" s="27" t="n">
        <f aca="false">IF(E41=0,"",F41/E41)</f>
        <v>0.0695652173913044</v>
      </c>
    </row>
    <row r="42" customFormat="false" ht="15" hidden="false" customHeight="false" outlineLevel="0" collapsed="false">
      <c r="B42" s="20" t="s">
        <v>82</v>
      </c>
      <c r="C42" s="25" t="n">
        <f aca="false">COUNTIFS('Raw Data'!$V$2:$V$149,$B42,'Raw Data'!$U$2:$U$149,"SOLD")</f>
        <v>1</v>
      </c>
      <c r="D42" s="26" t="n">
        <f aca="false">SUMIFS('Raw Data'!$O$2:$O$149,'Raw Data'!$V$2:$V$149,$B42,'Raw Data'!$U$2:$U$149,"SOLD")</f>
        <v>14900</v>
      </c>
      <c r="E42" s="26" t="n">
        <f aca="false">SUMIFS('Raw Data'!$K$2:$K$149,'Raw Data'!$V$2:$V$149,$B42,'Raw Data'!$U$2:$U$149,"SOLD")</f>
        <v>11629</v>
      </c>
      <c r="F42" s="26" t="n">
        <f aca="false">SUMIFS('Raw Data'!$P$2:$P$149,'Raw Data'!$V$2:$V$149,$B42,'Raw Data'!$U$2:$U$149,"SOLD")</f>
        <v>788</v>
      </c>
      <c r="G42" s="26" t="n">
        <f aca="false">IF(C42=0,"",F42/C42)</f>
        <v>788</v>
      </c>
      <c r="H42" s="27" t="n">
        <f aca="false">IFERROR(AVERAGEIFS('Raw Data'!$Q$2:$Q$149,'Raw Data'!$V$2:$V$149,$B42,'Raw Data'!$U$2:$U$149,"SOLD"),"")</f>
        <v>0.0678</v>
      </c>
      <c r="I42" s="27" t="n">
        <f aca="false">IF(E42=0,"",F42/E42)</f>
        <v>0.0677616304067418</v>
      </c>
    </row>
    <row r="43" customFormat="false" ht="15" hidden="false" customHeight="false" outlineLevel="0" collapsed="false">
      <c r="B43" s="20" t="s">
        <v>83</v>
      </c>
      <c r="C43" s="25" t="n">
        <f aca="false">COUNTIFS('Raw Data'!$V$2:$V$149,$B43,'Raw Data'!$U$2:$U$149,"SOLD")</f>
        <v>1</v>
      </c>
      <c r="D43" s="26" t="n">
        <f aca="false">SUMIFS('Raw Data'!$O$2:$O$149,'Raw Data'!$V$2:$V$149,$B43,'Raw Data'!$U$2:$U$149,"SOLD")</f>
        <v>13900</v>
      </c>
      <c r="E43" s="26" t="n">
        <f aca="false">SUMIFS('Raw Data'!$K$2:$K$149,'Raw Data'!$V$2:$V$149,$B43,'Raw Data'!$U$2:$U$149,"SOLD")</f>
        <v>13305</v>
      </c>
      <c r="F43" s="26" t="n">
        <f aca="false">SUMIFS('Raw Data'!$P$2:$P$149,'Raw Data'!$V$2:$V$149,$B43,'Raw Data'!$U$2:$U$149,"SOLD")</f>
        <v>595</v>
      </c>
      <c r="G43" s="26" t="n">
        <f aca="false">IF(C43=0,"",F43/C43)</f>
        <v>595</v>
      </c>
      <c r="H43" s="27" t="n">
        <f aca="false">IFERROR(AVERAGEIFS('Raw Data'!$Q$2:$Q$149,'Raw Data'!$V$2:$V$149,$B43,'Raw Data'!$U$2:$U$149,"SOLD"),"")</f>
        <v>0.0447</v>
      </c>
      <c r="I43" s="27" t="n">
        <f aca="false">IF(E43=0,"",F43/E43)</f>
        <v>0.0447200300638858</v>
      </c>
    </row>
    <row r="44" customFormat="false" ht="15" hidden="false" customHeight="false" outlineLevel="0" collapsed="false">
      <c r="B44" s="20" t="s">
        <v>84</v>
      </c>
      <c r="C44" s="25" t="n">
        <f aca="false">COUNTIFS('Raw Data'!$V$2:$V$149,$B44,'Raw Data'!$U$2:$U$149,"SOLD")</f>
        <v>1</v>
      </c>
      <c r="D44" s="26" t="n">
        <f aca="false">SUMIFS('Raw Data'!$O$2:$O$149,'Raw Data'!$V$2:$V$149,$B44,'Raw Data'!$U$2:$U$149,"SOLD")</f>
        <v>1845</v>
      </c>
      <c r="E44" s="26" t="n">
        <f aca="false">SUMIFS('Raw Data'!$K$2:$K$149,'Raw Data'!$V$2:$V$149,$B44,'Raw Data'!$U$2:$U$149,"SOLD")</f>
        <v>984.12</v>
      </c>
      <c r="F44" s="26" t="n">
        <f aca="false">SUMIFS('Raw Data'!$P$2:$P$149,'Raw Data'!$V$2:$V$149,$B44,'Raw Data'!$U$2:$U$149,"SOLD")</f>
        <v>516</v>
      </c>
      <c r="G44" s="26" t="n">
        <f aca="false">IF(C44=0,"",F44/C44)</f>
        <v>516</v>
      </c>
      <c r="H44" s="27" t="n">
        <f aca="false">IFERROR(AVERAGEIFS('Raw Data'!$Q$2:$Q$149,'Raw Data'!$V$2:$V$149,$B44,'Raw Data'!$U$2:$U$149,"SOLD"),"")</f>
        <v>0.5243</v>
      </c>
      <c r="I44" s="27" t="n">
        <f aca="false">IF(E44=0,"",F44/E44)</f>
        <v>0.524326301670528</v>
      </c>
    </row>
    <row r="45" customFormat="false" ht="15" hidden="false" customHeight="false" outlineLevel="0" collapsed="false">
      <c r="B45" s="20" t="s">
        <v>85</v>
      </c>
      <c r="C45" s="25" t="n">
        <f aca="false">COUNTIFS('Raw Data'!$V$2:$V$149,$B45,'Raw Data'!$U$2:$U$149,"SOLD")</f>
        <v>1</v>
      </c>
      <c r="D45" s="26" t="n">
        <f aca="false">SUMIFS('Raw Data'!$O$2:$O$149,'Raw Data'!$V$2:$V$149,$B45,'Raw Data'!$U$2:$U$149,"SOLD")</f>
        <v>3000</v>
      </c>
      <c r="E45" s="26" t="n">
        <f aca="false">SUMIFS('Raw Data'!$K$2:$K$149,'Raw Data'!$V$2:$V$149,$B45,'Raw Data'!$U$2:$U$149,"SOLD")</f>
        <v>2680</v>
      </c>
      <c r="F45" s="26" t="n">
        <f aca="false">SUMIFS('Raw Data'!$P$2:$P$149,'Raw Data'!$V$2:$V$149,$B45,'Raw Data'!$U$2:$U$149,"SOLD")</f>
        <v>320</v>
      </c>
      <c r="G45" s="26" t="n">
        <f aca="false">IF(C45=0,"",F45/C45)</f>
        <v>320</v>
      </c>
      <c r="H45" s="27" t="n">
        <f aca="false">IFERROR(AVERAGEIFS('Raw Data'!$Q$2:$Q$149,'Raw Data'!$V$2:$V$149,$B45,'Raw Data'!$U$2:$U$149,"SOLD"),"")</f>
        <v>0.1194</v>
      </c>
      <c r="I45" s="27" t="n">
        <f aca="false">IF(E45=0,"",F45/E45)</f>
        <v>0.119402985074627</v>
      </c>
    </row>
    <row r="46" customFormat="false" ht="15" hidden="false" customHeight="false" outlineLevel="0" collapsed="false">
      <c r="B46" s="20" t="s">
        <v>86</v>
      </c>
      <c r="C46" s="25" t="n">
        <f aca="false">COUNTIFS('Raw Data'!$V$2:$V$149,$B46,'Raw Data'!$U$2:$U$149,"SOLD")</f>
        <v>1</v>
      </c>
      <c r="D46" s="26" t="n">
        <f aca="false">SUMIFS('Raw Data'!$O$2:$O$149,'Raw Data'!$V$2:$V$149,$B46,'Raw Data'!$U$2:$U$149,"SOLD")</f>
        <v>1800</v>
      </c>
      <c r="E46" s="26" t="n">
        <f aca="false">SUMIFS('Raw Data'!$K$2:$K$149,'Raw Data'!$V$2:$V$149,$B46,'Raw Data'!$U$2:$U$149,"SOLD")</f>
        <v>1798</v>
      </c>
      <c r="F46" s="26" t="n">
        <f aca="false">SUMIFS('Raw Data'!$P$2:$P$149,'Raw Data'!$V$2:$V$149,$B46,'Raw Data'!$U$2:$U$149,"SOLD")</f>
        <v>2</v>
      </c>
      <c r="G46" s="26" t="n">
        <f aca="false">IF(C46=0,"",F46/C46)</f>
        <v>2</v>
      </c>
      <c r="H46" s="27" t="n">
        <f aca="false">IFERROR(AVERAGEIFS('Raw Data'!$Q$2:$Q$149,'Raw Data'!$V$2:$V$149,$B46,'Raw Data'!$U$2:$U$149,"SOLD"),"")</f>
        <v>0.0011</v>
      </c>
      <c r="I46" s="27" t="n">
        <f aca="false">IF(E46=0,"",F46/E46)</f>
        <v>0.00111234705228031</v>
      </c>
    </row>
    <row r="47" customFormat="false" ht="15" hidden="false" customHeight="false" outlineLevel="0" collapsed="false">
      <c r="B47" s="28" t="s">
        <v>87</v>
      </c>
      <c r="C47" s="29" t="n">
        <f aca="false">SUM(C6:C46)</f>
        <v>129</v>
      </c>
      <c r="D47" s="30" t="n">
        <f aca="false">SUM(D6:D46)</f>
        <v>1813360</v>
      </c>
      <c r="E47" s="30" t="n">
        <f aca="false">SUM(E6:E46)</f>
        <v>1343522.3</v>
      </c>
      <c r="F47" s="30" t="n">
        <f aca="false">SUM(F6:F46)</f>
        <v>217918.12</v>
      </c>
      <c r="G47" s="30" t="n">
        <f aca="false">F47/C47</f>
        <v>1689.28775193798</v>
      </c>
      <c r="H47" s="31" t="n">
        <f aca="false">AVERAGEIF('Raw Data'!$U$2:$U$149,"SOLD",'Raw Data'!$Q$2:$Q$149)</f>
        <v>0.698595348837209</v>
      </c>
      <c r="I47" s="31" t="n">
        <f aca="false">F47/E47</f>
        <v>0.162199109013673</v>
      </c>
    </row>
    <row r="50" customFormat="false" ht="45" hidden="false" customHeight="true" outlineLevel="0" collapsed="false">
      <c r="B50" s="32" t="s">
        <v>88</v>
      </c>
      <c r="C50" s="32"/>
      <c r="D50" s="32"/>
      <c r="E50" s="32"/>
      <c r="F50" s="32"/>
      <c r="G50" s="32"/>
      <c r="H50" s="32"/>
      <c r="I50" s="32"/>
    </row>
    <row r="51" customFormat="false" ht="15" hidden="false" customHeight="false" outlineLevel="0" collapsed="false">
      <c r="B51" s="32"/>
      <c r="C51" s="32"/>
      <c r="D51" s="32"/>
      <c r="E51" s="32"/>
      <c r="F51" s="32"/>
      <c r="G51" s="32"/>
      <c r="H51" s="32"/>
      <c r="I51" s="32"/>
    </row>
    <row r="52" customFormat="false" ht="15" hidden="false" customHeight="false" outlineLevel="0" collapsed="false">
      <c r="B52" s="32"/>
      <c r="C52" s="32"/>
      <c r="D52" s="32"/>
      <c r="E52" s="32"/>
      <c r="F52" s="32"/>
      <c r="G52" s="32"/>
      <c r="H52" s="32"/>
      <c r="I52" s="32"/>
    </row>
  </sheetData>
  <mergeCells count="1">
    <mergeCell ref="B50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6" min="3" style="0" width="17"/>
  </cols>
  <sheetData>
    <row r="2" customFormat="false" ht="19.7" hidden="false" customHeight="false" outlineLevel="0" collapsed="false">
      <c r="B2" s="1" t="s">
        <v>89</v>
      </c>
    </row>
    <row r="3" customFormat="false" ht="15" hidden="false" customHeight="false" outlineLevel="0" collapsed="false">
      <c r="B3" s="2" t="s">
        <v>90</v>
      </c>
    </row>
    <row r="5" customFormat="false" ht="15" hidden="false" customHeight="false" outlineLevel="0" collapsed="false">
      <c r="B5" s="33" t="s">
        <v>91</v>
      </c>
      <c r="C5" s="33" t="s">
        <v>39</v>
      </c>
      <c r="D5" s="33" t="s">
        <v>40</v>
      </c>
      <c r="E5" s="33" t="s">
        <v>41</v>
      </c>
      <c r="F5" s="33" t="s">
        <v>42</v>
      </c>
      <c r="G5" s="33" t="s">
        <v>92</v>
      </c>
    </row>
    <row r="6" customFormat="false" ht="15" hidden="false" customHeight="false" outlineLevel="0" collapsed="false">
      <c r="B6" s="20" t="s">
        <v>93</v>
      </c>
      <c r="C6" s="25" t="n">
        <f aca="false">COUNTIF('Raw Data'!$Y$2:$Y$149,$B6)</f>
        <v>1</v>
      </c>
      <c r="D6" s="26" t="n">
        <f aca="false">SUMIF('Raw Data'!$Y$2:$Y$149,$B6,'Raw Data'!$O$2:$O$149)</f>
        <v>12800</v>
      </c>
      <c r="E6" s="26" t="n">
        <f aca="false">SUMIF('Raw Data'!$Y$2:$Y$149,$B6,'Raw Data'!$K$2:$K$149)</f>
        <v>11103.79</v>
      </c>
      <c r="F6" s="26" t="n">
        <f aca="false">SUMIF('Raw Data'!$Y$2:$Y$149,$B6,'Raw Data'!$P$2:$P$149)</f>
        <v>1696.21</v>
      </c>
      <c r="G6" s="27" t="n">
        <f aca="false">IF(E6=0,"",F6/E6)</f>
        <v>0.152759553269649</v>
      </c>
    </row>
    <row r="7" customFormat="false" ht="15" hidden="false" customHeight="false" outlineLevel="0" collapsed="false">
      <c r="B7" s="20" t="s">
        <v>94</v>
      </c>
      <c r="C7" s="25" t="n">
        <f aca="false">COUNTIF('Raw Data'!$Y$2:$Y$149,$B7)</f>
        <v>2</v>
      </c>
      <c r="D7" s="26" t="n">
        <f aca="false">SUMIF('Raw Data'!$Y$2:$Y$149,$B7,'Raw Data'!$O$2:$O$149)</f>
        <v>28300</v>
      </c>
      <c r="E7" s="26" t="n">
        <f aca="false">SUMIF('Raw Data'!$Y$2:$Y$149,$B7,'Raw Data'!$K$2:$K$149)</f>
        <v>25816.08</v>
      </c>
      <c r="F7" s="26" t="n">
        <f aca="false">SUMIF('Raw Data'!$Y$2:$Y$149,$B7,'Raw Data'!$P$2:$P$149)</f>
        <v>2483.92</v>
      </c>
      <c r="G7" s="27" t="n">
        <f aca="false">IF(E7=0,"",F7/E7)</f>
        <v>0.0962160018097248</v>
      </c>
    </row>
    <row r="8" customFormat="false" ht="15" hidden="false" customHeight="false" outlineLevel="0" collapsed="false">
      <c r="B8" s="20" t="s">
        <v>95</v>
      </c>
      <c r="C8" s="25" t="n">
        <f aca="false">COUNTIF('Raw Data'!$Y$2:$Y$149,$B8)</f>
        <v>2</v>
      </c>
      <c r="D8" s="26" t="n">
        <f aca="false">SUMIF('Raw Data'!$Y$2:$Y$149,$B8,'Raw Data'!$O$2:$O$149)</f>
        <v>33050</v>
      </c>
      <c r="E8" s="26" t="n">
        <f aca="false">SUMIF('Raw Data'!$Y$2:$Y$149,$B8,'Raw Data'!$K$2:$K$149)</f>
        <v>30163</v>
      </c>
      <c r="F8" s="26" t="n">
        <f aca="false">SUMIF('Raw Data'!$Y$2:$Y$149,$B8,'Raw Data'!$P$2:$P$149)</f>
        <v>2887</v>
      </c>
      <c r="G8" s="27" t="n">
        <f aca="false">IF(E8=0,"",F8/E8)</f>
        <v>0.0957132911182575</v>
      </c>
    </row>
    <row r="9" customFormat="false" ht="15" hidden="false" customHeight="false" outlineLevel="0" collapsed="false">
      <c r="B9" s="20" t="s">
        <v>96</v>
      </c>
      <c r="C9" s="25" t="n">
        <f aca="false">COUNTIF('Raw Data'!$Y$2:$Y$149,$B9)</f>
        <v>2</v>
      </c>
      <c r="D9" s="26" t="n">
        <f aca="false">SUMIF('Raw Data'!$Y$2:$Y$149,$B9,'Raw Data'!$O$2:$O$149)</f>
        <v>26400</v>
      </c>
      <c r="E9" s="26" t="n">
        <f aca="false">SUMIF('Raw Data'!$Y$2:$Y$149,$B9,'Raw Data'!$K$2:$K$149)</f>
        <v>22985.44</v>
      </c>
      <c r="F9" s="26" t="n">
        <f aca="false">SUMIF('Raw Data'!$Y$2:$Y$149,$B9,'Raw Data'!$P$2:$P$149)</f>
        <v>2936.99</v>
      </c>
      <c r="G9" s="27" t="n">
        <f aca="false">IF(E9=0,"",F9/E9)</f>
        <v>0.127776105221392</v>
      </c>
    </row>
    <row r="10" customFormat="false" ht="15" hidden="false" customHeight="false" outlineLevel="0" collapsed="false">
      <c r="B10" s="20" t="s">
        <v>97</v>
      </c>
      <c r="C10" s="25" t="n">
        <f aca="false">COUNTIF('Raw Data'!$Y$2:$Y$149,$B10)</f>
        <v>1</v>
      </c>
      <c r="D10" s="26" t="n">
        <f aca="false">SUMIF('Raw Data'!$Y$2:$Y$149,$B10,'Raw Data'!$O$2:$O$149)</f>
        <v>14850</v>
      </c>
      <c r="E10" s="26" t="n">
        <f aca="false">SUMIF('Raw Data'!$Y$2:$Y$149,$B10,'Raw Data'!$K$2:$K$149)</f>
        <v>13622</v>
      </c>
      <c r="F10" s="26" t="n">
        <f aca="false">SUMIF('Raw Data'!$Y$2:$Y$149,$B10,'Raw Data'!$P$2:$P$149)</f>
        <v>1228</v>
      </c>
      <c r="G10" s="27" t="n">
        <f aca="false">IF(E10=0,"",F10/E10)</f>
        <v>0.09014828953164</v>
      </c>
    </row>
    <row r="11" customFormat="false" ht="15" hidden="false" customHeight="false" outlineLevel="0" collapsed="false">
      <c r="B11" s="20" t="s">
        <v>98</v>
      </c>
      <c r="C11" s="25" t="n">
        <f aca="false">COUNTIF('Raw Data'!$Y$2:$Y$149,$B11)</f>
        <v>1</v>
      </c>
      <c r="D11" s="26" t="n">
        <f aca="false">SUMIF('Raw Data'!$Y$2:$Y$149,$B11,'Raw Data'!$O$2:$O$149)</f>
        <v>14500</v>
      </c>
      <c r="E11" s="26" t="n">
        <f aca="false">SUMIF('Raw Data'!$Y$2:$Y$149,$B11,'Raw Data'!$K$2:$K$149)</f>
        <v>12564.68</v>
      </c>
      <c r="F11" s="26" t="n">
        <f aca="false">SUMIF('Raw Data'!$Y$2:$Y$149,$B11,'Raw Data'!$P$2:$P$149)</f>
        <v>1935</v>
      </c>
      <c r="G11" s="27" t="n">
        <f aca="false">IF(E11=0,"",F11/E11)</f>
        <v>0.154003126223668</v>
      </c>
    </row>
    <row r="12" customFormat="false" ht="15" hidden="false" customHeight="false" outlineLevel="0" collapsed="false">
      <c r="B12" s="20" t="s">
        <v>99</v>
      </c>
      <c r="C12" s="25" t="n">
        <f aca="false">COUNTIF('Raw Data'!$Y$2:$Y$149,$B12)</f>
        <v>1</v>
      </c>
      <c r="D12" s="26" t="n">
        <f aca="false">SUMIF('Raw Data'!$Y$2:$Y$149,$B12,'Raw Data'!$O$2:$O$149)</f>
        <v>20500</v>
      </c>
      <c r="E12" s="26" t="n">
        <f aca="false">SUMIF('Raw Data'!$Y$2:$Y$149,$B12,'Raw Data'!$K$2:$K$149)</f>
        <v>18000.19</v>
      </c>
      <c r="F12" s="26" t="n">
        <f aca="false">SUMIF('Raw Data'!$Y$2:$Y$149,$B12,'Raw Data'!$P$2:$P$149)</f>
        <v>2500</v>
      </c>
      <c r="G12" s="27" t="n">
        <f aca="false">IF(E12=0,"",F12/E12)</f>
        <v>0.138887422854981</v>
      </c>
    </row>
    <row r="13" customFormat="false" ht="15" hidden="false" customHeight="false" outlineLevel="0" collapsed="false">
      <c r="B13" s="20" t="s">
        <v>100</v>
      </c>
      <c r="C13" s="25" t="n">
        <f aca="false">COUNTIF('Raw Data'!$Y$2:$Y$149,$B13)</f>
        <v>3</v>
      </c>
      <c r="D13" s="26" t="n">
        <f aca="false">SUMIF('Raw Data'!$Y$2:$Y$149,$B13,'Raw Data'!$O$2:$O$149)</f>
        <v>46380</v>
      </c>
      <c r="E13" s="26" t="n">
        <f aca="false">SUMIF('Raw Data'!$Y$2:$Y$149,$B13,'Raw Data'!$K$2:$K$149)</f>
        <v>41100.72</v>
      </c>
      <c r="F13" s="26" t="n">
        <f aca="false">SUMIF('Raw Data'!$Y$2:$Y$149,$B13,'Raw Data'!$P$2:$P$149)</f>
        <v>2956</v>
      </c>
      <c r="G13" s="27" t="n">
        <f aca="false">IF(E13=0,"",F13/E13)</f>
        <v>0.0719208811913757</v>
      </c>
    </row>
    <row r="14" customFormat="false" ht="15" hidden="false" customHeight="false" outlineLevel="0" collapsed="false">
      <c r="B14" s="20" t="s">
        <v>101</v>
      </c>
      <c r="C14" s="25" t="n">
        <f aca="false">COUNTIF('Raw Data'!$Y$2:$Y$149,$B14)</f>
        <v>2</v>
      </c>
      <c r="D14" s="26" t="n">
        <f aca="false">SUMIF('Raw Data'!$Y$2:$Y$149,$B14,'Raw Data'!$O$2:$O$149)</f>
        <v>32600</v>
      </c>
      <c r="E14" s="26" t="n">
        <f aca="false">SUMIF('Raw Data'!$Y$2:$Y$149,$B14,'Raw Data'!$K$2:$K$149)</f>
        <v>25834</v>
      </c>
      <c r="F14" s="26" t="n">
        <f aca="false">SUMIF('Raw Data'!$Y$2:$Y$149,$B14,'Raw Data'!$P$2:$P$149)</f>
        <v>3649</v>
      </c>
      <c r="G14" s="27" t="n">
        <f aca="false">IF(E14=0,"",F14/E14)</f>
        <v>0.14124796779438</v>
      </c>
    </row>
    <row r="15" customFormat="false" ht="15" hidden="false" customHeight="false" outlineLevel="0" collapsed="false">
      <c r="B15" s="20" t="s">
        <v>102</v>
      </c>
      <c r="C15" s="25" t="n">
        <f aca="false">COUNTIF('Raw Data'!$Y$2:$Y$149,$B15)</f>
        <v>4</v>
      </c>
      <c r="D15" s="26" t="n">
        <f aca="false">SUMIF('Raw Data'!$Y$2:$Y$149,$B15,'Raw Data'!$O$2:$O$149)</f>
        <v>48640</v>
      </c>
      <c r="E15" s="26" t="n">
        <f aca="false">SUMIF('Raw Data'!$Y$2:$Y$149,$B15,'Raw Data'!$K$2:$K$149)</f>
        <v>39161.56</v>
      </c>
      <c r="F15" s="26" t="n">
        <f aca="false">SUMIF('Raw Data'!$Y$2:$Y$149,$B15,'Raw Data'!$P$2:$P$149)</f>
        <v>3205</v>
      </c>
      <c r="G15" s="27" t="n">
        <f aca="false">IF(E15=0,"",F15/E15)</f>
        <v>0.0818404578367154</v>
      </c>
    </row>
    <row r="16" customFormat="false" ht="15" hidden="false" customHeight="false" outlineLevel="0" collapsed="false">
      <c r="B16" s="20" t="s">
        <v>103</v>
      </c>
      <c r="C16" s="25" t="n">
        <f aca="false">COUNTIF('Raw Data'!$Y$2:$Y$149,$B16)</f>
        <v>1</v>
      </c>
      <c r="D16" s="26" t="n">
        <f aca="false">SUMIF('Raw Data'!$Y$2:$Y$149,$B16,'Raw Data'!$O$2:$O$149)</f>
        <v>20800</v>
      </c>
      <c r="E16" s="26" t="n">
        <f aca="false">SUMIF('Raw Data'!$Y$2:$Y$149,$B16,'Raw Data'!$K$2:$K$149)</f>
        <v>18813.42</v>
      </c>
      <c r="F16" s="26" t="n">
        <f aca="false">SUMIF('Raw Data'!$Y$2:$Y$149,$B16,'Raw Data'!$P$2:$P$149)</f>
        <v>1987</v>
      </c>
      <c r="G16" s="27" t="n">
        <f aca="false">IF(E16=0,"",F16/E16)</f>
        <v>0.105616097445334</v>
      </c>
    </row>
    <row r="17" customFormat="false" ht="15" hidden="false" customHeight="false" outlineLevel="0" collapsed="false">
      <c r="B17" s="20" t="s">
        <v>104</v>
      </c>
      <c r="C17" s="25" t="n">
        <f aca="false">COUNTIF('Raw Data'!$Y$2:$Y$149,$B17)</f>
        <v>8</v>
      </c>
      <c r="D17" s="26" t="n">
        <f aca="false">SUMIF('Raw Data'!$Y$2:$Y$149,$B17,'Raw Data'!$O$2:$O$149)</f>
        <v>115300</v>
      </c>
      <c r="E17" s="26" t="n">
        <f aca="false">SUMIF('Raw Data'!$Y$2:$Y$149,$B17,'Raw Data'!$K$2:$K$149)</f>
        <v>90840.67</v>
      </c>
      <c r="F17" s="26" t="n">
        <f aca="false">SUMIF('Raw Data'!$Y$2:$Y$149,$B17,'Raw Data'!$P$2:$P$149)</f>
        <v>20027</v>
      </c>
      <c r="G17" s="27" t="n">
        <f aca="false">IF(E17=0,"",F17/E17)</f>
        <v>0.220462927012758</v>
      </c>
    </row>
    <row r="18" customFormat="false" ht="15" hidden="false" customHeight="false" outlineLevel="0" collapsed="false">
      <c r="B18" s="20" t="s">
        <v>105</v>
      </c>
      <c r="C18" s="25" t="n">
        <f aca="false">COUNTIF('Raw Data'!$Y$2:$Y$149,$B18)</f>
        <v>1</v>
      </c>
      <c r="D18" s="26" t="n">
        <f aca="false">SUMIF('Raw Data'!$Y$2:$Y$149,$B18,'Raw Data'!$O$2:$O$149)</f>
        <v>14900</v>
      </c>
      <c r="E18" s="26" t="n">
        <f aca="false">SUMIF('Raw Data'!$Y$2:$Y$149,$B18,'Raw Data'!$K$2:$K$149)</f>
        <v>11629</v>
      </c>
      <c r="F18" s="26" t="n">
        <f aca="false">SUMIF('Raw Data'!$Y$2:$Y$149,$B18,'Raw Data'!$P$2:$P$149)</f>
        <v>788</v>
      </c>
      <c r="G18" s="27" t="n">
        <f aca="false">IF(E18=0,"",F18/E18)</f>
        <v>0.0677616304067418</v>
      </c>
    </row>
    <row r="19" customFormat="false" ht="15" hidden="false" customHeight="false" outlineLevel="0" collapsed="false">
      <c r="B19" s="20" t="s">
        <v>106</v>
      </c>
      <c r="C19" s="25" t="n">
        <f aca="false">COUNTIF('Raw Data'!$Y$2:$Y$149,$B19)</f>
        <v>3</v>
      </c>
      <c r="D19" s="26" t="n">
        <f aca="false">SUMIF('Raw Data'!$Y$2:$Y$149,$B19,'Raw Data'!$O$2:$O$149)</f>
        <v>37250</v>
      </c>
      <c r="E19" s="26" t="n">
        <f aca="false">SUMIF('Raw Data'!$Y$2:$Y$149,$B19,'Raw Data'!$K$2:$K$149)</f>
        <v>28857.5</v>
      </c>
      <c r="F19" s="26" t="n">
        <f aca="false">SUMIF('Raw Data'!$Y$2:$Y$149,$B19,'Raw Data'!$P$2:$P$149)</f>
        <v>6042</v>
      </c>
      <c r="G19" s="27" t="n">
        <f aca="false">IF(E19=0,"",F19/E19)</f>
        <v>0.209373646365763</v>
      </c>
    </row>
    <row r="20" customFormat="false" ht="15" hidden="false" customHeight="false" outlineLevel="0" collapsed="false">
      <c r="B20" s="20" t="s">
        <v>107</v>
      </c>
      <c r="C20" s="25" t="n">
        <f aca="false">COUNTIF('Raw Data'!$Y$2:$Y$149,$B20)</f>
        <v>6</v>
      </c>
      <c r="D20" s="26" t="n">
        <f aca="false">SUMIF('Raw Data'!$Y$2:$Y$149,$B20,'Raw Data'!$O$2:$O$149)</f>
        <v>71640</v>
      </c>
      <c r="E20" s="26" t="n">
        <f aca="false">SUMIF('Raw Data'!$Y$2:$Y$149,$B20,'Raw Data'!$K$2:$K$149)</f>
        <v>59845.84</v>
      </c>
      <c r="F20" s="26" t="n">
        <f aca="false">SUMIF('Raw Data'!$Y$2:$Y$149,$B20,'Raw Data'!$P$2:$P$149)</f>
        <v>11594</v>
      </c>
      <c r="G20" s="27" t="n">
        <f aca="false">IF(E20=0,"",F20/E20)</f>
        <v>0.193731093088509</v>
      </c>
    </row>
    <row r="21" customFormat="false" ht="15" hidden="false" customHeight="false" outlineLevel="0" collapsed="false">
      <c r="B21" s="20" t="s">
        <v>108</v>
      </c>
      <c r="C21" s="25" t="n">
        <f aca="false">COUNTIF('Raw Data'!$Y$2:$Y$149,$B21)</f>
        <v>10</v>
      </c>
      <c r="D21" s="26" t="n">
        <f aca="false">SUMIF('Raw Data'!$Y$2:$Y$149,$B21,'Raw Data'!$O$2:$O$149)</f>
        <v>123230</v>
      </c>
      <c r="E21" s="26" t="n">
        <f aca="false">SUMIF('Raw Data'!$Y$2:$Y$149,$B21,'Raw Data'!$K$2:$K$149)</f>
        <v>96384.76</v>
      </c>
      <c r="F21" s="26" t="n">
        <f aca="false">SUMIF('Raw Data'!$Y$2:$Y$149,$B21,'Raw Data'!$P$2:$P$149)</f>
        <v>17929</v>
      </c>
      <c r="G21" s="27" t="n">
        <f aca="false">IF(E21=0,"",F21/E21)</f>
        <v>0.186014884510788</v>
      </c>
    </row>
    <row r="22" customFormat="false" ht="15" hidden="false" customHeight="false" outlineLevel="0" collapsed="false">
      <c r="B22" s="20" t="s">
        <v>109</v>
      </c>
      <c r="C22" s="25" t="n">
        <f aca="false">COUNTIF('Raw Data'!$Y$2:$Y$149,$B22)</f>
        <v>4</v>
      </c>
      <c r="D22" s="26" t="n">
        <f aca="false">SUMIF('Raw Data'!$Y$2:$Y$149,$B22,'Raw Data'!$O$2:$O$149)</f>
        <v>50999</v>
      </c>
      <c r="E22" s="26" t="n">
        <f aca="false">SUMIF('Raw Data'!$Y$2:$Y$149,$B22,'Raw Data'!$K$2:$K$149)</f>
        <v>24285.21</v>
      </c>
      <c r="F22" s="26" t="n">
        <f aca="false">SUMIF('Raw Data'!$Y$2:$Y$149,$B22,'Raw Data'!$P$2:$P$149)</f>
        <v>5878</v>
      </c>
      <c r="G22" s="27" t="n">
        <f aca="false">IF(E22=0,"",F22/E22)</f>
        <v>0.242040320013704</v>
      </c>
    </row>
    <row r="23" customFormat="false" ht="15" hidden="false" customHeight="false" outlineLevel="0" collapsed="false">
      <c r="B23" s="20" t="s">
        <v>110</v>
      </c>
      <c r="C23" s="25" t="n">
        <f aca="false">COUNTIF('Raw Data'!$Y$2:$Y$149,$B23)</f>
        <v>7</v>
      </c>
      <c r="D23" s="26" t="n">
        <f aca="false">SUMIF('Raw Data'!$Y$2:$Y$149,$B23,'Raw Data'!$O$2:$O$149)</f>
        <v>178720</v>
      </c>
      <c r="E23" s="26" t="n">
        <f aca="false">SUMIF('Raw Data'!$Y$2:$Y$149,$B23,'Raw Data'!$K$2:$K$149)</f>
        <v>84872.96</v>
      </c>
      <c r="F23" s="26" t="n">
        <f aca="false">SUMIF('Raw Data'!$Y$2:$Y$149,$B23,'Raw Data'!$P$2:$P$149)</f>
        <v>15879</v>
      </c>
      <c r="G23" s="27" t="n">
        <f aca="false">IF(E23=0,"",F23/E23)</f>
        <v>0.187091389295248</v>
      </c>
    </row>
    <row r="24" customFormat="false" ht="15" hidden="false" customHeight="false" outlineLevel="0" collapsed="false">
      <c r="B24" s="20" t="s">
        <v>111</v>
      </c>
      <c r="C24" s="25" t="n">
        <f aca="false">COUNTIF('Raw Data'!$Y$2:$Y$149,$B24)</f>
        <v>2</v>
      </c>
      <c r="D24" s="26" t="n">
        <f aca="false">SUMIF('Raw Data'!$Y$2:$Y$149,$B24,'Raw Data'!$O$2:$O$149)</f>
        <v>22600</v>
      </c>
      <c r="E24" s="26" t="n">
        <f aca="false">SUMIF('Raw Data'!$Y$2:$Y$149,$B24,'Raw Data'!$K$2:$K$149)</f>
        <v>16611.34</v>
      </c>
      <c r="F24" s="26" t="n">
        <f aca="false">SUMIF('Raw Data'!$Y$2:$Y$149,$B24,'Raw Data'!$P$2:$P$149)</f>
        <v>3698</v>
      </c>
      <c r="G24" s="27" t="n">
        <f aca="false">IF(E24=0,"",F24/E24)</f>
        <v>0.222619006052492</v>
      </c>
    </row>
    <row r="25" customFormat="false" ht="15" hidden="false" customHeight="false" outlineLevel="0" collapsed="false">
      <c r="B25" s="20" t="s">
        <v>112</v>
      </c>
      <c r="C25" s="25" t="n">
        <f aca="false">COUNTIF('Raw Data'!$Y$2:$Y$149,$B25)</f>
        <v>7</v>
      </c>
      <c r="D25" s="26" t="n">
        <f aca="false">SUMIF('Raw Data'!$Y$2:$Y$149,$B25,'Raw Data'!$O$2:$O$149)</f>
        <v>81750</v>
      </c>
      <c r="E25" s="26" t="n">
        <f aca="false">SUMIF('Raw Data'!$Y$2:$Y$149,$B25,'Raw Data'!$K$2:$K$149)</f>
        <v>66178.48</v>
      </c>
      <c r="F25" s="26" t="n">
        <f aca="false">SUMIF('Raw Data'!$Y$2:$Y$149,$B25,'Raw Data'!$P$2:$P$149)</f>
        <v>13449</v>
      </c>
      <c r="G25" s="27" t="n">
        <f aca="false">IF(E25=0,"",F25/E25)</f>
        <v>0.203223162574904</v>
      </c>
    </row>
    <row r="26" customFormat="false" ht="15" hidden="false" customHeight="false" outlineLevel="0" collapsed="false">
      <c r="B26" s="20" t="s">
        <v>113</v>
      </c>
      <c r="C26" s="25" t="n">
        <f aca="false">COUNTIF('Raw Data'!$Y$2:$Y$149,$B26)</f>
        <v>5</v>
      </c>
      <c r="D26" s="26" t="n">
        <f aca="false">SUMIF('Raw Data'!$Y$2:$Y$149,$B26,'Raw Data'!$O$2:$O$149)</f>
        <v>66650</v>
      </c>
      <c r="E26" s="26" t="n">
        <f aca="false">SUMIF('Raw Data'!$Y$2:$Y$149,$B26,'Raw Data'!$K$2:$K$149)</f>
        <v>56517.24</v>
      </c>
      <c r="F26" s="26" t="n">
        <f aca="false">SUMIF('Raw Data'!$Y$2:$Y$149,$B26,'Raw Data'!$P$2:$P$149)</f>
        <v>7085</v>
      </c>
      <c r="G26" s="27" t="n">
        <f aca="false">IF(E26=0,"",F26/E26)</f>
        <v>0.125359978654301</v>
      </c>
    </row>
    <row r="27" customFormat="false" ht="15" hidden="false" customHeight="false" outlineLevel="0" collapsed="false">
      <c r="B27" s="20" t="s">
        <v>114</v>
      </c>
      <c r="C27" s="25" t="n">
        <f aca="false">COUNTIF('Raw Data'!$Y$2:$Y$149,$B27)</f>
        <v>1</v>
      </c>
      <c r="D27" s="26" t="n">
        <f aca="false">SUMIF('Raw Data'!$Y$2:$Y$149,$B27,'Raw Data'!$O$2:$O$149)</f>
        <v>13950</v>
      </c>
      <c r="E27" s="26" t="n">
        <f aca="false">SUMIF('Raw Data'!$Y$2:$Y$149,$B27,'Raw Data'!$K$2:$K$149)</f>
        <v>12351.11</v>
      </c>
      <c r="F27" s="26" t="n">
        <f aca="false">SUMIF('Raw Data'!$Y$2:$Y$149,$B27,'Raw Data'!$P$2:$P$149)</f>
        <v>1599</v>
      </c>
      <c r="G27" s="27" t="n">
        <f aca="false">IF(E27=0,"",F27/E27)</f>
        <v>0.12946204835031</v>
      </c>
    </row>
    <row r="28" customFormat="false" ht="15" hidden="false" customHeight="false" outlineLevel="0" collapsed="false">
      <c r="B28" s="20" t="s">
        <v>115</v>
      </c>
      <c r="C28" s="25" t="n">
        <f aca="false">COUNTIF('Raw Data'!$Y$2:$Y$149,$B28)</f>
        <v>8</v>
      </c>
      <c r="D28" s="26" t="n">
        <f aca="false">SUMIF('Raw Data'!$Y$2:$Y$149,$B28,'Raw Data'!$O$2:$O$149)</f>
        <v>154158</v>
      </c>
      <c r="E28" s="26" t="n">
        <f aca="false">SUMIF('Raw Data'!$Y$2:$Y$149,$B28,'Raw Data'!$K$2:$K$149)</f>
        <v>76672.81</v>
      </c>
      <c r="F28" s="26" t="n">
        <f aca="false">SUMIF('Raw Data'!$Y$2:$Y$149,$B28,'Raw Data'!$P$2:$P$149)</f>
        <v>13034</v>
      </c>
      <c r="G28" s="27" t="n">
        <f aca="false">IF(E28=0,"",F28/E28)</f>
        <v>0.169995073872994</v>
      </c>
    </row>
    <row r="29" customFormat="false" ht="15" hidden="false" customHeight="false" outlineLevel="0" collapsed="false">
      <c r="B29" s="20" t="s">
        <v>116</v>
      </c>
      <c r="C29" s="25" t="n">
        <f aca="false">COUNTIF('Raw Data'!$Y$2:$Y$149,$B29)</f>
        <v>5</v>
      </c>
      <c r="D29" s="26" t="n">
        <f aca="false">SUMIF('Raw Data'!$Y$2:$Y$149,$B29,'Raw Data'!$O$2:$O$149)</f>
        <v>68645</v>
      </c>
      <c r="E29" s="26" t="n">
        <f aca="false">SUMIF('Raw Data'!$Y$2:$Y$149,$B29,'Raw Data'!$K$2:$K$149)</f>
        <v>57651.02</v>
      </c>
      <c r="F29" s="26" t="n">
        <f aca="false">SUMIF('Raw Data'!$Y$2:$Y$149,$B29,'Raw Data'!$P$2:$P$149)</f>
        <v>10995</v>
      </c>
      <c r="G29" s="27" t="n">
        <f aca="false">IF(E29=0,"",F29/E29)</f>
        <v>0.190716486889564</v>
      </c>
    </row>
    <row r="30" customFormat="false" ht="15" hidden="false" customHeight="false" outlineLevel="0" collapsed="false">
      <c r="B30" s="20" t="s">
        <v>117</v>
      </c>
      <c r="C30" s="25" t="n">
        <f aca="false">COUNTIF('Raw Data'!$Y$2:$Y$149,$B30)</f>
        <v>3</v>
      </c>
      <c r="D30" s="26" t="n">
        <f aca="false">SUMIF('Raw Data'!$Y$2:$Y$149,$B30,'Raw Data'!$O$2:$O$149)</f>
        <v>39178</v>
      </c>
      <c r="E30" s="26" t="n">
        <f aca="false">SUMIF('Raw Data'!$Y$2:$Y$149,$B30,'Raw Data'!$K$2:$K$149)</f>
        <v>36244.81</v>
      </c>
      <c r="F30" s="26" t="n">
        <f aca="false">SUMIF('Raw Data'!$Y$2:$Y$149,$B30,'Raw Data'!$P$2:$P$149)</f>
        <v>2933</v>
      </c>
      <c r="G30" s="27" t="n">
        <f aca="false">IF(E30=0,"",F30/E30)</f>
        <v>0.0809219306157213</v>
      </c>
    </row>
    <row r="31" customFormat="false" ht="15" hidden="false" customHeight="false" outlineLevel="0" collapsed="false">
      <c r="B31" s="20" t="s">
        <v>118</v>
      </c>
      <c r="C31" s="25" t="n">
        <f aca="false">COUNTIF('Raw Data'!$Y$2:$Y$149,$B31)</f>
        <v>2</v>
      </c>
      <c r="D31" s="26" t="n">
        <f aca="false">SUMIF('Raw Data'!$Y$2:$Y$149,$B31,'Raw Data'!$O$2:$O$149)</f>
        <v>13000</v>
      </c>
      <c r="E31" s="26" t="n">
        <f aca="false">SUMIF('Raw Data'!$Y$2:$Y$149,$B31,'Raw Data'!$K$2:$K$149)</f>
        <v>10650</v>
      </c>
      <c r="F31" s="26" t="n">
        <f aca="false">SUMIF('Raw Data'!$Y$2:$Y$149,$B31,'Raw Data'!$P$2:$P$149)</f>
        <v>2350</v>
      </c>
      <c r="G31" s="27" t="n">
        <f aca="false">IF(E31=0,"",F31/E31)</f>
        <v>0.220657276995305</v>
      </c>
    </row>
    <row r="32" customFormat="false" ht="15" hidden="false" customHeight="false" outlineLevel="0" collapsed="false">
      <c r="B32" s="20" t="s">
        <v>119</v>
      </c>
      <c r="C32" s="25" t="n">
        <f aca="false">COUNTIF('Raw Data'!$Y$2:$Y$149,$B32)</f>
        <v>6</v>
      </c>
      <c r="D32" s="26" t="n">
        <f aca="false">SUMIF('Raw Data'!$Y$2:$Y$149,$B32,'Raw Data'!$O$2:$O$149)</f>
        <v>78295</v>
      </c>
      <c r="E32" s="26" t="n">
        <f aca="false">SUMIF('Raw Data'!$Y$2:$Y$149,$B32,'Raw Data'!$K$2:$K$149)</f>
        <v>65554.06</v>
      </c>
      <c r="F32" s="26" t="n">
        <f aca="false">SUMIF('Raw Data'!$Y$2:$Y$149,$B32,'Raw Data'!$P$2:$P$149)</f>
        <v>12741</v>
      </c>
      <c r="G32" s="27" t="n">
        <f aca="false">IF(E32=0,"",F32/E32)</f>
        <v>0.194358671301213</v>
      </c>
    </row>
    <row r="33" customFormat="false" ht="15" hidden="false" customHeight="false" outlineLevel="0" collapsed="false">
      <c r="B33" s="20" t="s">
        <v>120</v>
      </c>
      <c r="C33" s="25" t="n">
        <f aca="false">COUNTIF('Raw Data'!$Y$2:$Y$149,$B33)</f>
        <v>2</v>
      </c>
      <c r="D33" s="26" t="n">
        <f aca="false">SUMIF('Raw Data'!$Y$2:$Y$149,$B33,'Raw Data'!$O$2:$O$149)</f>
        <v>11345</v>
      </c>
      <c r="E33" s="26" t="n">
        <f aca="false">SUMIF('Raw Data'!$Y$2:$Y$149,$B33,'Raw Data'!$K$2:$K$149)</f>
        <v>10226.12</v>
      </c>
      <c r="F33" s="26" t="n">
        <f aca="false">SUMIF('Raw Data'!$Y$2:$Y$149,$B33,'Raw Data'!$P$2:$P$149)</f>
        <v>774</v>
      </c>
      <c r="G33" s="27" t="n">
        <f aca="false">IF(E33=0,"",F33/E33)</f>
        <v>0.0756885309384204</v>
      </c>
    </row>
    <row r="34" customFormat="false" ht="15" hidden="false" customHeight="false" outlineLevel="0" collapsed="false">
      <c r="B34" s="20" t="s">
        <v>121</v>
      </c>
      <c r="C34" s="25" t="n">
        <f aca="false">COUNTIF('Raw Data'!$Y$2:$Y$149,$B34)</f>
        <v>4</v>
      </c>
      <c r="D34" s="26" t="n">
        <f aca="false">SUMIF('Raw Data'!$Y$2:$Y$149,$B34,'Raw Data'!$O$2:$O$149)</f>
        <v>49100</v>
      </c>
      <c r="E34" s="26" t="n">
        <f aca="false">SUMIF('Raw Data'!$Y$2:$Y$149,$B34,'Raw Data'!$K$2:$K$149)</f>
        <v>44199.42</v>
      </c>
      <c r="F34" s="26" t="n">
        <f aca="false">SUMIF('Raw Data'!$Y$2:$Y$149,$B34,'Raw Data'!$P$2:$P$149)</f>
        <v>4900</v>
      </c>
      <c r="G34" s="27" t="n">
        <f aca="false">IF(E34=0,"",F34/E34)</f>
        <v>0.110861183246296</v>
      </c>
    </row>
    <row r="35" customFormat="false" ht="15" hidden="false" customHeight="false" outlineLevel="0" collapsed="false">
      <c r="B35" s="20" t="s">
        <v>122</v>
      </c>
      <c r="C35" s="25" t="n">
        <f aca="false">COUNTIF('Raw Data'!$Y$2:$Y$149,$B35)</f>
        <v>5</v>
      </c>
      <c r="D35" s="26" t="n">
        <f aca="false">SUMIF('Raw Data'!$Y$2:$Y$149,$B35,'Raw Data'!$O$2:$O$149)</f>
        <v>49890</v>
      </c>
      <c r="E35" s="26" t="n">
        <f aca="false">SUMIF('Raw Data'!$Y$2:$Y$149,$B35,'Raw Data'!$K$2:$K$149)</f>
        <v>45657.67</v>
      </c>
      <c r="F35" s="26" t="n">
        <f aca="false">SUMIF('Raw Data'!$Y$2:$Y$149,$B35,'Raw Data'!$P$2:$P$149)</f>
        <v>4232</v>
      </c>
      <c r="G35" s="27" t="n">
        <f aca="false">IF(E35=0,"",F35/E35)</f>
        <v>0.0926897934125854</v>
      </c>
    </row>
    <row r="36" customFormat="false" ht="15" hidden="false" customHeight="false" outlineLevel="0" collapsed="false">
      <c r="B36" s="20" t="s">
        <v>123</v>
      </c>
      <c r="C36" s="25" t="n">
        <f aca="false">COUNTIF('Raw Data'!$Y$2:$Y$149,$B36)</f>
        <v>8</v>
      </c>
      <c r="D36" s="26" t="n">
        <f aca="false">SUMIF('Raw Data'!$Y$2:$Y$149,$B36,'Raw Data'!$O$2:$O$149)</f>
        <v>97300</v>
      </c>
      <c r="E36" s="26" t="n">
        <f aca="false">SUMIF('Raw Data'!$Y$2:$Y$149,$B36,'Raw Data'!$K$2:$K$149)</f>
        <v>67098.84</v>
      </c>
      <c r="F36" s="26" t="n">
        <f aca="false">SUMIF('Raw Data'!$Y$2:$Y$149,$B36,'Raw Data'!$P$2:$P$149)</f>
        <v>13297</v>
      </c>
      <c r="G36" s="27" t="n">
        <f aca="false">IF(E36=0,"",F36/E36)</f>
        <v>0.198170340947772</v>
      </c>
    </row>
    <row r="37" customFormat="false" ht="15" hidden="false" customHeight="false" outlineLevel="0" collapsed="false">
      <c r="B37" s="20" t="s">
        <v>124</v>
      </c>
      <c r="C37" s="25" t="n">
        <f aca="false">COUNTIF('Raw Data'!$Y$2:$Y$149,$B37)</f>
        <v>3</v>
      </c>
      <c r="D37" s="26" t="n">
        <f aca="false">SUMIF('Raw Data'!$Y$2:$Y$149,$B37,'Raw Data'!$O$2:$O$149)</f>
        <v>41200</v>
      </c>
      <c r="E37" s="26" t="n">
        <f aca="false">SUMIF('Raw Data'!$Y$2:$Y$149,$B37,'Raw Data'!$K$2:$K$149)</f>
        <v>32238</v>
      </c>
      <c r="F37" s="26" t="n">
        <f aca="false">SUMIF('Raw Data'!$Y$2:$Y$149,$B37,'Raw Data'!$P$2:$P$149)</f>
        <v>5918</v>
      </c>
      <c r="G37" s="27" t="n">
        <f aca="false">IF(E37=0,"",F37/E37)</f>
        <v>0.18357218189714</v>
      </c>
    </row>
    <row r="38" customFormat="false" ht="15" hidden="false" customHeight="false" outlineLevel="0" collapsed="false">
      <c r="B38" s="20" t="s">
        <v>125</v>
      </c>
      <c r="C38" s="25" t="n">
        <f aca="false">COUNTIF('Raw Data'!$Y$2:$Y$149,$B38)</f>
        <v>2</v>
      </c>
      <c r="D38" s="26" t="n">
        <f aca="false">SUMIF('Raw Data'!$Y$2:$Y$149,$B38,'Raw Data'!$O$2:$O$149)</f>
        <v>25000</v>
      </c>
      <c r="E38" s="26" t="n">
        <f aca="false">SUMIF('Raw Data'!$Y$2:$Y$149,$B38,'Raw Data'!$K$2:$K$149)</f>
        <v>20278</v>
      </c>
      <c r="F38" s="26" t="n">
        <f aca="false">SUMIF('Raw Data'!$Y$2:$Y$149,$B38,'Raw Data'!$P$2:$P$149)</f>
        <v>3754</v>
      </c>
      <c r="G38" s="27" t="n">
        <f aca="false">IF(E38=0,"",F38/E38)</f>
        <v>0.185126738337114</v>
      </c>
    </row>
    <row r="39" customFormat="false" ht="15" hidden="false" customHeight="false" outlineLevel="0" collapsed="false">
      <c r="B39" s="20" t="s">
        <v>126</v>
      </c>
      <c r="C39" s="25" t="n">
        <f aca="false">COUNTIF('Raw Data'!$Y$2:$Y$149,$B39)</f>
        <v>5</v>
      </c>
      <c r="D39" s="26" t="n">
        <f aca="false">SUMIF('Raw Data'!$Y$2:$Y$149,$B39,'Raw Data'!$O$2:$O$149)</f>
        <v>66950</v>
      </c>
      <c r="E39" s="26" t="n">
        <f aca="false">SUMIF('Raw Data'!$Y$2:$Y$149,$B39,'Raw Data'!$K$2:$K$149)</f>
        <v>58475.06</v>
      </c>
      <c r="F39" s="26" t="n">
        <f aca="false">SUMIF('Raw Data'!$Y$2:$Y$149,$B39,'Raw Data'!$P$2:$P$149)</f>
        <v>8586</v>
      </c>
      <c r="G39" s="27" t="n">
        <f aca="false">IF(E39=0,"",F39/E39)</f>
        <v>0.146831828817277</v>
      </c>
    </row>
    <row r="40" customFormat="false" ht="15" hidden="false" customHeight="false" outlineLevel="0" collapsed="false">
      <c r="B40" s="20" t="s">
        <v>127</v>
      </c>
      <c r="C40" s="25" t="n">
        <f aca="false">COUNTIF('Raw Data'!$Y$2:$Y$149,$B40)</f>
        <v>2</v>
      </c>
      <c r="D40" s="26" t="n">
        <f aca="false">SUMIF('Raw Data'!$Y$2:$Y$149,$B40,'Raw Data'!$O$2:$O$149)</f>
        <v>43490</v>
      </c>
      <c r="E40" s="26" t="n">
        <f aca="false">SUMIF('Raw Data'!$Y$2:$Y$149,$B40,'Raw Data'!$K$2:$K$149)</f>
        <v>11037.5</v>
      </c>
      <c r="F40" s="26" t="n">
        <f aca="false">SUMIF('Raw Data'!$Y$2:$Y$149,$B40,'Raw Data'!$P$2:$P$149)</f>
        <v>2972</v>
      </c>
      <c r="G40" s="27" t="n">
        <f aca="false">IF(E40=0,"",F40/E40)</f>
        <v>0.269263873159683</v>
      </c>
    </row>
    <row r="41" customFormat="false" ht="15" hidden="false" customHeight="false" outlineLevel="0" collapsed="false">
      <c r="B41" s="34" t="s">
        <v>128</v>
      </c>
      <c r="C41" s="35" t="n">
        <f aca="false">SUM(C6:C40)</f>
        <v>129</v>
      </c>
      <c r="D41" s="36" t="n">
        <f aca="false">SUM(D6:D40)</f>
        <v>1813360</v>
      </c>
      <c r="E41" s="36" t="n">
        <f aca="false">SUM(E6:E40)</f>
        <v>1343522.3</v>
      </c>
      <c r="F41" s="36" t="n">
        <f aca="false">SUM(F6:F40)</f>
        <v>217918.12</v>
      </c>
      <c r="G41" s="37" t="n">
        <f aca="false">F41/E41</f>
        <v>0.162199109013673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6" min="3" style="0" width="17"/>
  </cols>
  <sheetData>
    <row r="2" customFormat="false" ht="19.7" hidden="false" customHeight="false" outlineLevel="0" collapsed="false">
      <c r="B2" s="1" t="s">
        <v>129</v>
      </c>
    </row>
    <row r="3" customFormat="false" ht="15" hidden="false" customHeight="false" outlineLevel="0" collapsed="false">
      <c r="B3" s="2" t="s">
        <v>130</v>
      </c>
    </row>
    <row r="5" customFormat="false" ht="15" hidden="false" customHeight="false" outlineLevel="0" collapsed="false">
      <c r="B5" s="33" t="s">
        <v>131</v>
      </c>
      <c r="C5" s="33" t="s">
        <v>39</v>
      </c>
      <c r="D5" s="33" t="s">
        <v>40</v>
      </c>
      <c r="E5" s="33" t="s">
        <v>41</v>
      </c>
      <c r="F5" s="33" t="s">
        <v>42</v>
      </c>
      <c r="G5" s="33" t="s">
        <v>92</v>
      </c>
    </row>
    <row r="6" customFormat="false" ht="15" hidden="false" customHeight="false" outlineLevel="0" collapsed="false">
      <c r="B6" s="20" t="s">
        <v>132</v>
      </c>
      <c r="C6" s="25" t="n">
        <f aca="false">COUNTIFS('Raw Data'!$I$2:$I$149,$B6,'Raw Data'!$U$2:$U$149,"SOLD")</f>
        <v>86</v>
      </c>
      <c r="D6" s="26" t="n">
        <f aca="false">SUMIFS('Raw Data'!$O$2:$O$149,'Raw Data'!$I$2:$I$149,$B6,'Raw Data'!$U$2:$U$149,"SOLD")</f>
        <v>1133258</v>
      </c>
      <c r="E6" s="26" t="n">
        <f aca="false">SUMIFS('Raw Data'!$K$2:$K$149,'Raw Data'!$I$2:$I$149,$B6,'Raw Data'!$U$2:$U$149,"SOLD")</f>
        <v>900754.23</v>
      </c>
      <c r="F6" s="26" t="n">
        <f aca="false">SUMIFS('Raw Data'!$P$2:$P$149,'Raw Data'!$I$2:$I$149,$B6,'Raw Data'!$U$2:$U$149,"SOLD")</f>
        <v>143917.01</v>
      </c>
      <c r="G6" s="27" t="n">
        <f aca="false">F6/E6</f>
        <v>0.159773893040724</v>
      </c>
    </row>
    <row r="7" customFormat="false" ht="15" hidden="false" customHeight="false" outlineLevel="0" collapsed="false">
      <c r="B7" s="20" t="s">
        <v>133</v>
      </c>
      <c r="C7" s="25" t="n">
        <f aca="false">COUNTIFS('Raw Data'!$I$2:$I$149,$B7,'Raw Data'!$U$2:$U$149,"SOLD")</f>
        <v>43</v>
      </c>
      <c r="D7" s="26" t="n">
        <f aca="false">SUMIFS('Raw Data'!$O$2:$O$149,'Raw Data'!$I$2:$I$149,$B7,'Raw Data'!$U$2:$U$149,"SOLD")</f>
        <v>680102</v>
      </c>
      <c r="E7" s="26" t="n">
        <f aca="false">SUMIFS('Raw Data'!$K$2:$K$149,'Raw Data'!$I$2:$I$149,$B7,'Raw Data'!$U$2:$U$149,"SOLD")</f>
        <v>442768.07</v>
      </c>
      <c r="F7" s="26" t="n">
        <f aca="false">SUMIFS('Raw Data'!$P$2:$P$149,'Raw Data'!$I$2:$I$149,$B7,'Raw Data'!$U$2:$U$149,"SOLD")</f>
        <v>74001.11</v>
      </c>
      <c r="G7" s="27" t="n">
        <f aca="false">F7/E7</f>
        <v>0.167132896462024</v>
      </c>
    </row>
    <row r="9" customFormat="false" ht="15" hidden="false" customHeight="true" outlineLevel="0" collapsed="false">
      <c r="B9" s="32" t="s">
        <v>134</v>
      </c>
      <c r="C9" s="32"/>
      <c r="D9" s="32"/>
      <c r="E9" s="32"/>
      <c r="F9" s="32"/>
    </row>
    <row r="10" customFormat="false" ht="15" hidden="false" customHeight="false" outlineLevel="0" collapsed="false">
      <c r="B10" s="32"/>
      <c r="C10" s="32"/>
      <c r="D10" s="32"/>
      <c r="E10" s="32"/>
      <c r="F10" s="32"/>
    </row>
    <row r="11" customFormat="false" ht="15" hidden="false" customHeight="false" outlineLevel="0" collapsed="false">
      <c r="B11" s="32"/>
      <c r="C11" s="32"/>
      <c r="D11" s="32"/>
      <c r="E11" s="32"/>
      <c r="F11" s="32"/>
    </row>
  </sheetData>
  <mergeCells count="1">
    <mergeCell ref="B9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4" min="11" style="0" width="11"/>
    <col collapsed="false" customWidth="true" hidden="false" outlineLevel="0" max="15" min="15" style="0" width="12"/>
    <col collapsed="false" customWidth="true" hidden="false" outlineLevel="0" max="17" min="16" style="0" width="11"/>
    <col collapsed="false" customWidth="true" hidden="false" outlineLevel="0" max="20" min="18" style="0" width="12"/>
    <col collapsed="false" customWidth="true" hidden="false" outlineLevel="0" max="21" min="21" style="0" width="9"/>
    <col collapsed="false" customWidth="true" hidden="false" outlineLevel="0" max="22" min="22" style="0" width="16"/>
    <col collapsed="false" customWidth="true" hidden="false" outlineLevel="0" max="25" min="23" style="0" width="12"/>
  </cols>
  <sheetData>
    <row r="1" customFormat="false" ht="31.5" hidden="false" customHeight="true" outlineLevel="0" collapsed="false">
      <c r="A1" s="24" t="s">
        <v>135</v>
      </c>
      <c r="B1" s="24" t="s">
        <v>136</v>
      </c>
      <c r="C1" s="24" t="s">
        <v>137</v>
      </c>
      <c r="D1" s="24" t="s">
        <v>138</v>
      </c>
      <c r="E1" s="24" t="s">
        <v>139</v>
      </c>
      <c r="F1" s="24" t="s">
        <v>140</v>
      </c>
      <c r="G1" s="24" t="s">
        <v>141</v>
      </c>
      <c r="H1" s="24" t="s">
        <v>142</v>
      </c>
      <c r="I1" s="24" t="s">
        <v>143</v>
      </c>
      <c r="J1" s="24" t="s">
        <v>144</v>
      </c>
      <c r="K1" s="24" t="s">
        <v>145</v>
      </c>
      <c r="L1" s="24" t="s">
        <v>146</v>
      </c>
      <c r="M1" s="24" t="s">
        <v>147</v>
      </c>
      <c r="N1" s="24" t="s">
        <v>148</v>
      </c>
      <c r="O1" s="24" t="s">
        <v>149</v>
      </c>
      <c r="P1" s="24" t="s">
        <v>150</v>
      </c>
      <c r="Q1" s="24" t="s">
        <v>151</v>
      </c>
      <c r="R1" s="24" t="s">
        <v>152</v>
      </c>
      <c r="S1" s="24" t="s">
        <v>153</v>
      </c>
      <c r="T1" s="24" t="s">
        <v>154</v>
      </c>
      <c r="U1" s="24" t="s">
        <v>155</v>
      </c>
      <c r="V1" s="24" t="s">
        <v>38</v>
      </c>
      <c r="W1" s="24" t="s">
        <v>156</v>
      </c>
      <c r="X1" s="24" t="s">
        <v>157</v>
      </c>
      <c r="Y1" s="24" t="s">
        <v>158</v>
      </c>
    </row>
    <row r="2" customFormat="false" ht="15" hidden="false" customHeight="false" outlineLevel="0" collapsed="false">
      <c r="A2" s="20" t="n">
        <v>1</v>
      </c>
      <c r="B2" s="20" t="n">
        <v>2023</v>
      </c>
      <c r="C2" s="20" t="s">
        <v>159</v>
      </c>
      <c r="D2" s="20" t="s">
        <v>160</v>
      </c>
      <c r="E2" s="20"/>
      <c r="F2" s="20" t="s">
        <v>161</v>
      </c>
      <c r="G2" s="20" t="s">
        <v>162</v>
      </c>
      <c r="H2" s="25" t="n">
        <v>159713</v>
      </c>
      <c r="I2" s="20" t="s">
        <v>132</v>
      </c>
      <c r="J2" s="20" t="s">
        <v>163</v>
      </c>
      <c r="K2" s="26" t="n">
        <v>11103.79</v>
      </c>
      <c r="L2" s="26" t="n">
        <v>12800</v>
      </c>
      <c r="M2" s="26" t="n">
        <v>0</v>
      </c>
      <c r="N2" s="26" t="n">
        <v>12800</v>
      </c>
      <c r="O2" s="26" t="n">
        <v>12800</v>
      </c>
      <c r="P2" s="26" t="n">
        <v>1696.21</v>
      </c>
      <c r="Q2" s="27" t="n">
        <v>0.1528</v>
      </c>
      <c r="R2" s="38"/>
      <c r="S2" s="38" t="n">
        <v>45034</v>
      </c>
      <c r="T2" s="25"/>
      <c r="U2" s="20" t="s">
        <v>164</v>
      </c>
      <c r="V2" s="20" t="s">
        <v>69</v>
      </c>
      <c r="W2" s="39" t="n">
        <f aca="false">IF(U2="SOLD",P2,"")</f>
        <v>1696.21</v>
      </c>
      <c r="X2" s="40" t="n">
        <f aca="false">IF(U2="SOLD",Q2,"")</f>
        <v>0.1528</v>
      </c>
      <c r="Y2" s="10" t="str">
        <f aca="false">IF(U2="SOLD",TEXT(S2,"YYYY-MM"),"")</f>
        <v>2023-04</v>
      </c>
    </row>
    <row r="3" customFormat="false" ht="15" hidden="false" customHeight="false" outlineLevel="0" collapsed="false">
      <c r="A3" s="20" t="n">
        <v>2</v>
      </c>
      <c r="B3" s="20" t="n">
        <v>2023</v>
      </c>
      <c r="C3" s="20" t="s">
        <v>165</v>
      </c>
      <c r="D3" s="20" t="s">
        <v>166</v>
      </c>
      <c r="E3" s="20" t="s">
        <v>167</v>
      </c>
      <c r="F3" s="20" t="s">
        <v>168</v>
      </c>
      <c r="G3" s="20" t="s">
        <v>169</v>
      </c>
      <c r="H3" s="25" t="n">
        <v>118900</v>
      </c>
      <c r="I3" s="20" t="s">
        <v>133</v>
      </c>
      <c r="J3" s="20" t="s">
        <v>170</v>
      </c>
      <c r="K3" s="26" t="n">
        <v>12942.29</v>
      </c>
      <c r="L3" s="26" t="n">
        <v>10650</v>
      </c>
      <c r="M3" s="26" t="n">
        <v>2130</v>
      </c>
      <c r="N3" s="26" t="n">
        <v>12780</v>
      </c>
      <c r="O3" s="26" t="n">
        <v>14350</v>
      </c>
      <c r="P3" s="26" t="n">
        <v>1407.71</v>
      </c>
      <c r="Q3" s="27" t="n">
        <v>0.1088</v>
      </c>
      <c r="R3" s="38"/>
      <c r="S3" s="38" t="n">
        <v>45115</v>
      </c>
      <c r="T3" s="25"/>
      <c r="U3" s="20" t="s">
        <v>164</v>
      </c>
      <c r="V3" s="20" t="s">
        <v>72</v>
      </c>
      <c r="W3" s="39" t="n">
        <f aca="false">IF(U3="SOLD",P3,"")</f>
        <v>1407.71</v>
      </c>
      <c r="X3" s="40" t="n">
        <f aca="false">IF(U3="SOLD",Q3,"")</f>
        <v>0.1088</v>
      </c>
      <c r="Y3" s="10" t="str">
        <f aca="false">IF(U3="SOLD",TEXT(S3,"YYYY-MM"),"")</f>
        <v>2023-07</v>
      </c>
    </row>
    <row r="4" customFormat="false" ht="15" hidden="false" customHeight="false" outlineLevel="0" collapsed="false">
      <c r="A4" s="20" t="n">
        <v>3</v>
      </c>
      <c r="B4" s="20" t="n">
        <v>2023</v>
      </c>
      <c r="C4" s="20" t="s">
        <v>171</v>
      </c>
      <c r="D4" s="20" t="s">
        <v>172</v>
      </c>
      <c r="E4" s="20" t="s">
        <v>173</v>
      </c>
      <c r="F4" s="20" t="s">
        <v>174</v>
      </c>
      <c r="G4" s="20" t="s">
        <v>175</v>
      </c>
      <c r="H4" s="25" t="n">
        <v>194400</v>
      </c>
      <c r="I4" s="20" t="s">
        <v>132</v>
      </c>
      <c r="J4" s="20" t="s">
        <v>170</v>
      </c>
      <c r="K4" s="26" t="n">
        <v>12955.84</v>
      </c>
      <c r="L4" s="26" t="n">
        <v>15400</v>
      </c>
      <c r="M4" s="26" t="n">
        <v>477.58</v>
      </c>
      <c r="N4" s="26" t="n">
        <v>15400</v>
      </c>
      <c r="O4" s="26" t="n">
        <v>15400</v>
      </c>
      <c r="P4" s="26" t="n">
        <v>1966.59</v>
      </c>
      <c r="Q4" s="27" t="n">
        <v>0.1518</v>
      </c>
      <c r="R4" s="38"/>
      <c r="S4" s="38" t="n">
        <v>45236</v>
      </c>
      <c r="T4" s="25"/>
      <c r="U4" s="20" t="s">
        <v>164</v>
      </c>
      <c r="V4" s="20" t="s">
        <v>51</v>
      </c>
      <c r="W4" s="39" t="n">
        <f aca="false">IF(U4="SOLD",P4,"")</f>
        <v>1966.59</v>
      </c>
      <c r="X4" s="40" t="n">
        <f aca="false">IF(U4="SOLD",Q4,"")</f>
        <v>0.1518</v>
      </c>
      <c r="Y4" s="10" t="str">
        <f aca="false">IF(U4="SOLD",TEXT(S4,"YYYY-MM"),"")</f>
        <v>2023-11</v>
      </c>
    </row>
    <row r="5" customFormat="false" ht="15" hidden="false" customHeight="false" outlineLevel="0" collapsed="false">
      <c r="A5" s="20" t="n">
        <v>4</v>
      </c>
      <c r="B5" s="20" t="n">
        <v>2023</v>
      </c>
      <c r="C5" s="20" t="s">
        <v>62</v>
      </c>
      <c r="D5" s="20" t="s">
        <v>176</v>
      </c>
      <c r="E5" s="20" t="s">
        <v>177</v>
      </c>
      <c r="F5" s="20" t="s">
        <v>178</v>
      </c>
      <c r="G5" s="20" t="s">
        <v>179</v>
      </c>
      <c r="H5" s="25" t="n">
        <v>146187</v>
      </c>
      <c r="I5" s="20" t="s">
        <v>132</v>
      </c>
      <c r="J5" s="20" t="s">
        <v>180</v>
      </c>
      <c r="K5" s="26" t="n">
        <v>12873.79</v>
      </c>
      <c r="L5" s="26" t="n">
        <v>11700</v>
      </c>
      <c r="M5" s="26" t="n">
        <v>30.43</v>
      </c>
      <c r="N5" s="26" t="n">
        <v>11700</v>
      </c>
      <c r="O5" s="26" t="n">
        <v>13950</v>
      </c>
      <c r="P5" s="26" t="n">
        <v>1076.21</v>
      </c>
      <c r="Q5" s="27" t="n">
        <v>0.0836</v>
      </c>
      <c r="R5" s="38"/>
      <c r="S5" s="38" t="n">
        <v>45120</v>
      </c>
      <c r="T5" s="25"/>
      <c r="U5" s="20" t="s">
        <v>164</v>
      </c>
      <c r="V5" s="20" t="s">
        <v>62</v>
      </c>
      <c r="W5" s="39" t="n">
        <f aca="false">IF(U5="SOLD",P5,"")</f>
        <v>1076.21</v>
      </c>
      <c r="X5" s="40" t="n">
        <f aca="false">IF(U5="SOLD",Q5,"")</f>
        <v>0.0836</v>
      </c>
      <c r="Y5" s="10" t="str">
        <f aca="false">IF(U5="SOLD",TEXT(S5,"YYYY-MM"),"")</f>
        <v>2023-07</v>
      </c>
    </row>
    <row r="6" customFormat="false" ht="15" hidden="false" customHeight="false" outlineLevel="0" collapsed="false">
      <c r="A6" s="20" t="n">
        <v>5</v>
      </c>
      <c r="B6" s="20" t="n">
        <v>2023</v>
      </c>
      <c r="C6" s="20" t="s">
        <v>60</v>
      </c>
      <c r="D6" s="20" t="s">
        <v>181</v>
      </c>
      <c r="E6" s="20" t="s">
        <v>182</v>
      </c>
      <c r="F6" s="20" t="s">
        <v>183</v>
      </c>
      <c r="G6" s="20" t="s">
        <v>169</v>
      </c>
      <c r="H6" s="25" t="n">
        <v>178383</v>
      </c>
      <c r="I6" s="20" t="s">
        <v>133</v>
      </c>
      <c r="J6" s="20" t="s">
        <v>184</v>
      </c>
      <c r="K6" s="26" t="n">
        <v>15569</v>
      </c>
      <c r="L6" s="26" t="n">
        <v>12850</v>
      </c>
      <c r="M6" s="26" t="n">
        <v>2570</v>
      </c>
      <c r="N6" s="26" t="n">
        <v>15420</v>
      </c>
      <c r="O6" s="26" t="n">
        <v>17000</v>
      </c>
      <c r="P6" s="26" t="n">
        <v>1431</v>
      </c>
      <c r="Q6" s="27" t="n">
        <v>0.0919</v>
      </c>
      <c r="R6" s="38"/>
      <c r="S6" s="38" t="n">
        <v>45215</v>
      </c>
      <c r="T6" s="25"/>
      <c r="U6" s="20" t="s">
        <v>164</v>
      </c>
      <c r="V6" s="20" t="s">
        <v>60</v>
      </c>
      <c r="W6" s="39" t="n">
        <f aca="false">IF(U6="SOLD",P6,"")</f>
        <v>1431</v>
      </c>
      <c r="X6" s="40" t="n">
        <f aca="false">IF(U6="SOLD",Q6,"")</f>
        <v>0.0919</v>
      </c>
      <c r="Y6" s="10" t="str">
        <f aca="false">IF(U6="SOLD",TEXT(S6,"YYYY-MM"),"")</f>
        <v>2023-10</v>
      </c>
    </row>
    <row r="7" customFormat="false" ht="15" hidden="false" customHeight="false" outlineLevel="0" collapsed="false">
      <c r="A7" s="20" t="n">
        <v>6</v>
      </c>
      <c r="B7" s="20" t="n">
        <v>2023</v>
      </c>
      <c r="C7" s="20" t="s">
        <v>53</v>
      </c>
      <c r="D7" s="20" t="s">
        <v>185</v>
      </c>
      <c r="E7" s="20" t="s">
        <v>167</v>
      </c>
      <c r="F7" s="20" t="s">
        <v>174</v>
      </c>
      <c r="G7" s="20" t="s">
        <v>186</v>
      </c>
      <c r="H7" s="25" t="n">
        <v>188761</v>
      </c>
      <c r="I7" s="20" t="s">
        <v>133</v>
      </c>
      <c r="J7" s="20" t="s">
        <v>180</v>
      </c>
      <c r="K7" s="26" t="n">
        <v>14594</v>
      </c>
      <c r="L7" s="26" t="n">
        <v>12000</v>
      </c>
      <c r="M7" s="26" t="n">
        <v>2400</v>
      </c>
      <c r="N7" s="26" t="n">
        <v>14400</v>
      </c>
      <c r="O7" s="26" t="n">
        <v>16050</v>
      </c>
      <c r="P7" s="26" t="n">
        <v>1456</v>
      </c>
      <c r="Q7" s="27" t="n">
        <v>0.0998</v>
      </c>
      <c r="R7" s="38"/>
      <c r="S7" s="38" t="n">
        <v>45209</v>
      </c>
      <c r="T7" s="25"/>
      <c r="U7" s="20" t="s">
        <v>164</v>
      </c>
      <c r="V7" s="20" t="s">
        <v>53</v>
      </c>
      <c r="W7" s="39" t="n">
        <f aca="false">IF(U7="SOLD",P7,"")</f>
        <v>1456</v>
      </c>
      <c r="X7" s="40" t="n">
        <f aca="false">IF(U7="SOLD",Q7,"")</f>
        <v>0.0998</v>
      </c>
      <c r="Y7" s="10" t="str">
        <f aca="false">IF(U7="SOLD",TEXT(S7,"YYYY-MM"),"")</f>
        <v>2023-10</v>
      </c>
    </row>
    <row r="8" customFormat="false" ht="15" hidden="false" customHeight="false" outlineLevel="0" collapsed="false">
      <c r="A8" s="41" t="n">
        <v>7</v>
      </c>
      <c r="B8" s="41" t="n">
        <v>2023</v>
      </c>
      <c r="C8" s="41" t="s">
        <v>187</v>
      </c>
      <c r="D8" s="41" t="s">
        <v>188</v>
      </c>
      <c r="E8" s="41" t="s">
        <v>189</v>
      </c>
      <c r="F8" s="41" t="s">
        <v>174</v>
      </c>
      <c r="G8" s="41" t="s">
        <v>186</v>
      </c>
      <c r="H8" s="42" t="n">
        <v>177534</v>
      </c>
      <c r="I8" s="41" t="s">
        <v>133</v>
      </c>
      <c r="J8" s="41" t="s">
        <v>190</v>
      </c>
      <c r="K8" s="43" t="n">
        <v>12945</v>
      </c>
      <c r="L8" s="43" t="n">
        <v>0</v>
      </c>
      <c r="M8" s="43" t="n">
        <v>0</v>
      </c>
      <c r="N8" s="43" t="n">
        <v>0</v>
      </c>
      <c r="O8" s="43"/>
      <c r="P8" s="43"/>
      <c r="Q8" s="44"/>
      <c r="R8" s="45"/>
      <c r="S8" s="45"/>
      <c r="T8" s="42"/>
      <c r="U8" s="41" t="s">
        <v>191</v>
      </c>
      <c r="V8" s="41" t="s">
        <v>47</v>
      </c>
      <c r="W8" s="39" t="str">
        <f aca="false">IF(U8="SOLD",P8,"")</f>
        <v/>
      </c>
      <c r="X8" s="40" t="str">
        <f aca="false">IF(U8="SOLD",Q8,"")</f>
        <v/>
      </c>
      <c r="Y8" s="10" t="str">
        <f aca="false">IF(U8="SOLD",TEXT(S8,"YYYY-MM"),"")</f>
        <v/>
      </c>
    </row>
    <row r="9" customFormat="false" ht="15" hidden="false" customHeight="false" outlineLevel="0" collapsed="false">
      <c r="A9" s="20" t="n">
        <v>8</v>
      </c>
      <c r="B9" s="20" t="n">
        <v>2023</v>
      </c>
      <c r="C9" s="20" t="s">
        <v>192</v>
      </c>
      <c r="D9" s="20" t="s">
        <v>181</v>
      </c>
      <c r="E9" s="20" t="s">
        <v>193</v>
      </c>
      <c r="F9" s="20" t="s">
        <v>194</v>
      </c>
      <c r="G9" s="20" t="s">
        <v>186</v>
      </c>
      <c r="H9" s="25" t="n">
        <v>188436</v>
      </c>
      <c r="I9" s="20" t="s">
        <v>133</v>
      </c>
      <c r="J9" s="20" t="s">
        <v>184</v>
      </c>
      <c r="K9" s="26" t="n">
        <v>10029.6</v>
      </c>
      <c r="L9" s="26" t="n">
        <v>8200</v>
      </c>
      <c r="M9" s="26" t="n">
        <v>1640</v>
      </c>
      <c r="N9" s="26" t="n">
        <v>9840</v>
      </c>
      <c r="O9" s="26" t="n">
        <v>11000</v>
      </c>
      <c r="P9" s="26" t="n">
        <v>970.4</v>
      </c>
      <c r="Q9" s="27" t="n">
        <v>0.0968</v>
      </c>
      <c r="R9" s="38"/>
      <c r="S9" s="38" t="n">
        <v>45238</v>
      </c>
      <c r="T9" s="25"/>
      <c r="U9" s="20" t="s">
        <v>164</v>
      </c>
      <c r="V9" s="20" t="s">
        <v>46</v>
      </c>
      <c r="W9" s="39" t="n">
        <f aca="false">IF(U9="SOLD",P9,"")</f>
        <v>970.4</v>
      </c>
      <c r="X9" s="40" t="n">
        <f aca="false">IF(U9="SOLD",Q9,"")</f>
        <v>0.0968</v>
      </c>
      <c r="Y9" s="10" t="str">
        <f aca="false">IF(U9="SOLD",TEXT(S9,"YYYY-MM"),"")</f>
        <v>2023-11</v>
      </c>
    </row>
    <row r="10" customFormat="false" ht="15" hidden="false" customHeight="false" outlineLevel="0" collapsed="false">
      <c r="A10" s="20" t="n">
        <v>9</v>
      </c>
      <c r="B10" s="20" t="n">
        <v>2023</v>
      </c>
      <c r="C10" s="20" t="s">
        <v>195</v>
      </c>
      <c r="D10" s="20" t="s">
        <v>196</v>
      </c>
      <c r="E10" s="20" t="s">
        <v>197</v>
      </c>
      <c r="F10" s="20" t="s">
        <v>174</v>
      </c>
      <c r="G10" s="20" t="s">
        <v>175</v>
      </c>
      <c r="H10" s="25" t="n">
        <v>185900</v>
      </c>
      <c r="I10" s="20" t="s">
        <v>133</v>
      </c>
      <c r="J10" s="20" t="s">
        <v>198</v>
      </c>
      <c r="K10" s="26" t="n">
        <v>13622</v>
      </c>
      <c r="L10" s="26" t="n">
        <v>12375</v>
      </c>
      <c r="M10" s="26" t="n">
        <v>2475</v>
      </c>
      <c r="N10" s="26" t="n">
        <v>14850</v>
      </c>
      <c r="O10" s="26" t="n">
        <v>14850</v>
      </c>
      <c r="P10" s="26" t="n">
        <v>1228</v>
      </c>
      <c r="Q10" s="27" t="n">
        <v>0.0901</v>
      </c>
      <c r="R10" s="38"/>
      <c r="S10" s="38" t="n">
        <v>45289</v>
      </c>
      <c r="T10" s="25"/>
      <c r="U10" s="20" t="s">
        <v>164</v>
      </c>
      <c r="V10" s="20" t="s">
        <v>52</v>
      </c>
      <c r="W10" s="39" t="n">
        <f aca="false">IF(U10="SOLD",P10,"")</f>
        <v>1228</v>
      </c>
      <c r="X10" s="40" t="n">
        <f aca="false">IF(U10="SOLD",Q10,"")</f>
        <v>0.0901</v>
      </c>
      <c r="Y10" s="10" t="str">
        <f aca="false">IF(U10="SOLD",TEXT(S10,"YYYY-MM"),"")</f>
        <v>2023-12</v>
      </c>
    </row>
    <row r="11" customFormat="false" ht="15" hidden="false" customHeight="false" outlineLevel="0" collapsed="false">
      <c r="A11" s="20" t="n">
        <v>10</v>
      </c>
      <c r="B11" s="20" t="n">
        <v>2024</v>
      </c>
      <c r="C11" s="20" t="s">
        <v>199</v>
      </c>
      <c r="D11" s="20" t="s">
        <v>200</v>
      </c>
      <c r="E11" s="20" t="s">
        <v>201</v>
      </c>
      <c r="F11" s="20" t="s">
        <v>202</v>
      </c>
      <c r="G11" s="20" t="s">
        <v>186</v>
      </c>
      <c r="H11" s="25" t="n">
        <v>187200</v>
      </c>
      <c r="I11" s="20" t="s">
        <v>133</v>
      </c>
      <c r="J11" s="20" t="s">
        <v>184</v>
      </c>
      <c r="K11" s="26" t="n">
        <v>12362.56</v>
      </c>
      <c r="L11" s="26" t="n">
        <v>10333.33</v>
      </c>
      <c r="M11" s="26" t="n">
        <v>2066.67</v>
      </c>
      <c r="N11" s="26" t="n">
        <v>12400</v>
      </c>
      <c r="O11" s="26" t="n">
        <v>12900</v>
      </c>
      <c r="P11" s="26" t="n">
        <v>-1529</v>
      </c>
      <c r="Q11" s="27" t="n">
        <v>-0.1237</v>
      </c>
      <c r="R11" s="38" t="n">
        <v>45232</v>
      </c>
      <c r="S11" s="38" t="n">
        <v>45449</v>
      </c>
      <c r="T11" s="25" t="n">
        <v>196</v>
      </c>
      <c r="U11" s="20" t="s">
        <v>164</v>
      </c>
      <c r="V11" s="20" t="s">
        <v>52</v>
      </c>
      <c r="W11" s="39" t="n">
        <f aca="false">IF(U11="SOLD",P11,"")</f>
        <v>-1529</v>
      </c>
      <c r="X11" s="40" t="n">
        <f aca="false">IF(U11="SOLD",Q11,"")</f>
        <v>-0.1237</v>
      </c>
      <c r="Y11" s="10" t="str">
        <f aca="false">IF(U11="SOLD",TEXT(S11,"YYYY-MM"),"")</f>
        <v>2024-06</v>
      </c>
    </row>
    <row r="12" customFormat="false" ht="15" hidden="false" customHeight="false" outlineLevel="0" collapsed="false">
      <c r="A12" s="20" t="n">
        <v>11</v>
      </c>
      <c r="B12" s="20" t="n">
        <v>2024</v>
      </c>
      <c r="C12" s="20" t="s">
        <v>203</v>
      </c>
      <c r="D12" s="20" t="s">
        <v>185</v>
      </c>
      <c r="E12" s="20" t="s">
        <v>204</v>
      </c>
      <c r="F12" s="20" t="s">
        <v>202</v>
      </c>
      <c r="G12" s="20" t="s">
        <v>186</v>
      </c>
      <c r="H12" s="25" t="n">
        <v>151400</v>
      </c>
      <c r="I12" s="20" t="s">
        <v>132</v>
      </c>
      <c r="J12" s="20" t="s">
        <v>184</v>
      </c>
      <c r="K12" s="26" t="n">
        <v>17778.05</v>
      </c>
      <c r="L12" s="26" t="n">
        <v>1210.44</v>
      </c>
      <c r="M12" s="26" t="n">
        <v>242.09</v>
      </c>
      <c r="N12" s="26" t="n">
        <v>1453</v>
      </c>
      <c r="O12" s="26" t="n">
        <v>18390</v>
      </c>
      <c r="P12" s="26" t="n">
        <v>612</v>
      </c>
      <c r="Q12" s="27" t="n">
        <v>0.0344</v>
      </c>
      <c r="R12" s="38" t="n">
        <v>45236</v>
      </c>
      <c r="S12" s="38" t="n">
        <v>45400</v>
      </c>
      <c r="T12" s="25" t="n">
        <v>141</v>
      </c>
      <c r="U12" s="20" t="s">
        <v>164</v>
      </c>
      <c r="V12" s="20" t="s">
        <v>53</v>
      </c>
      <c r="W12" s="39" t="n">
        <f aca="false">IF(U12="SOLD",P12,"")</f>
        <v>612</v>
      </c>
      <c r="X12" s="40" t="n">
        <f aca="false">IF(U12="SOLD",Q12,"")</f>
        <v>0.0344</v>
      </c>
      <c r="Y12" s="10" t="str">
        <f aca="false">IF(U12="SOLD",TEXT(S12,"YYYY-MM"),"")</f>
        <v>2024-04</v>
      </c>
    </row>
    <row r="13" customFormat="false" ht="15" hidden="false" customHeight="false" outlineLevel="0" collapsed="false">
      <c r="A13" s="20" t="n">
        <v>12</v>
      </c>
      <c r="B13" s="20" t="n">
        <v>2024</v>
      </c>
      <c r="C13" s="20" t="s">
        <v>60</v>
      </c>
      <c r="D13" s="20" t="s">
        <v>172</v>
      </c>
      <c r="E13" s="20" t="s">
        <v>205</v>
      </c>
      <c r="F13" s="20" t="s">
        <v>206</v>
      </c>
      <c r="G13" s="20" t="s">
        <v>175</v>
      </c>
      <c r="H13" s="25" t="n">
        <v>154100</v>
      </c>
      <c r="I13" s="20" t="s">
        <v>132</v>
      </c>
      <c r="J13" s="20" t="s">
        <v>207</v>
      </c>
      <c r="K13" s="26" t="n">
        <v>18000.19</v>
      </c>
      <c r="L13" s="26" t="n">
        <v>15000</v>
      </c>
      <c r="M13" s="26" t="n">
        <v>0</v>
      </c>
      <c r="N13" s="26" t="n">
        <v>15000</v>
      </c>
      <c r="O13" s="26" t="n">
        <v>20500</v>
      </c>
      <c r="P13" s="26" t="n">
        <v>2500</v>
      </c>
      <c r="Q13" s="27" t="n">
        <v>0.1389</v>
      </c>
      <c r="R13" s="38" t="n">
        <v>45233</v>
      </c>
      <c r="S13" s="38" t="n">
        <v>45380</v>
      </c>
      <c r="T13" s="25" t="n">
        <v>23</v>
      </c>
      <c r="U13" s="20" t="s">
        <v>164</v>
      </c>
      <c r="V13" s="20" t="s">
        <v>60</v>
      </c>
      <c r="W13" s="39" t="n">
        <f aca="false">IF(U13="SOLD",P13,"")</f>
        <v>2500</v>
      </c>
      <c r="X13" s="40" t="n">
        <f aca="false">IF(U13="SOLD",Q13,"")</f>
        <v>0.1389</v>
      </c>
      <c r="Y13" s="10" t="str">
        <f aca="false">IF(U13="SOLD",TEXT(S13,"YYYY-MM"),"")</f>
        <v>2024-03</v>
      </c>
    </row>
    <row r="14" customFormat="false" ht="15" hidden="false" customHeight="false" outlineLevel="0" collapsed="false">
      <c r="A14" s="20" t="n">
        <v>13</v>
      </c>
      <c r="B14" s="20" t="n">
        <v>2024</v>
      </c>
      <c r="C14" s="20" t="s">
        <v>48</v>
      </c>
      <c r="D14" s="20" t="s">
        <v>172</v>
      </c>
      <c r="E14" s="20" t="s">
        <v>208</v>
      </c>
      <c r="F14" s="20" t="s">
        <v>194</v>
      </c>
      <c r="G14" s="20" t="s">
        <v>169</v>
      </c>
      <c r="H14" s="25" t="n">
        <v>176499</v>
      </c>
      <c r="I14" s="20" t="s">
        <v>133</v>
      </c>
      <c r="J14" s="20" t="s">
        <v>184</v>
      </c>
      <c r="K14" s="26" t="n">
        <v>13424</v>
      </c>
      <c r="L14" s="26" t="n">
        <v>11250</v>
      </c>
      <c r="M14" s="26" t="n">
        <v>2250</v>
      </c>
      <c r="N14" s="26" t="n">
        <v>13500</v>
      </c>
      <c r="O14" s="26" t="n">
        <v>13990</v>
      </c>
      <c r="P14" s="26" t="n">
        <v>576</v>
      </c>
      <c r="Q14" s="27" t="n">
        <v>0.0429</v>
      </c>
      <c r="R14" s="38" t="n">
        <v>45243</v>
      </c>
      <c r="S14" s="38" t="n">
        <v>45386</v>
      </c>
      <c r="T14" s="25" t="n">
        <v>78</v>
      </c>
      <c r="U14" s="20" t="s">
        <v>164</v>
      </c>
      <c r="V14" s="20" t="s">
        <v>48</v>
      </c>
      <c r="W14" s="39" t="n">
        <f aca="false">IF(U14="SOLD",P14,"")</f>
        <v>576</v>
      </c>
      <c r="X14" s="40" t="n">
        <f aca="false">IF(U14="SOLD",Q14,"")</f>
        <v>0.0429</v>
      </c>
      <c r="Y14" s="10" t="str">
        <f aca="false">IF(U14="SOLD",TEXT(S14,"YYYY-MM"),"")</f>
        <v>2024-04</v>
      </c>
    </row>
    <row r="15" customFormat="false" ht="15" hidden="false" customHeight="false" outlineLevel="0" collapsed="false">
      <c r="A15" s="20" t="n">
        <v>15</v>
      </c>
      <c r="B15" s="20" t="n">
        <v>2024</v>
      </c>
      <c r="C15" s="20" t="s">
        <v>56</v>
      </c>
      <c r="D15" s="20" t="s">
        <v>172</v>
      </c>
      <c r="E15" s="20" t="s">
        <v>209</v>
      </c>
      <c r="F15" s="20" t="s">
        <v>210</v>
      </c>
      <c r="G15" s="20" t="s">
        <v>169</v>
      </c>
      <c r="H15" s="25" t="n">
        <v>67396</v>
      </c>
      <c r="I15" s="20" t="s">
        <v>132</v>
      </c>
      <c r="J15" s="20" t="s">
        <v>170</v>
      </c>
      <c r="K15" s="26" t="n">
        <v>12564.68</v>
      </c>
      <c r="L15" s="26" t="n">
        <v>1165</v>
      </c>
      <c r="M15" s="26" t="n">
        <v>233</v>
      </c>
      <c r="N15" s="26" t="n">
        <v>1398</v>
      </c>
      <c r="O15" s="26" t="n">
        <v>14500</v>
      </c>
      <c r="P15" s="26" t="n">
        <v>1935</v>
      </c>
      <c r="Q15" s="27" t="n">
        <v>0.154</v>
      </c>
      <c r="R15" s="38" t="n">
        <v>45251</v>
      </c>
      <c r="S15" s="38" t="n">
        <v>45339</v>
      </c>
      <c r="T15" s="25" t="n">
        <v>38</v>
      </c>
      <c r="U15" s="20" t="s">
        <v>164</v>
      </c>
      <c r="V15" s="20" t="s">
        <v>56</v>
      </c>
      <c r="W15" s="39" t="n">
        <f aca="false">IF(U15="SOLD",P15,"")</f>
        <v>1935</v>
      </c>
      <c r="X15" s="40" t="n">
        <f aca="false">IF(U15="SOLD",Q15,"")</f>
        <v>0.154</v>
      </c>
      <c r="Y15" s="10" t="str">
        <f aca="false">IF(U15="SOLD",TEXT(S15,"YYYY-MM"),"")</f>
        <v>2024-02</v>
      </c>
    </row>
    <row r="16" customFormat="false" ht="15" hidden="false" customHeight="false" outlineLevel="0" collapsed="false">
      <c r="A16" s="20" t="n">
        <v>16</v>
      </c>
      <c r="B16" s="20" t="n">
        <v>2024</v>
      </c>
      <c r="C16" s="20" t="s">
        <v>187</v>
      </c>
      <c r="D16" s="20" t="s">
        <v>188</v>
      </c>
      <c r="E16" s="20" t="s">
        <v>211</v>
      </c>
      <c r="F16" s="20" t="s">
        <v>174</v>
      </c>
      <c r="G16" s="20" t="s">
        <v>186</v>
      </c>
      <c r="H16" s="25" t="n">
        <v>211000</v>
      </c>
      <c r="I16" s="20" t="s">
        <v>133</v>
      </c>
      <c r="J16" s="20" t="s">
        <v>212</v>
      </c>
      <c r="K16" s="26" t="n">
        <v>9898.67</v>
      </c>
      <c r="L16" s="26" t="n">
        <v>9825</v>
      </c>
      <c r="M16" s="26" t="n">
        <v>1965</v>
      </c>
      <c r="N16" s="26" t="n">
        <v>11790</v>
      </c>
      <c r="O16" s="26" t="n">
        <v>14000</v>
      </c>
      <c r="P16" s="26" t="n">
        <v>1768</v>
      </c>
      <c r="Q16" s="27" t="n">
        <v>0.1786</v>
      </c>
      <c r="R16" s="38" t="n">
        <v>45352</v>
      </c>
      <c r="S16" s="38" t="n">
        <v>45384</v>
      </c>
      <c r="T16" s="25" t="n">
        <v>8</v>
      </c>
      <c r="U16" s="20" t="s">
        <v>164</v>
      </c>
      <c r="V16" s="20" t="s">
        <v>47</v>
      </c>
      <c r="W16" s="39" t="n">
        <f aca="false">IF(U16="SOLD",P16,"")</f>
        <v>1768</v>
      </c>
      <c r="X16" s="40" t="n">
        <f aca="false">IF(U16="SOLD",Q16,"")</f>
        <v>0.1786</v>
      </c>
      <c r="Y16" s="10" t="str">
        <f aca="false">IF(U16="SOLD",TEXT(S16,"YYYY-MM"),"")</f>
        <v>2024-04</v>
      </c>
    </row>
    <row r="17" customFormat="false" ht="15" hidden="false" customHeight="false" outlineLevel="0" collapsed="false">
      <c r="A17" s="20" t="n">
        <v>17</v>
      </c>
      <c r="B17" s="20" t="n">
        <v>2024</v>
      </c>
      <c r="C17" s="20" t="s">
        <v>83</v>
      </c>
      <c r="D17" s="20" t="s">
        <v>213</v>
      </c>
      <c r="E17" s="20" t="s">
        <v>182</v>
      </c>
      <c r="F17" s="20" t="s">
        <v>214</v>
      </c>
      <c r="G17" s="20" t="s">
        <v>215</v>
      </c>
      <c r="H17" s="25" t="n">
        <v>196000</v>
      </c>
      <c r="I17" s="20" t="s">
        <v>132</v>
      </c>
      <c r="J17" s="20" t="s">
        <v>180</v>
      </c>
      <c r="K17" s="26" t="n">
        <v>13305</v>
      </c>
      <c r="L17" s="26" t="n">
        <v>297.5</v>
      </c>
      <c r="M17" s="26" t="n">
        <v>59.5</v>
      </c>
      <c r="N17" s="26" t="n">
        <v>357</v>
      </c>
      <c r="O17" s="26" t="n">
        <v>13900</v>
      </c>
      <c r="P17" s="26" t="n">
        <v>595</v>
      </c>
      <c r="Q17" s="27" t="n">
        <v>0.0447</v>
      </c>
      <c r="R17" s="38" t="n">
        <v>45380</v>
      </c>
      <c r="S17" s="38" t="n">
        <v>45418</v>
      </c>
      <c r="T17" s="25" t="n">
        <v>26</v>
      </c>
      <c r="U17" s="20" t="s">
        <v>164</v>
      </c>
      <c r="V17" s="20" t="s">
        <v>83</v>
      </c>
      <c r="W17" s="39" t="n">
        <f aca="false">IF(U17="SOLD",P17,"")</f>
        <v>595</v>
      </c>
      <c r="X17" s="40" t="n">
        <f aca="false">IF(U17="SOLD",Q17,"")</f>
        <v>0.0447</v>
      </c>
      <c r="Y17" s="10" t="str">
        <f aca="false">IF(U17="SOLD",TEXT(S17,"YYYY-MM"),"")</f>
        <v>2024-05</v>
      </c>
    </row>
    <row r="18" customFormat="false" ht="15" hidden="false" customHeight="false" outlineLevel="0" collapsed="false">
      <c r="A18" s="20" t="n">
        <v>18</v>
      </c>
      <c r="B18" s="20" t="n">
        <v>2024</v>
      </c>
      <c r="C18" s="20" t="s">
        <v>216</v>
      </c>
      <c r="D18" s="20" t="s">
        <v>217</v>
      </c>
      <c r="E18" s="20" t="s">
        <v>182</v>
      </c>
      <c r="F18" s="20" t="s">
        <v>218</v>
      </c>
      <c r="G18" s="20" t="s">
        <v>219</v>
      </c>
      <c r="H18" s="25" t="n">
        <v>212000</v>
      </c>
      <c r="I18" s="20" t="s">
        <v>133</v>
      </c>
      <c r="J18" s="20" t="s">
        <v>212</v>
      </c>
      <c r="K18" s="26" t="n">
        <v>11629</v>
      </c>
      <c r="L18" s="26" t="n">
        <v>10833.33</v>
      </c>
      <c r="M18" s="26" t="n">
        <v>2166.67</v>
      </c>
      <c r="N18" s="26" t="n">
        <v>13000</v>
      </c>
      <c r="O18" s="26" t="n">
        <v>14900</v>
      </c>
      <c r="P18" s="26" t="n">
        <v>788</v>
      </c>
      <c r="Q18" s="27" t="n">
        <v>0.0678</v>
      </c>
      <c r="R18" s="38" t="n">
        <v>45394</v>
      </c>
      <c r="S18" s="38" t="n">
        <v>45537</v>
      </c>
      <c r="T18" s="25" t="n">
        <v>125</v>
      </c>
      <c r="U18" s="20" t="s">
        <v>164</v>
      </c>
      <c r="V18" s="20" t="s">
        <v>82</v>
      </c>
      <c r="W18" s="39" t="n">
        <f aca="false">IF(U18="SOLD",P18,"")</f>
        <v>788</v>
      </c>
      <c r="X18" s="40" t="n">
        <f aca="false">IF(U18="SOLD",Q18,"")</f>
        <v>0.0678</v>
      </c>
      <c r="Y18" s="10" t="str">
        <f aca="false">IF(U18="SOLD",TEXT(S18,"YYYY-MM"),"")</f>
        <v>2024-09</v>
      </c>
    </row>
    <row r="19" customFormat="false" ht="15" hidden="false" customHeight="false" outlineLevel="0" collapsed="false">
      <c r="A19" s="20" t="n">
        <v>19</v>
      </c>
      <c r="B19" s="20" t="n">
        <v>2024</v>
      </c>
      <c r="C19" s="20" t="s">
        <v>192</v>
      </c>
      <c r="D19" s="20" t="s">
        <v>172</v>
      </c>
      <c r="E19" s="20" t="s">
        <v>220</v>
      </c>
      <c r="F19" s="20" t="s">
        <v>194</v>
      </c>
      <c r="G19" s="20" t="s">
        <v>169</v>
      </c>
      <c r="H19" s="25" t="n">
        <v>201000</v>
      </c>
      <c r="I19" s="20" t="s">
        <v>133</v>
      </c>
      <c r="J19" s="20" t="s">
        <v>184</v>
      </c>
      <c r="K19" s="26" t="n">
        <v>8067</v>
      </c>
      <c r="L19" s="26" t="n">
        <v>6475</v>
      </c>
      <c r="M19" s="26" t="n">
        <v>1295</v>
      </c>
      <c r="N19" s="26" t="n">
        <v>7770</v>
      </c>
      <c r="O19" s="26" t="n">
        <v>10500</v>
      </c>
      <c r="P19" s="26" t="n">
        <v>2433</v>
      </c>
      <c r="Q19" s="27" t="n">
        <v>0.3016</v>
      </c>
      <c r="R19" s="38" t="n">
        <v>45412</v>
      </c>
      <c r="S19" s="38" t="n">
        <v>45451</v>
      </c>
      <c r="T19" s="25" t="n">
        <v>18</v>
      </c>
      <c r="U19" s="20" t="s">
        <v>164</v>
      </c>
      <c r="V19" s="20" t="s">
        <v>46</v>
      </c>
      <c r="W19" s="39" t="n">
        <f aca="false">IF(U19="SOLD",P19,"")</f>
        <v>2433</v>
      </c>
      <c r="X19" s="40" t="n">
        <f aca="false">IF(U19="SOLD",Q19,"")</f>
        <v>0.3016</v>
      </c>
      <c r="Y19" s="10" t="str">
        <f aca="false">IF(U19="SOLD",TEXT(S19,"YYYY-MM"),"")</f>
        <v>2024-06</v>
      </c>
    </row>
    <row r="20" customFormat="false" ht="15" hidden="false" customHeight="false" outlineLevel="0" collapsed="false">
      <c r="A20" s="20" t="n">
        <v>20</v>
      </c>
      <c r="B20" s="20" t="n">
        <v>2024</v>
      </c>
      <c r="C20" s="20" t="s">
        <v>192</v>
      </c>
      <c r="D20" s="20" t="s">
        <v>172</v>
      </c>
      <c r="E20" s="20" t="s">
        <v>221</v>
      </c>
      <c r="F20" s="20" t="s">
        <v>174</v>
      </c>
      <c r="G20" s="20" t="s">
        <v>186</v>
      </c>
      <c r="H20" s="25" t="n">
        <v>193000</v>
      </c>
      <c r="I20" s="20" t="s">
        <v>133</v>
      </c>
      <c r="J20" s="20" t="s">
        <v>212</v>
      </c>
      <c r="K20" s="26" t="n">
        <v>10345</v>
      </c>
      <c r="L20" s="26" t="n">
        <v>12075</v>
      </c>
      <c r="M20" s="26" t="n">
        <v>2415</v>
      </c>
      <c r="N20" s="26" t="n">
        <v>14490</v>
      </c>
      <c r="O20" s="26" t="n">
        <v>14490</v>
      </c>
      <c r="P20" s="26" t="n">
        <v>1730</v>
      </c>
      <c r="Q20" s="27" t="n">
        <v>0.1672</v>
      </c>
      <c r="R20" s="38" t="n">
        <v>45415</v>
      </c>
      <c r="S20" s="38" t="n">
        <v>45471</v>
      </c>
      <c r="T20" s="25" t="n">
        <v>44</v>
      </c>
      <c r="U20" s="20" t="s">
        <v>164</v>
      </c>
      <c r="V20" s="20" t="s">
        <v>46</v>
      </c>
      <c r="W20" s="39" t="n">
        <f aca="false">IF(U20="SOLD",P20,"")</f>
        <v>1730</v>
      </c>
      <c r="X20" s="40" t="n">
        <f aca="false">IF(U20="SOLD",Q20,"")</f>
        <v>0.1672</v>
      </c>
      <c r="Y20" s="10" t="str">
        <f aca="false">IF(U20="SOLD",TEXT(S20,"YYYY-MM"),"")</f>
        <v>2024-06</v>
      </c>
    </row>
    <row r="21" customFormat="false" ht="15" hidden="false" customHeight="false" outlineLevel="0" collapsed="false">
      <c r="A21" s="20" t="n">
        <v>21</v>
      </c>
      <c r="B21" s="20" t="n">
        <v>2024</v>
      </c>
      <c r="C21" s="20" t="s">
        <v>187</v>
      </c>
      <c r="D21" s="20" t="s">
        <v>222</v>
      </c>
      <c r="E21" s="20" t="s">
        <v>223</v>
      </c>
      <c r="F21" s="20" t="s">
        <v>224</v>
      </c>
      <c r="G21" s="20" t="s">
        <v>186</v>
      </c>
      <c r="H21" s="25" t="n">
        <v>160000</v>
      </c>
      <c r="I21" s="20" t="s">
        <v>133</v>
      </c>
      <c r="J21" s="20" t="s">
        <v>212</v>
      </c>
      <c r="K21" s="26" t="n">
        <v>12529</v>
      </c>
      <c r="L21" s="26" t="n">
        <v>15583.33</v>
      </c>
      <c r="M21" s="26" t="n">
        <v>3116.67</v>
      </c>
      <c r="N21" s="26" t="n">
        <v>18700</v>
      </c>
      <c r="O21" s="26" t="n">
        <v>18700</v>
      </c>
      <c r="P21" s="26" t="n">
        <v>3054</v>
      </c>
      <c r="Q21" s="27" t="n">
        <v>0.2438</v>
      </c>
      <c r="R21" s="38" t="n">
        <v>45422</v>
      </c>
      <c r="S21" s="38" t="n">
        <v>45443</v>
      </c>
      <c r="T21" s="25" t="n">
        <v>3</v>
      </c>
      <c r="U21" s="20" t="s">
        <v>164</v>
      </c>
      <c r="V21" s="20" t="s">
        <v>47</v>
      </c>
      <c r="W21" s="39" t="n">
        <f aca="false">IF(U21="SOLD",P21,"")</f>
        <v>3054</v>
      </c>
      <c r="X21" s="40" t="n">
        <f aca="false">IF(U21="SOLD",Q21,"")</f>
        <v>0.2438</v>
      </c>
      <c r="Y21" s="10" t="str">
        <f aca="false">IF(U21="SOLD",TEXT(S21,"YYYY-MM"),"")</f>
        <v>2024-05</v>
      </c>
    </row>
    <row r="22" customFormat="false" ht="15" hidden="false" customHeight="false" outlineLevel="0" collapsed="false">
      <c r="A22" s="20" t="n">
        <v>22</v>
      </c>
      <c r="B22" s="20" t="n">
        <v>2024</v>
      </c>
      <c r="C22" s="20" t="s">
        <v>225</v>
      </c>
      <c r="D22" s="20" t="s">
        <v>188</v>
      </c>
      <c r="E22" s="20" t="s">
        <v>226</v>
      </c>
      <c r="F22" s="20" t="s">
        <v>227</v>
      </c>
      <c r="G22" s="20" t="s">
        <v>186</v>
      </c>
      <c r="H22" s="25" t="n">
        <v>182000</v>
      </c>
      <c r="I22" s="20" t="s">
        <v>133</v>
      </c>
      <c r="J22" s="20" t="s">
        <v>190</v>
      </c>
      <c r="K22" s="26" t="n">
        <v>9024</v>
      </c>
      <c r="L22" s="26" t="n">
        <v>10916.67</v>
      </c>
      <c r="M22" s="26" t="n">
        <v>2183.33</v>
      </c>
      <c r="N22" s="26" t="n">
        <v>13100</v>
      </c>
      <c r="O22" s="26" t="n">
        <v>13100</v>
      </c>
      <c r="P22" s="26" t="n">
        <v>1893</v>
      </c>
      <c r="Q22" s="27" t="n">
        <v>0.2098</v>
      </c>
      <c r="R22" s="38" t="n">
        <v>45444</v>
      </c>
      <c r="S22" s="38" t="n">
        <v>45508</v>
      </c>
      <c r="T22" s="25" t="n">
        <v>26</v>
      </c>
      <c r="U22" s="20" t="s">
        <v>164</v>
      </c>
      <c r="V22" s="20" t="s">
        <v>58</v>
      </c>
      <c r="W22" s="39" t="n">
        <f aca="false">IF(U22="SOLD",P22,"")</f>
        <v>1893</v>
      </c>
      <c r="X22" s="40" t="n">
        <f aca="false">IF(U22="SOLD",Q22,"")</f>
        <v>0.2098</v>
      </c>
      <c r="Y22" s="10" t="str">
        <f aca="false">IF(U22="SOLD",TEXT(S22,"YYYY-MM"),"")</f>
        <v>2024-08</v>
      </c>
    </row>
    <row r="23" customFormat="false" ht="15" hidden="false" customHeight="false" outlineLevel="0" collapsed="false">
      <c r="A23" s="20" t="n">
        <v>23</v>
      </c>
      <c r="B23" s="20" t="n">
        <v>2024</v>
      </c>
      <c r="C23" s="20" t="s">
        <v>62</v>
      </c>
      <c r="D23" s="20" t="s">
        <v>176</v>
      </c>
      <c r="E23" s="20" t="s">
        <v>182</v>
      </c>
      <c r="F23" s="20" t="s">
        <v>228</v>
      </c>
      <c r="G23" s="20" t="s">
        <v>179</v>
      </c>
      <c r="H23" s="25" t="n">
        <v>159000</v>
      </c>
      <c r="I23" s="20" t="s">
        <v>132</v>
      </c>
      <c r="J23" s="20" t="s">
        <v>212</v>
      </c>
      <c r="K23" s="26" t="n">
        <v>14215</v>
      </c>
      <c r="L23" s="26" t="n">
        <v>13789.67</v>
      </c>
      <c r="M23" s="26" t="n">
        <v>0.33</v>
      </c>
      <c r="N23" s="26" t="n">
        <v>13790</v>
      </c>
      <c r="O23" s="26" t="n">
        <v>16300</v>
      </c>
      <c r="P23" s="26" t="n">
        <v>2085</v>
      </c>
      <c r="Q23" s="27" t="n">
        <v>0.1467</v>
      </c>
      <c r="R23" s="38" t="n">
        <v>45429</v>
      </c>
      <c r="S23" s="38" t="n">
        <v>45519</v>
      </c>
      <c r="T23" s="25" t="n">
        <v>59</v>
      </c>
      <c r="U23" s="20" t="s">
        <v>164</v>
      </c>
      <c r="V23" s="20" t="s">
        <v>62</v>
      </c>
      <c r="W23" s="39" t="n">
        <f aca="false">IF(U23="SOLD",P23,"")</f>
        <v>2085</v>
      </c>
      <c r="X23" s="40" t="n">
        <f aca="false">IF(U23="SOLD",Q23,"")</f>
        <v>0.1467</v>
      </c>
      <c r="Y23" s="10" t="str">
        <f aca="false">IF(U23="SOLD",TEXT(S23,"YYYY-MM"),"")</f>
        <v>2024-08</v>
      </c>
    </row>
    <row r="24" customFormat="false" ht="15" hidden="false" customHeight="false" outlineLevel="0" collapsed="false">
      <c r="A24" s="20" t="n">
        <v>24</v>
      </c>
      <c r="B24" s="20" t="n">
        <v>2024</v>
      </c>
      <c r="C24" s="20" t="s">
        <v>192</v>
      </c>
      <c r="D24" s="20" t="s">
        <v>172</v>
      </c>
      <c r="E24" s="20" t="s">
        <v>221</v>
      </c>
      <c r="F24" s="20" t="s">
        <v>174</v>
      </c>
      <c r="G24" s="20" t="s">
        <v>186</v>
      </c>
      <c r="H24" s="25" t="n">
        <v>259000</v>
      </c>
      <c r="I24" s="20" t="s">
        <v>133</v>
      </c>
      <c r="J24" s="20" t="s">
        <v>212</v>
      </c>
      <c r="K24" s="26" t="n">
        <v>8387</v>
      </c>
      <c r="L24" s="26" t="n">
        <v>8958.33</v>
      </c>
      <c r="M24" s="26" t="n">
        <v>1791.67</v>
      </c>
      <c r="N24" s="26" t="n">
        <v>10750</v>
      </c>
      <c r="O24" s="26" t="n">
        <v>10750</v>
      </c>
      <c r="P24" s="26" t="n">
        <v>571</v>
      </c>
      <c r="Q24" s="27" t="n">
        <v>0.0681</v>
      </c>
      <c r="R24" s="38" t="n">
        <v>45429</v>
      </c>
      <c r="S24" s="38" t="n">
        <v>45470</v>
      </c>
      <c r="T24" s="25" t="n">
        <v>1</v>
      </c>
      <c r="U24" s="20" t="s">
        <v>164</v>
      </c>
      <c r="V24" s="20" t="s">
        <v>46</v>
      </c>
      <c r="W24" s="39" t="n">
        <f aca="false">IF(U24="SOLD",P24,"")</f>
        <v>571</v>
      </c>
      <c r="X24" s="40" t="n">
        <f aca="false">IF(U24="SOLD",Q24,"")</f>
        <v>0.0681</v>
      </c>
      <c r="Y24" s="10" t="str">
        <f aca="false">IF(U24="SOLD",TEXT(S24,"YYYY-MM"),"")</f>
        <v>2024-06</v>
      </c>
    </row>
    <row r="25" customFormat="false" ht="15" hidden="false" customHeight="false" outlineLevel="0" collapsed="false">
      <c r="A25" s="20" t="n">
        <v>25</v>
      </c>
      <c r="B25" s="20" t="n">
        <v>2024</v>
      </c>
      <c r="C25" s="20" t="s">
        <v>192</v>
      </c>
      <c r="D25" s="20" t="s">
        <v>172</v>
      </c>
      <c r="E25" s="20" t="s">
        <v>205</v>
      </c>
      <c r="F25" s="20" t="s">
        <v>194</v>
      </c>
      <c r="G25" s="20" t="s">
        <v>186</v>
      </c>
      <c r="H25" s="25" t="n">
        <v>188000</v>
      </c>
      <c r="I25" s="20" t="s">
        <v>132</v>
      </c>
      <c r="J25" s="20" t="s">
        <v>180</v>
      </c>
      <c r="K25" s="26" t="n">
        <v>8221</v>
      </c>
      <c r="L25" s="26" t="n">
        <v>7520</v>
      </c>
      <c r="M25" s="26" t="n">
        <v>0</v>
      </c>
      <c r="N25" s="26" t="n">
        <v>7520</v>
      </c>
      <c r="O25" s="26" t="n">
        <v>10000</v>
      </c>
      <c r="P25" s="26" t="n">
        <v>1779</v>
      </c>
      <c r="Q25" s="27" t="n">
        <v>0.2164</v>
      </c>
      <c r="R25" s="38" t="n">
        <v>45453</v>
      </c>
      <c r="S25" s="38" t="n">
        <v>45526</v>
      </c>
      <c r="T25" s="25" t="n">
        <v>43</v>
      </c>
      <c r="U25" s="20" t="s">
        <v>164</v>
      </c>
      <c r="V25" s="20" t="s">
        <v>46</v>
      </c>
      <c r="W25" s="39" t="n">
        <f aca="false">IF(U25="SOLD",P25,"")</f>
        <v>1779</v>
      </c>
      <c r="X25" s="40" t="n">
        <f aca="false">IF(U25="SOLD",Q25,"")</f>
        <v>0.2164</v>
      </c>
      <c r="Y25" s="10" t="str">
        <f aca="false">IF(U25="SOLD",TEXT(S25,"YYYY-MM"),"")</f>
        <v>2024-08</v>
      </c>
    </row>
    <row r="26" customFormat="false" ht="15" hidden="false" customHeight="false" outlineLevel="0" collapsed="false">
      <c r="A26" s="20" t="n">
        <v>26</v>
      </c>
      <c r="B26" s="20" t="n">
        <v>2024</v>
      </c>
      <c r="C26" s="20" t="s">
        <v>229</v>
      </c>
      <c r="D26" s="20" t="s">
        <v>185</v>
      </c>
      <c r="E26" s="20" t="s">
        <v>230</v>
      </c>
      <c r="F26" s="20" t="s">
        <v>231</v>
      </c>
      <c r="G26" s="20" t="s">
        <v>169</v>
      </c>
      <c r="H26" s="25" t="n">
        <v>144000</v>
      </c>
      <c r="I26" s="20" t="s">
        <v>133</v>
      </c>
      <c r="J26" s="20" t="s">
        <v>180</v>
      </c>
      <c r="K26" s="26" t="n">
        <v>18813.42</v>
      </c>
      <c r="L26" s="26" t="n">
        <v>15250</v>
      </c>
      <c r="M26" s="26" t="n">
        <v>3050</v>
      </c>
      <c r="N26" s="26" t="n">
        <v>18300</v>
      </c>
      <c r="O26" s="26" t="n">
        <v>20800</v>
      </c>
      <c r="P26" s="26" t="n">
        <v>1987</v>
      </c>
      <c r="Q26" s="27" t="n">
        <v>0.1056</v>
      </c>
      <c r="R26" s="38" t="n">
        <v>45456</v>
      </c>
      <c r="S26" s="38" t="n">
        <v>45476</v>
      </c>
      <c r="T26" s="25" t="n">
        <v>1</v>
      </c>
      <c r="U26" s="20" t="s">
        <v>164</v>
      </c>
      <c r="V26" s="20" t="s">
        <v>52</v>
      </c>
      <c r="W26" s="39" t="n">
        <f aca="false">IF(U26="SOLD",P26,"")</f>
        <v>1987</v>
      </c>
      <c r="X26" s="40" t="n">
        <f aca="false">IF(U26="SOLD",Q26,"")</f>
        <v>0.1056</v>
      </c>
      <c r="Y26" s="10" t="str">
        <f aca="false">IF(U26="SOLD",TEXT(S26,"YYYY-MM"),"")</f>
        <v>2024-07</v>
      </c>
    </row>
    <row r="27" customFormat="false" ht="15" hidden="false" customHeight="false" outlineLevel="0" collapsed="false">
      <c r="A27" s="20" t="n">
        <v>27</v>
      </c>
      <c r="B27" s="20" t="n">
        <v>2024</v>
      </c>
      <c r="C27" s="20" t="s">
        <v>171</v>
      </c>
      <c r="D27" s="20" t="s">
        <v>172</v>
      </c>
      <c r="E27" s="20" t="s">
        <v>232</v>
      </c>
      <c r="F27" s="20" t="s">
        <v>174</v>
      </c>
      <c r="G27" s="20" t="s">
        <v>169</v>
      </c>
      <c r="H27" s="25" t="n">
        <v>186000</v>
      </c>
      <c r="I27" s="20" t="s">
        <v>133</v>
      </c>
      <c r="J27" s="20" t="s">
        <v>170</v>
      </c>
      <c r="K27" s="26" t="n">
        <v>9880.5</v>
      </c>
      <c r="L27" s="26" t="n">
        <v>11250</v>
      </c>
      <c r="M27" s="26" t="n">
        <v>2250</v>
      </c>
      <c r="N27" s="26" t="n">
        <v>13500</v>
      </c>
      <c r="O27" s="26" t="n">
        <v>16200</v>
      </c>
      <c r="P27" s="26" t="n">
        <v>4070</v>
      </c>
      <c r="Q27" s="27" t="n">
        <v>0.4119</v>
      </c>
      <c r="R27" s="38" t="n">
        <v>45457</v>
      </c>
      <c r="S27" s="38" t="n">
        <v>45527</v>
      </c>
      <c r="T27" s="25" t="n">
        <v>23</v>
      </c>
      <c r="U27" s="20" t="s">
        <v>164</v>
      </c>
      <c r="V27" s="20" t="s">
        <v>51</v>
      </c>
      <c r="W27" s="39" t="n">
        <f aca="false">IF(U27="SOLD",P27,"")</f>
        <v>4070</v>
      </c>
      <c r="X27" s="40" t="n">
        <f aca="false">IF(U27="SOLD",Q27,"")</f>
        <v>0.4119</v>
      </c>
      <c r="Y27" s="10" t="str">
        <f aca="false">IF(U27="SOLD",TEXT(S27,"YYYY-MM"),"")</f>
        <v>2024-08</v>
      </c>
    </row>
    <row r="28" customFormat="false" ht="15" hidden="false" customHeight="false" outlineLevel="0" collapsed="false">
      <c r="A28" s="20" t="n">
        <v>28</v>
      </c>
      <c r="B28" s="20" t="n">
        <v>2024</v>
      </c>
      <c r="C28" s="20" t="s">
        <v>56</v>
      </c>
      <c r="D28" s="20" t="s">
        <v>172</v>
      </c>
      <c r="E28" s="20" t="s">
        <v>189</v>
      </c>
      <c r="F28" s="20" t="s">
        <v>210</v>
      </c>
      <c r="G28" s="20" t="s">
        <v>233</v>
      </c>
      <c r="H28" s="25" t="n">
        <v>155000</v>
      </c>
      <c r="I28" s="20" t="s">
        <v>132</v>
      </c>
      <c r="J28" s="20" t="s">
        <v>207</v>
      </c>
      <c r="K28" s="26" t="n">
        <v>10145</v>
      </c>
      <c r="L28" s="26" t="n">
        <v>10117</v>
      </c>
      <c r="M28" s="26" t="n">
        <v>133</v>
      </c>
      <c r="N28" s="26" t="n">
        <v>10250</v>
      </c>
      <c r="O28" s="26" t="n">
        <v>12700</v>
      </c>
      <c r="P28" s="26" t="n">
        <v>2555</v>
      </c>
      <c r="Q28" s="27" t="n">
        <v>0.2518</v>
      </c>
      <c r="R28" s="38" t="n">
        <v>45462</v>
      </c>
      <c r="S28" s="38" t="n">
        <v>45514</v>
      </c>
      <c r="T28" s="25" t="n">
        <v>10</v>
      </c>
      <c r="U28" s="20" t="s">
        <v>164</v>
      </c>
      <c r="V28" s="20" t="s">
        <v>56</v>
      </c>
      <c r="W28" s="39" t="n">
        <f aca="false">IF(U28="SOLD",P28,"")</f>
        <v>2555</v>
      </c>
      <c r="X28" s="40" t="n">
        <f aca="false">IF(U28="SOLD",Q28,"")</f>
        <v>0.2518</v>
      </c>
      <c r="Y28" s="10" t="str">
        <f aca="false">IF(U28="SOLD",TEXT(S28,"YYYY-MM"),"")</f>
        <v>2024-08</v>
      </c>
    </row>
    <row r="29" customFormat="false" ht="15" hidden="false" customHeight="false" outlineLevel="0" collapsed="false">
      <c r="A29" s="20" t="n">
        <v>29</v>
      </c>
      <c r="B29" s="20" t="n">
        <v>2024</v>
      </c>
      <c r="C29" s="20" t="s">
        <v>187</v>
      </c>
      <c r="D29" s="20" t="s">
        <v>188</v>
      </c>
      <c r="E29" s="20" t="s">
        <v>234</v>
      </c>
      <c r="F29" s="20" t="s">
        <v>174</v>
      </c>
      <c r="G29" s="20" t="s">
        <v>186</v>
      </c>
      <c r="H29" s="25" t="n">
        <v>163000</v>
      </c>
      <c r="I29" s="20" t="s">
        <v>132</v>
      </c>
      <c r="J29" s="20" t="s">
        <v>190</v>
      </c>
      <c r="K29" s="26" t="n">
        <v>12482.5</v>
      </c>
      <c r="L29" s="26" t="n">
        <v>12436.5</v>
      </c>
      <c r="M29" s="26" t="n">
        <v>63.5</v>
      </c>
      <c r="N29" s="26" t="n">
        <v>12500</v>
      </c>
      <c r="O29" s="26" t="n">
        <v>16000</v>
      </c>
      <c r="P29" s="26" t="n">
        <v>3518</v>
      </c>
      <c r="Q29" s="27" t="n">
        <v>0.2818</v>
      </c>
      <c r="R29" s="38" t="n">
        <v>45467</v>
      </c>
      <c r="S29" s="38" t="n">
        <v>45523</v>
      </c>
      <c r="T29" s="25" t="n">
        <v>19</v>
      </c>
      <c r="U29" s="20" t="s">
        <v>164</v>
      </c>
      <c r="V29" s="20" t="s">
        <v>47</v>
      </c>
      <c r="W29" s="39" t="n">
        <f aca="false">IF(U29="SOLD",P29,"")</f>
        <v>3518</v>
      </c>
      <c r="X29" s="40" t="n">
        <f aca="false">IF(U29="SOLD",Q29,"")</f>
        <v>0.2818</v>
      </c>
      <c r="Y29" s="10" t="str">
        <f aca="false">IF(U29="SOLD",TEXT(S29,"YYYY-MM"),"")</f>
        <v>2024-08</v>
      </c>
    </row>
    <row r="30" customFormat="false" ht="15" hidden="false" customHeight="false" outlineLevel="0" collapsed="false">
      <c r="A30" s="20" t="n">
        <v>30</v>
      </c>
      <c r="B30" s="20" t="n">
        <v>2024</v>
      </c>
      <c r="C30" s="20" t="s">
        <v>192</v>
      </c>
      <c r="D30" s="20" t="s">
        <v>181</v>
      </c>
      <c r="E30" s="20" t="s">
        <v>235</v>
      </c>
      <c r="F30" s="20" t="s">
        <v>194</v>
      </c>
      <c r="G30" s="20" t="s">
        <v>169</v>
      </c>
      <c r="H30" s="25" t="n">
        <v>166700</v>
      </c>
      <c r="I30" s="20" t="s">
        <v>133</v>
      </c>
      <c r="J30" s="20" t="s">
        <v>170</v>
      </c>
      <c r="K30" s="26" t="n">
        <v>8750.67</v>
      </c>
      <c r="L30" s="26" t="n">
        <v>7083.33</v>
      </c>
      <c r="M30" s="26" t="n">
        <v>1416.67</v>
      </c>
      <c r="N30" s="26" t="n">
        <v>8500</v>
      </c>
      <c r="O30" s="26" t="n">
        <v>9700</v>
      </c>
      <c r="P30" s="26" t="n">
        <v>750</v>
      </c>
      <c r="Q30" s="27" t="n">
        <v>0.0857</v>
      </c>
      <c r="R30" s="38" t="n">
        <v>45476</v>
      </c>
      <c r="S30" s="38" t="n">
        <v>45605</v>
      </c>
      <c r="T30" s="25" t="n">
        <v>101</v>
      </c>
      <c r="U30" s="20" t="s">
        <v>164</v>
      </c>
      <c r="V30" s="20" t="s">
        <v>46</v>
      </c>
      <c r="W30" s="39" t="n">
        <f aca="false">IF(U30="SOLD",P30,"")</f>
        <v>750</v>
      </c>
      <c r="X30" s="40" t="n">
        <f aca="false">IF(U30="SOLD",Q30,"")</f>
        <v>0.0857</v>
      </c>
      <c r="Y30" s="10" t="str">
        <f aca="false">IF(U30="SOLD",TEXT(S30,"YYYY-MM"),"")</f>
        <v>2024-11</v>
      </c>
    </row>
    <row r="31" customFormat="false" ht="15" hidden="false" customHeight="false" outlineLevel="0" collapsed="false">
      <c r="A31" s="20" t="n">
        <v>31</v>
      </c>
      <c r="B31" s="20" t="n">
        <v>2024</v>
      </c>
      <c r="C31" s="20" t="s">
        <v>66</v>
      </c>
      <c r="D31" s="20" t="s">
        <v>236</v>
      </c>
      <c r="E31" s="20" t="s">
        <v>237</v>
      </c>
      <c r="F31" s="20" t="s">
        <v>238</v>
      </c>
      <c r="G31" s="20" t="s">
        <v>239</v>
      </c>
      <c r="H31" s="25" t="n">
        <v>157200</v>
      </c>
      <c r="I31" s="20" t="s">
        <v>133</v>
      </c>
      <c r="J31" s="20" t="s">
        <v>190</v>
      </c>
      <c r="K31" s="26" t="n">
        <v>14740</v>
      </c>
      <c r="L31" s="26" t="n">
        <v>16869.92</v>
      </c>
      <c r="M31" s="26" t="n">
        <v>3880.08</v>
      </c>
      <c r="N31" s="26" t="n">
        <v>20750</v>
      </c>
      <c r="O31" s="26" t="n">
        <v>20750</v>
      </c>
      <c r="P31" s="26" t="n">
        <v>2130</v>
      </c>
      <c r="Q31" s="27" t="n">
        <v>0.1445</v>
      </c>
      <c r="R31" s="38" t="n">
        <v>45484</v>
      </c>
      <c r="S31" s="38" t="n">
        <v>45706</v>
      </c>
      <c r="T31" s="25" t="n">
        <v>169</v>
      </c>
      <c r="U31" s="20" t="s">
        <v>164</v>
      </c>
      <c r="V31" s="20" t="s">
        <v>66</v>
      </c>
      <c r="W31" s="39" t="n">
        <f aca="false">IF(U31="SOLD",P31,"")</f>
        <v>2130</v>
      </c>
      <c r="X31" s="40" t="n">
        <f aca="false">IF(U31="SOLD",Q31,"")</f>
        <v>0.1445</v>
      </c>
      <c r="Y31" s="10" t="str">
        <f aca="false">IF(U31="SOLD",TEXT(S31,"YYYY-MM"),"")</f>
        <v>2025-02</v>
      </c>
    </row>
    <row r="32" customFormat="false" ht="15" hidden="false" customHeight="false" outlineLevel="0" collapsed="false">
      <c r="A32" s="20" t="n">
        <v>32</v>
      </c>
      <c r="B32" s="20" t="n">
        <v>2024</v>
      </c>
      <c r="C32" s="20" t="s">
        <v>187</v>
      </c>
      <c r="D32" s="20" t="s">
        <v>188</v>
      </c>
      <c r="E32" s="20" t="s">
        <v>240</v>
      </c>
      <c r="F32" s="20" t="s">
        <v>174</v>
      </c>
      <c r="G32" s="20" t="s">
        <v>186</v>
      </c>
      <c r="H32" s="25" t="n">
        <v>174500</v>
      </c>
      <c r="I32" s="20" t="s">
        <v>132</v>
      </c>
      <c r="J32" s="20" t="s">
        <v>180</v>
      </c>
      <c r="K32" s="26" t="n">
        <v>13121.67</v>
      </c>
      <c r="L32" s="26" t="n">
        <v>15124.33</v>
      </c>
      <c r="M32" s="26" t="n">
        <v>575.67</v>
      </c>
      <c r="N32" s="26" t="n">
        <v>15700</v>
      </c>
      <c r="O32" s="26" t="n">
        <v>15700</v>
      </c>
      <c r="P32" s="26" t="n">
        <v>2578</v>
      </c>
      <c r="Q32" s="27" t="n">
        <v>0.1965</v>
      </c>
      <c r="R32" s="38" t="n">
        <v>45483</v>
      </c>
      <c r="S32" s="38" t="n">
        <v>45527</v>
      </c>
      <c r="T32" s="25" t="n">
        <v>8</v>
      </c>
      <c r="U32" s="20" t="s">
        <v>164</v>
      </c>
      <c r="V32" s="20" t="s">
        <v>47</v>
      </c>
      <c r="W32" s="39" t="n">
        <f aca="false">IF(U32="SOLD",P32,"")</f>
        <v>2578</v>
      </c>
      <c r="X32" s="40" t="n">
        <f aca="false">IF(U32="SOLD",Q32,"")</f>
        <v>0.1965</v>
      </c>
      <c r="Y32" s="10" t="str">
        <f aca="false">IF(U32="SOLD",TEXT(S32,"YYYY-MM"),"")</f>
        <v>2024-08</v>
      </c>
    </row>
    <row r="33" customFormat="false" ht="15" hidden="false" customHeight="false" outlineLevel="0" collapsed="false">
      <c r="A33" s="20" t="n">
        <v>33</v>
      </c>
      <c r="B33" s="20" t="n">
        <v>2024</v>
      </c>
      <c r="C33" s="20" t="s">
        <v>71</v>
      </c>
      <c r="D33" s="20" t="s">
        <v>241</v>
      </c>
      <c r="E33" s="20" t="s">
        <v>242</v>
      </c>
      <c r="F33" s="20" t="s">
        <v>243</v>
      </c>
      <c r="G33" s="20" t="s">
        <v>244</v>
      </c>
      <c r="H33" s="25" t="n">
        <v>208900</v>
      </c>
      <c r="I33" s="20" t="s">
        <v>132</v>
      </c>
      <c r="J33" s="20" t="s">
        <v>190</v>
      </c>
      <c r="K33" s="26" t="n">
        <v>7780.83</v>
      </c>
      <c r="L33" s="26" t="n">
        <v>7334.17</v>
      </c>
      <c r="M33" s="26" t="n">
        <v>65.83</v>
      </c>
      <c r="N33" s="26" t="n">
        <v>7400</v>
      </c>
      <c r="O33" s="26" t="n">
        <v>9300</v>
      </c>
      <c r="P33" s="26" t="n">
        <v>1519</v>
      </c>
      <c r="Q33" s="27" t="n">
        <v>0.1952</v>
      </c>
      <c r="R33" s="38" t="n">
        <v>45514</v>
      </c>
      <c r="S33" s="38" t="n">
        <v>45580</v>
      </c>
      <c r="T33" s="25" t="n">
        <v>20</v>
      </c>
      <c r="U33" s="20" t="s">
        <v>164</v>
      </c>
      <c r="V33" s="20" t="s">
        <v>71</v>
      </c>
      <c r="W33" s="39" t="n">
        <f aca="false">IF(U33="SOLD",P33,"")</f>
        <v>1519</v>
      </c>
      <c r="X33" s="40" t="n">
        <f aca="false">IF(U33="SOLD",Q33,"")</f>
        <v>0.1952</v>
      </c>
      <c r="Y33" s="10" t="str">
        <f aca="false">IF(U33="SOLD",TEXT(S33,"YYYY-MM"),"")</f>
        <v>2024-10</v>
      </c>
    </row>
    <row r="34" customFormat="false" ht="15" hidden="false" customHeight="false" outlineLevel="0" collapsed="false">
      <c r="A34" s="20" t="n">
        <v>34</v>
      </c>
      <c r="B34" s="20" t="n">
        <v>2024</v>
      </c>
      <c r="C34" s="20" t="s">
        <v>245</v>
      </c>
      <c r="D34" s="20" t="s">
        <v>196</v>
      </c>
      <c r="E34" s="20" t="s">
        <v>246</v>
      </c>
      <c r="F34" s="20" t="s">
        <v>174</v>
      </c>
      <c r="G34" s="20" t="s">
        <v>169</v>
      </c>
      <c r="H34" s="25" t="n">
        <v>139300</v>
      </c>
      <c r="I34" s="20" t="s">
        <v>133</v>
      </c>
      <c r="J34" s="20" t="s">
        <v>170</v>
      </c>
      <c r="K34" s="26" t="n">
        <v>9470</v>
      </c>
      <c r="L34" s="26" t="n">
        <v>11750</v>
      </c>
      <c r="M34" s="26" t="n">
        <v>2350</v>
      </c>
      <c r="N34" s="26" t="n">
        <v>14100</v>
      </c>
      <c r="O34" s="26" t="n">
        <v>14100</v>
      </c>
      <c r="P34" s="26" t="n">
        <v>2280</v>
      </c>
      <c r="Q34" s="27" t="n">
        <v>0.2408</v>
      </c>
      <c r="R34" s="38" t="n">
        <v>45517</v>
      </c>
      <c r="S34" s="38" t="n">
        <v>45596</v>
      </c>
      <c r="T34" s="25" t="n">
        <v>49</v>
      </c>
      <c r="U34" s="20" t="s">
        <v>164</v>
      </c>
      <c r="V34" s="20" t="s">
        <v>50</v>
      </c>
      <c r="W34" s="39" t="n">
        <f aca="false">IF(U34="SOLD",P34,"")</f>
        <v>2280</v>
      </c>
      <c r="X34" s="40" t="n">
        <f aca="false">IF(U34="SOLD",Q34,"")</f>
        <v>0.2408</v>
      </c>
      <c r="Y34" s="10" t="str">
        <f aca="false">IF(U34="SOLD",TEXT(S34,"YYYY-MM"),"")</f>
        <v>2024-10</v>
      </c>
    </row>
    <row r="35" customFormat="false" ht="15" hidden="false" customHeight="false" outlineLevel="0" collapsed="false">
      <c r="A35" s="20" t="n">
        <v>35</v>
      </c>
      <c r="B35" s="20" t="n">
        <v>2024</v>
      </c>
      <c r="C35" s="20" t="s">
        <v>171</v>
      </c>
      <c r="D35" s="20" t="s">
        <v>172</v>
      </c>
      <c r="E35" s="20" t="s">
        <v>247</v>
      </c>
      <c r="F35" s="20" t="s">
        <v>206</v>
      </c>
      <c r="G35" s="20" t="s">
        <v>169</v>
      </c>
      <c r="H35" s="25" t="n">
        <v>148700</v>
      </c>
      <c r="I35" s="20" t="s">
        <v>132</v>
      </c>
      <c r="J35" s="20" t="s">
        <v>248</v>
      </c>
      <c r="K35" s="26" t="n">
        <v>13751</v>
      </c>
      <c r="L35" s="26" t="n">
        <v>13698.83</v>
      </c>
      <c r="M35" s="26" t="n">
        <v>1.17</v>
      </c>
      <c r="N35" s="26" t="n">
        <v>13700</v>
      </c>
      <c r="O35" s="26" t="n">
        <v>15300</v>
      </c>
      <c r="P35" s="26" t="n">
        <v>1549</v>
      </c>
      <c r="Q35" s="27" t="n">
        <v>0.1126</v>
      </c>
      <c r="R35" s="38" t="n">
        <v>45518</v>
      </c>
      <c r="S35" s="38" t="n">
        <v>45532</v>
      </c>
      <c r="T35" s="25" t="n">
        <v>1</v>
      </c>
      <c r="U35" s="20" t="s">
        <v>164</v>
      </c>
      <c r="V35" s="20" t="s">
        <v>51</v>
      </c>
      <c r="W35" s="39" t="n">
        <f aca="false">IF(U35="SOLD",P35,"")</f>
        <v>1549</v>
      </c>
      <c r="X35" s="40" t="n">
        <f aca="false">IF(U35="SOLD",Q35,"")</f>
        <v>0.1126</v>
      </c>
      <c r="Y35" s="10" t="str">
        <f aca="false">IF(U35="SOLD",TEXT(S35,"YYYY-MM"),"")</f>
        <v>2024-08</v>
      </c>
    </row>
    <row r="36" customFormat="false" ht="15" hidden="false" customHeight="false" outlineLevel="0" collapsed="false">
      <c r="A36" s="20" t="n">
        <v>36</v>
      </c>
      <c r="B36" s="20" t="n">
        <v>2024</v>
      </c>
      <c r="C36" s="20" t="s">
        <v>229</v>
      </c>
      <c r="D36" s="20" t="s">
        <v>196</v>
      </c>
      <c r="E36" s="20" t="s">
        <v>201</v>
      </c>
      <c r="F36" s="20" t="s">
        <v>174</v>
      </c>
      <c r="G36" s="20" t="s">
        <v>186</v>
      </c>
      <c r="H36" s="25" t="n">
        <v>195700</v>
      </c>
      <c r="I36" s="20" t="s">
        <v>132</v>
      </c>
      <c r="J36" s="20" t="s">
        <v>180</v>
      </c>
      <c r="K36" s="26" t="n">
        <v>11606.67</v>
      </c>
      <c r="L36" s="26" t="n">
        <v>13333.33</v>
      </c>
      <c r="M36" s="26" t="n">
        <v>516.67</v>
      </c>
      <c r="N36" s="26" t="n">
        <v>13850</v>
      </c>
      <c r="O36" s="26" t="n">
        <v>13850</v>
      </c>
      <c r="P36" s="26" t="n">
        <v>2243</v>
      </c>
      <c r="Q36" s="27" t="n">
        <v>0.1933</v>
      </c>
      <c r="R36" s="38" t="n">
        <v>45530</v>
      </c>
      <c r="S36" s="38" t="n">
        <v>45593</v>
      </c>
      <c r="T36" s="25" t="n">
        <v>46</v>
      </c>
      <c r="U36" s="20" t="s">
        <v>164</v>
      </c>
      <c r="V36" s="20" t="s">
        <v>52</v>
      </c>
      <c r="W36" s="39" t="n">
        <f aca="false">IF(U36="SOLD",P36,"")</f>
        <v>2243</v>
      </c>
      <c r="X36" s="40" t="n">
        <f aca="false">IF(U36="SOLD",Q36,"")</f>
        <v>0.1933</v>
      </c>
      <c r="Y36" s="10" t="str">
        <f aca="false">IF(U36="SOLD",TEXT(S36,"YYYY-MM"),"")</f>
        <v>2024-10</v>
      </c>
    </row>
    <row r="37" customFormat="false" ht="15" hidden="false" customHeight="false" outlineLevel="0" collapsed="false">
      <c r="A37" s="20" t="n">
        <v>37</v>
      </c>
      <c r="B37" s="20" t="n">
        <v>2024</v>
      </c>
      <c r="C37" s="20" t="s">
        <v>192</v>
      </c>
      <c r="D37" s="20" t="s">
        <v>181</v>
      </c>
      <c r="E37" s="20" t="s">
        <v>249</v>
      </c>
      <c r="F37" s="20" t="s">
        <v>250</v>
      </c>
      <c r="G37" s="20" t="s">
        <v>233</v>
      </c>
      <c r="H37" s="25" t="n">
        <v>176100</v>
      </c>
      <c r="I37" s="20" t="s">
        <v>133</v>
      </c>
      <c r="J37" s="20" t="s">
        <v>180</v>
      </c>
      <c r="K37" s="26" t="n">
        <v>7566</v>
      </c>
      <c r="L37" s="26" t="n">
        <v>7250</v>
      </c>
      <c r="M37" s="26" t="n">
        <v>1450</v>
      </c>
      <c r="N37" s="26" t="n">
        <v>8700</v>
      </c>
      <c r="O37" s="26" t="n">
        <v>9980</v>
      </c>
      <c r="P37" s="26" t="n">
        <v>964</v>
      </c>
      <c r="Q37" s="27" t="n">
        <v>0.1274</v>
      </c>
      <c r="R37" s="38" t="n">
        <v>45532</v>
      </c>
      <c r="S37" s="38" t="n">
        <v>45639</v>
      </c>
      <c r="T37" s="25" t="n">
        <v>79</v>
      </c>
      <c r="U37" s="20" t="s">
        <v>164</v>
      </c>
      <c r="V37" s="20" t="s">
        <v>46</v>
      </c>
      <c r="W37" s="39" t="n">
        <f aca="false">IF(U37="SOLD",P37,"")</f>
        <v>964</v>
      </c>
      <c r="X37" s="40" t="n">
        <f aca="false">IF(U37="SOLD",Q37,"")</f>
        <v>0.1274</v>
      </c>
      <c r="Y37" s="10" t="str">
        <f aca="false">IF(U37="SOLD",TEXT(S37,"YYYY-MM"),"")</f>
        <v>2024-12</v>
      </c>
    </row>
    <row r="38" customFormat="false" ht="15" hidden="false" customHeight="false" outlineLevel="0" collapsed="false">
      <c r="A38" s="20" t="n">
        <v>38</v>
      </c>
      <c r="B38" s="20" t="n">
        <v>2024</v>
      </c>
      <c r="C38" s="20" t="s">
        <v>192</v>
      </c>
      <c r="D38" s="20" t="s">
        <v>181</v>
      </c>
      <c r="E38" s="20" t="s">
        <v>237</v>
      </c>
      <c r="F38" s="20" t="s">
        <v>250</v>
      </c>
      <c r="G38" s="20" t="s">
        <v>169</v>
      </c>
      <c r="H38" s="25" t="n">
        <v>113100</v>
      </c>
      <c r="I38" s="20" t="s">
        <v>132</v>
      </c>
      <c r="J38" s="20" t="s">
        <v>190</v>
      </c>
      <c r="K38" s="26" t="n">
        <v>9985</v>
      </c>
      <c r="L38" s="26" t="n">
        <v>11367</v>
      </c>
      <c r="M38" s="26" t="n">
        <v>433</v>
      </c>
      <c r="N38" s="26" t="n">
        <v>11800</v>
      </c>
      <c r="O38" s="26" t="n">
        <v>12000</v>
      </c>
      <c r="P38" s="26" t="n">
        <v>2015</v>
      </c>
      <c r="Q38" s="27" t="n">
        <v>0.2018</v>
      </c>
      <c r="R38" s="38" t="n">
        <v>45534</v>
      </c>
      <c r="S38" s="38" t="n">
        <v>45615</v>
      </c>
      <c r="T38" s="25" t="n">
        <v>49</v>
      </c>
      <c r="U38" s="20" t="s">
        <v>164</v>
      </c>
      <c r="V38" s="20" t="s">
        <v>46</v>
      </c>
      <c r="W38" s="39" t="n">
        <f aca="false">IF(U38="SOLD",P38,"")</f>
        <v>2015</v>
      </c>
      <c r="X38" s="40" t="n">
        <f aca="false">IF(U38="SOLD",Q38,"")</f>
        <v>0.2018</v>
      </c>
      <c r="Y38" s="10" t="str">
        <f aca="false">IF(U38="SOLD",TEXT(S38,"YYYY-MM"),"")</f>
        <v>2024-11</v>
      </c>
    </row>
    <row r="39" customFormat="false" ht="15" hidden="false" customHeight="false" outlineLevel="0" collapsed="false">
      <c r="A39" s="20" t="n">
        <v>39</v>
      </c>
      <c r="B39" s="20" t="n">
        <v>2024</v>
      </c>
      <c r="C39" s="20" t="s">
        <v>251</v>
      </c>
      <c r="D39" s="20" t="s">
        <v>252</v>
      </c>
      <c r="E39" s="20" t="s">
        <v>253</v>
      </c>
      <c r="F39" s="20" t="s">
        <v>174</v>
      </c>
      <c r="G39" s="20" t="s">
        <v>169</v>
      </c>
      <c r="H39" s="25" t="n">
        <v>197800</v>
      </c>
      <c r="I39" s="20" t="s">
        <v>133</v>
      </c>
      <c r="J39" s="20" t="s">
        <v>254</v>
      </c>
      <c r="K39" s="26" t="n">
        <v>7180</v>
      </c>
      <c r="L39" s="26" t="n">
        <v>8750</v>
      </c>
      <c r="M39" s="26" t="n">
        <v>1750</v>
      </c>
      <c r="N39" s="26" t="n">
        <v>10500</v>
      </c>
      <c r="O39" s="26" t="n">
        <v>10500</v>
      </c>
      <c r="P39" s="26" t="n">
        <v>1570</v>
      </c>
      <c r="Q39" s="27" t="n">
        <v>0.2187</v>
      </c>
      <c r="R39" s="38" t="n">
        <v>45537</v>
      </c>
      <c r="S39" s="38" t="n">
        <v>45640</v>
      </c>
      <c r="T39" s="25" t="n">
        <v>75</v>
      </c>
      <c r="U39" s="20" t="s">
        <v>164</v>
      </c>
      <c r="V39" s="20" t="s">
        <v>55</v>
      </c>
      <c r="W39" s="39" t="n">
        <f aca="false">IF(U39="SOLD",P39,"")</f>
        <v>1570</v>
      </c>
      <c r="X39" s="40" t="n">
        <f aca="false">IF(U39="SOLD",Q39,"")</f>
        <v>0.2187</v>
      </c>
      <c r="Y39" s="10" t="str">
        <f aca="false">IF(U39="SOLD",TEXT(S39,"YYYY-MM"),"")</f>
        <v>2024-12</v>
      </c>
    </row>
    <row r="40" customFormat="false" ht="15" hidden="false" customHeight="false" outlineLevel="0" collapsed="false">
      <c r="A40" s="20" t="n">
        <v>40</v>
      </c>
      <c r="B40" s="20" t="n">
        <v>2024</v>
      </c>
      <c r="C40" s="20" t="s">
        <v>187</v>
      </c>
      <c r="D40" s="20" t="s">
        <v>188</v>
      </c>
      <c r="E40" s="20" t="s">
        <v>234</v>
      </c>
      <c r="F40" s="20" t="s">
        <v>174</v>
      </c>
      <c r="G40" s="20" t="s">
        <v>186</v>
      </c>
      <c r="H40" s="25" t="n">
        <v>175900</v>
      </c>
      <c r="I40" s="20" t="s">
        <v>132</v>
      </c>
      <c r="J40" s="20" t="s">
        <v>190</v>
      </c>
      <c r="K40" s="26" t="n">
        <v>12454.17</v>
      </c>
      <c r="L40" s="26" t="n">
        <v>12490.83</v>
      </c>
      <c r="M40" s="26" t="n">
        <v>9.17</v>
      </c>
      <c r="N40" s="26" t="n">
        <v>12500</v>
      </c>
      <c r="O40" s="26" t="n">
        <v>14000</v>
      </c>
      <c r="P40" s="26" t="n">
        <v>1546</v>
      </c>
      <c r="Q40" s="27" t="n">
        <v>0.1241</v>
      </c>
      <c r="R40" s="38" t="n">
        <v>45537</v>
      </c>
      <c r="S40" s="38" t="n">
        <v>45640</v>
      </c>
      <c r="T40" s="25" t="n">
        <v>55</v>
      </c>
      <c r="U40" s="20" t="s">
        <v>164</v>
      </c>
      <c r="V40" s="20" t="s">
        <v>47</v>
      </c>
      <c r="W40" s="39" t="n">
        <f aca="false">IF(U40="SOLD",P40,"")</f>
        <v>1546</v>
      </c>
      <c r="X40" s="40" t="n">
        <f aca="false">IF(U40="SOLD",Q40,"")</f>
        <v>0.1241</v>
      </c>
      <c r="Y40" s="10" t="str">
        <f aca="false">IF(U40="SOLD",TEXT(S40,"YYYY-MM"),"")</f>
        <v>2024-12</v>
      </c>
    </row>
    <row r="41" customFormat="false" ht="15" hidden="false" customHeight="false" outlineLevel="0" collapsed="false">
      <c r="A41" s="20" t="n">
        <v>41</v>
      </c>
      <c r="B41" s="20" t="n">
        <v>2024</v>
      </c>
      <c r="C41" s="20" t="s">
        <v>229</v>
      </c>
      <c r="D41" s="20" t="s">
        <v>196</v>
      </c>
      <c r="E41" s="20" t="s">
        <v>255</v>
      </c>
      <c r="F41" s="20" t="s">
        <v>174</v>
      </c>
      <c r="G41" s="20" t="s">
        <v>175</v>
      </c>
      <c r="H41" s="25" t="n">
        <v>178900</v>
      </c>
      <c r="I41" s="20" t="s">
        <v>133</v>
      </c>
      <c r="J41" s="20" t="s">
        <v>212</v>
      </c>
      <c r="K41" s="26" t="n">
        <v>9275</v>
      </c>
      <c r="L41" s="26" t="n">
        <v>10568.29</v>
      </c>
      <c r="M41" s="26" t="n">
        <v>2430.71</v>
      </c>
      <c r="N41" s="26" t="n">
        <v>12999</v>
      </c>
      <c r="O41" s="26" t="n">
        <v>12999</v>
      </c>
      <c r="P41" s="26" t="n">
        <v>1293</v>
      </c>
      <c r="Q41" s="27" t="n">
        <v>0.1394</v>
      </c>
      <c r="R41" s="38" t="n">
        <v>45541</v>
      </c>
      <c r="S41" s="38" t="n">
        <v>45668</v>
      </c>
      <c r="T41" s="25" t="n">
        <v>108</v>
      </c>
      <c r="U41" s="20" t="s">
        <v>164</v>
      </c>
      <c r="V41" s="20" t="s">
        <v>52</v>
      </c>
      <c r="W41" s="39" t="n">
        <f aca="false">IF(U41="SOLD",P41,"")</f>
        <v>1293</v>
      </c>
      <c r="X41" s="40" t="n">
        <f aca="false">IF(U41="SOLD",Q41,"")</f>
        <v>0.1394</v>
      </c>
      <c r="Y41" s="10" t="str">
        <f aca="false">IF(U41="SOLD",TEXT(S41,"YYYY-MM"),"")</f>
        <v>2025-01</v>
      </c>
    </row>
    <row r="42" customFormat="false" ht="15" hidden="false" customHeight="false" outlineLevel="0" collapsed="false">
      <c r="A42" s="20" t="n">
        <v>42</v>
      </c>
      <c r="B42" s="20" t="n">
        <v>2024</v>
      </c>
      <c r="C42" s="20" t="s">
        <v>171</v>
      </c>
      <c r="D42" s="20" t="s">
        <v>172</v>
      </c>
      <c r="E42" s="20" t="s">
        <v>256</v>
      </c>
      <c r="F42" s="20" t="s">
        <v>174</v>
      </c>
      <c r="G42" s="20" t="s">
        <v>175</v>
      </c>
      <c r="H42" s="25" t="n">
        <v>185200</v>
      </c>
      <c r="I42" s="20" t="s">
        <v>132</v>
      </c>
      <c r="J42" s="20" t="s">
        <v>190</v>
      </c>
      <c r="K42" s="26" t="n">
        <v>12314.67</v>
      </c>
      <c r="L42" s="26" t="n">
        <v>11916.67</v>
      </c>
      <c r="M42" s="26" t="n">
        <v>414.67</v>
      </c>
      <c r="N42" s="26" t="n">
        <v>14300</v>
      </c>
      <c r="O42" s="26" t="n">
        <v>14300</v>
      </c>
      <c r="P42" s="26" t="n">
        <v>1985</v>
      </c>
      <c r="Q42" s="27" t="n">
        <v>0.1612</v>
      </c>
      <c r="R42" s="38" t="n">
        <v>45539</v>
      </c>
      <c r="S42" s="38" t="n">
        <v>45657</v>
      </c>
      <c r="T42" s="25" t="n">
        <v>91</v>
      </c>
      <c r="U42" s="20" t="s">
        <v>164</v>
      </c>
      <c r="V42" s="20" t="s">
        <v>51</v>
      </c>
      <c r="W42" s="39" t="n">
        <f aca="false">IF(U42="SOLD",P42,"")</f>
        <v>1985</v>
      </c>
      <c r="X42" s="40" t="n">
        <f aca="false">IF(U42="SOLD",Q42,"")</f>
        <v>0.1612</v>
      </c>
      <c r="Y42" s="10" t="str">
        <f aca="false">IF(U42="SOLD",TEXT(S42,"YYYY-MM"),"")</f>
        <v>2024-12</v>
      </c>
    </row>
    <row r="43" customFormat="false" ht="15" hidden="false" customHeight="false" outlineLevel="0" collapsed="false">
      <c r="A43" s="20" t="n">
        <v>43</v>
      </c>
      <c r="B43" s="20" t="n">
        <v>2024</v>
      </c>
      <c r="C43" s="20" t="s">
        <v>257</v>
      </c>
      <c r="D43" s="20" t="s">
        <v>258</v>
      </c>
      <c r="E43" s="20" t="s">
        <v>193</v>
      </c>
      <c r="F43" s="20" t="s">
        <v>259</v>
      </c>
      <c r="G43" s="20" t="s">
        <v>162</v>
      </c>
      <c r="H43" s="25" t="n">
        <v>169600</v>
      </c>
      <c r="I43" s="20" t="s">
        <v>133</v>
      </c>
      <c r="J43" s="20" t="s">
        <v>212</v>
      </c>
      <c r="K43" s="26" t="n">
        <v>12980</v>
      </c>
      <c r="L43" s="26" t="n">
        <v>14166.67</v>
      </c>
      <c r="M43" s="26" t="n">
        <v>2833.33</v>
      </c>
      <c r="N43" s="26" t="n">
        <v>17000</v>
      </c>
      <c r="O43" s="26" t="n">
        <v>18800</v>
      </c>
      <c r="P43" s="26" t="n">
        <v>2987</v>
      </c>
      <c r="Q43" s="27" t="n">
        <v>0.2301</v>
      </c>
      <c r="R43" s="38" t="n">
        <v>45548</v>
      </c>
      <c r="S43" s="38" t="n">
        <v>45639</v>
      </c>
      <c r="T43" s="25" t="n">
        <v>64</v>
      </c>
      <c r="U43" s="20" t="s">
        <v>164</v>
      </c>
      <c r="V43" s="20" t="s">
        <v>64</v>
      </c>
      <c r="W43" s="39" t="n">
        <f aca="false">IF(U43="SOLD",P43,"")</f>
        <v>2987</v>
      </c>
      <c r="X43" s="40" t="n">
        <f aca="false">IF(U43="SOLD",Q43,"")</f>
        <v>0.2301</v>
      </c>
      <c r="Y43" s="10" t="str">
        <f aca="false">IF(U43="SOLD",TEXT(S43,"YYYY-MM"),"")</f>
        <v>2024-12</v>
      </c>
    </row>
    <row r="44" customFormat="false" ht="15" hidden="false" customHeight="false" outlineLevel="0" collapsed="false">
      <c r="A44" s="20" t="n">
        <v>44</v>
      </c>
      <c r="B44" s="20" t="n">
        <v>2024</v>
      </c>
      <c r="C44" s="20" t="s">
        <v>225</v>
      </c>
      <c r="D44" s="20" t="s">
        <v>188</v>
      </c>
      <c r="E44" s="20" t="s">
        <v>260</v>
      </c>
      <c r="F44" s="20" t="s">
        <v>243</v>
      </c>
      <c r="G44" s="20" t="s">
        <v>261</v>
      </c>
      <c r="H44" s="25" t="n">
        <v>197800</v>
      </c>
      <c r="I44" s="20" t="s">
        <v>132</v>
      </c>
      <c r="J44" s="20" t="s">
        <v>180</v>
      </c>
      <c r="K44" s="26" t="n">
        <v>10681.67</v>
      </c>
      <c r="L44" s="26" t="n">
        <v>12688.33</v>
      </c>
      <c r="M44" s="26" t="n">
        <v>501.67</v>
      </c>
      <c r="N44" s="26" t="n">
        <v>13190</v>
      </c>
      <c r="O44" s="26" t="n">
        <v>13190</v>
      </c>
      <c r="P44" s="26" t="n">
        <v>2508</v>
      </c>
      <c r="Q44" s="27" t="n">
        <v>0.2348</v>
      </c>
      <c r="R44" s="38" t="n">
        <v>45554</v>
      </c>
      <c r="S44" s="38" t="n">
        <v>45607</v>
      </c>
      <c r="T44" s="25" t="n">
        <v>22</v>
      </c>
      <c r="U44" s="20" t="s">
        <v>164</v>
      </c>
      <c r="V44" s="20" t="s">
        <v>58</v>
      </c>
      <c r="W44" s="39" t="n">
        <f aca="false">IF(U44="SOLD",P44,"")</f>
        <v>2508</v>
      </c>
      <c r="X44" s="40" t="n">
        <f aca="false">IF(U44="SOLD",Q44,"")</f>
        <v>0.2348</v>
      </c>
      <c r="Y44" s="10" t="str">
        <f aca="false">IF(U44="SOLD",TEXT(S44,"YYYY-MM"),"")</f>
        <v>2024-11</v>
      </c>
    </row>
    <row r="45" customFormat="false" ht="15" hidden="false" customHeight="false" outlineLevel="0" collapsed="false">
      <c r="A45" s="20" t="n">
        <v>45</v>
      </c>
      <c r="B45" s="20" t="n">
        <v>2024</v>
      </c>
      <c r="C45" s="20" t="s">
        <v>48</v>
      </c>
      <c r="D45" s="20" t="s">
        <v>172</v>
      </c>
      <c r="E45" s="20" t="s">
        <v>262</v>
      </c>
      <c r="F45" s="20" t="s">
        <v>174</v>
      </c>
      <c r="G45" s="20" t="s">
        <v>263</v>
      </c>
      <c r="H45" s="25" t="n">
        <v>163600</v>
      </c>
      <c r="I45" s="20" t="s">
        <v>132</v>
      </c>
      <c r="J45" s="20" t="s">
        <v>180</v>
      </c>
      <c r="K45" s="26" t="n">
        <v>14120.83</v>
      </c>
      <c r="L45" s="26" t="n">
        <v>16346.17</v>
      </c>
      <c r="M45" s="26" t="n">
        <v>653.83</v>
      </c>
      <c r="N45" s="26" t="n">
        <v>17000</v>
      </c>
      <c r="O45" s="26" t="n">
        <v>17000</v>
      </c>
      <c r="P45" s="26" t="n">
        <v>2879</v>
      </c>
      <c r="Q45" s="27" t="n">
        <v>0.2039</v>
      </c>
      <c r="R45" s="38" t="n">
        <v>45566</v>
      </c>
      <c r="S45" s="38" t="n">
        <v>45619</v>
      </c>
      <c r="T45" s="25" t="n">
        <v>16</v>
      </c>
      <c r="U45" s="20" t="s">
        <v>164</v>
      </c>
      <c r="V45" s="20" t="s">
        <v>48</v>
      </c>
      <c r="W45" s="39" t="n">
        <f aca="false">IF(U45="SOLD",P45,"")</f>
        <v>2879</v>
      </c>
      <c r="X45" s="40" t="n">
        <f aca="false">IF(U45="SOLD",Q45,"")</f>
        <v>0.2039</v>
      </c>
      <c r="Y45" s="10" t="str">
        <f aca="false">IF(U45="SOLD",TEXT(S45,"YYYY-MM"),"")</f>
        <v>2024-11</v>
      </c>
    </row>
    <row r="46" customFormat="false" ht="15" hidden="false" customHeight="false" outlineLevel="0" collapsed="false">
      <c r="A46" s="20" t="n">
        <v>46</v>
      </c>
      <c r="B46" s="20" t="n">
        <v>2024</v>
      </c>
      <c r="C46" s="20" t="s">
        <v>70</v>
      </c>
      <c r="D46" s="20" t="s">
        <v>264</v>
      </c>
      <c r="E46" s="20" t="s">
        <v>265</v>
      </c>
      <c r="F46" s="20" t="s">
        <v>266</v>
      </c>
      <c r="G46" s="20" t="s">
        <v>169</v>
      </c>
      <c r="H46" s="25" t="n">
        <v>169700</v>
      </c>
      <c r="I46" s="20" t="s">
        <v>132</v>
      </c>
      <c r="J46" s="20" t="s">
        <v>248</v>
      </c>
      <c r="K46" s="26" t="n">
        <v>4975</v>
      </c>
      <c r="L46" s="26"/>
      <c r="M46" s="26"/>
      <c r="N46" s="26"/>
      <c r="O46" s="26" t="n">
        <v>6650</v>
      </c>
      <c r="P46" s="26" t="n">
        <v>1675</v>
      </c>
      <c r="Q46" s="27" t="n">
        <v>0.3367</v>
      </c>
      <c r="R46" s="38" t="n">
        <v>45572</v>
      </c>
      <c r="S46" s="38" t="n">
        <v>45610</v>
      </c>
      <c r="T46" s="25" t="n">
        <v>35</v>
      </c>
      <c r="U46" s="20" t="s">
        <v>164</v>
      </c>
      <c r="V46" s="20" t="s">
        <v>70</v>
      </c>
      <c r="W46" s="39" t="n">
        <f aca="false">IF(U46="SOLD",P46,"")</f>
        <v>1675</v>
      </c>
      <c r="X46" s="40" t="n">
        <f aca="false">IF(U46="SOLD",Q46,"")</f>
        <v>0.3367</v>
      </c>
      <c r="Y46" s="10" t="str">
        <f aca="false">IF(U46="SOLD",TEXT(S46,"YYYY-MM"),"")</f>
        <v>2024-11</v>
      </c>
    </row>
    <row r="47" customFormat="false" ht="15" hidden="false" customHeight="false" outlineLevel="0" collapsed="false">
      <c r="A47" s="20" t="n">
        <v>47</v>
      </c>
      <c r="B47" s="20" t="n">
        <v>2024</v>
      </c>
      <c r="C47" s="20" t="s">
        <v>192</v>
      </c>
      <c r="D47" s="20" t="s">
        <v>172</v>
      </c>
      <c r="E47" s="20" t="s">
        <v>267</v>
      </c>
      <c r="F47" s="20" t="s">
        <v>174</v>
      </c>
      <c r="G47" s="20" t="s">
        <v>169</v>
      </c>
      <c r="H47" s="25" t="n">
        <v>188600</v>
      </c>
      <c r="I47" s="20" t="s">
        <v>132</v>
      </c>
      <c r="J47" s="20" t="s">
        <v>248</v>
      </c>
      <c r="K47" s="26" t="n">
        <v>11332.67</v>
      </c>
      <c r="L47" s="26" t="n">
        <v>12344.33</v>
      </c>
      <c r="M47" s="26" t="n">
        <v>555.67</v>
      </c>
      <c r="N47" s="26" t="n">
        <v>12900</v>
      </c>
      <c r="O47" s="26" t="n">
        <v>13100</v>
      </c>
      <c r="P47" s="26" t="n">
        <v>1767</v>
      </c>
      <c r="Q47" s="27" t="n">
        <v>0.1559</v>
      </c>
      <c r="R47" s="38" t="n">
        <v>45582</v>
      </c>
      <c r="S47" s="38" t="n">
        <v>45620</v>
      </c>
      <c r="T47" s="25" t="n">
        <v>7</v>
      </c>
      <c r="U47" s="20" t="s">
        <v>164</v>
      </c>
      <c r="V47" s="20" t="s">
        <v>46</v>
      </c>
      <c r="W47" s="39" t="n">
        <f aca="false">IF(U47="SOLD",P47,"")</f>
        <v>1767</v>
      </c>
      <c r="X47" s="40" t="n">
        <f aca="false">IF(U47="SOLD",Q47,"")</f>
        <v>0.1559</v>
      </c>
      <c r="Y47" s="10" t="str">
        <f aca="false">IF(U47="SOLD",TEXT(S47,"YYYY-MM"),"")</f>
        <v>2024-11</v>
      </c>
    </row>
    <row r="48" customFormat="false" ht="15" hidden="false" customHeight="false" outlineLevel="0" collapsed="false">
      <c r="A48" s="20" t="n">
        <v>48</v>
      </c>
      <c r="B48" s="20" t="n">
        <v>2024</v>
      </c>
      <c r="C48" s="20" t="s">
        <v>187</v>
      </c>
      <c r="D48" s="20" t="s">
        <v>268</v>
      </c>
      <c r="E48" s="20" t="s">
        <v>269</v>
      </c>
      <c r="F48" s="20" t="s">
        <v>270</v>
      </c>
      <c r="G48" s="20" t="s">
        <v>186</v>
      </c>
      <c r="H48" s="25" t="n">
        <v>185800</v>
      </c>
      <c r="I48" s="20" t="s">
        <v>132</v>
      </c>
      <c r="J48" s="20" t="s">
        <v>170</v>
      </c>
      <c r="K48" s="26" t="n">
        <v>12498.33</v>
      </c>
      <c r="L48" s="26" t="n">
        <v>14229.67</v>
      </c>
      <c r="M48" s="26" t="n">
        <v>520.33</v>
      </c>
      <c r="N48" s="26" t="n">
        <v>14750</v>
      </c>
      <c r="O48" s="26" t="n">
        <v>14750</v>
      </c>
      <c r="P48" s="26" t="n">
        <v>2252</v>
      </c>
      <c r="Q48" s="27" t="n">
        <v>0.1802</v>
      </c>
      <c r="R48" s="38" t="n">
        <v>45597</v>
      </c>
      <c r="S48" s="38" t="n">
        <v>45634</v>
      </c>
      <c r="T48" s="25" t="n">
        <v>5</v>
      </c>
      <c r="U48" s="20" t="s">
        <v>164</v>
      </c>
      <c r="V48" s="20" t="s">
        <v>47</v>
      </c>
      <c r="W48" s="39" t="n">
        <f aca="false">IF(U48="SOLD",P48,"")</f>
        <v>2252</v>
      </c>
      <c r="X48" s="40" t="n">
        <f aca="false">IF(U48="SOLD",Q48,"")</f>
        <v>0.1802</v>
      </c>
      <c r="Y48" s="10" t="str">
        <f aca="false">IF(U48="SOLD",TEXT(S48,"YYYY-MM"),"")</f>
        <v>2024-12</v>
      </c>
    </row>
    <row r="49" customFormat="false" ht="15" hidden="false" customHeight="false" outlineLevel="0" collapsed="false">
      <c r="A49" s="20" t="n">
        <v>49</v>
      </c>
      <c r="B49" s="20" t="n">
        <v>2024</v>
      </c>
      <c r="C49" s="20" t="s">
        <v>192</v>
      </c>
      <c r="D49" s="20" t="s">
        <v>181</v>
      </c>
      <c r="E49" s="20" t="s">
        <v>204</v>
      </c>
      <c r="F49" s="20" t="s">
        <v>206</v>
      </c>
      <c r="G49" s="20" t="s">
        <v>169</v>
      </c>
      <c r="H49" s="25" t="n">
        <v>185200</v>
      </c>
      <c r="I49" s="20" t="s">
        <v>132</v>
      </c>
      <c r="J49" s="20" t="s">
        <v>170</v>
      </c>
      <c r="K49" s="26" t="n">
        <v>9410</v>
      </c>
      <c r="L49" s="26" t="n">
        <v>9043</v>
      </c>
      <c r="M49" s="26" t="n">
        <v>57</v>
      </c>
      <c r="N49" s="26" t="n">
        <v>9100</v>
      </c>
      <c r="O49" s="26" t="n">
        <v>12000</v>
      </c>
      <c r="P49" s="26" t="n">
        <v>2590</v>
      </c>
      <c r="Q49" s="27" t="n">
        <v>0.2752</v>
      </c>
      <c r="R49" s="38" t="n">
        <v>45600</v>
      </c>
      <c r="S49" s="38" t="n">
        <v>45649</v>
      </c>
      <c r="T49" s="25" t="n">
        <v>6</v>
      </c>
      <c r="U49" s="20" t="s">
        <v>164</v>
      </c>
      <c r="V49" s="20" t="s">
        <v>46</v>
      </c>
      <c r="W49" s="39" t="n">
        <f aca="false">IF(U49="SOLD",P49,"")</f>
        <v>2590</v>
      </c>
      <c r="X49" s="40" t="n">
        <f aca="false">IF(U49="SOLD",Q49,"")</f>
        <v>0.2752</v>
      </c>
      <c r="Y49" s="10" t="str">
        <f aca="false">IF(U49="SOLD",TEXT(S49,"YYYY-MM"),"")</f>
        <v>2024-12</v>
      </c>
    </row>
    <row r="50" customFormat="false" ht="15" hidden="false" customHeight="false" outlineLevel="0" collapsed="false">
      <c r="A50" s="20" t="n">
        <v>50</v>
      </c>
      <c r="B50" s="20" t="n">
        <v>2024</v>
      </c>
      <c r="C50" s="20" t="s">
        <v>57</v>
      </c>
      <c r="D50" s="20" t="s">
        <v>271</v>
      </c>
      <c r="E50" s="20" t="s">
        <v>237</v>
      </c>
      <c r="F50" s="20" t="s">
        <v>272</v>
      </c>
      <c r="G50" s="20" t="s">
        <v>179</v>
      </c>
      <c r="H50" s="25" t="n">
        <v>166200</v>
      </c>
      <c r="I50" s="20" t="s">
        <v>133</v>
      </c>
      <c r="J50" s="20" t="s">
        <v>212</v>
      </c>
      <c r="K50" s="26" t="n">
        <v>9640</v>
      </c>
      <c r="L50" s="26" t="n">
        <v>11491.67</v>
      </c>
      <c r="M50" s="26" t="n">
        <v>2578.62</v>
      </c>
      <c r="N50" s="26" t="n">
        <v>13790</v>
      </c>
      <c r="O50" s="26" t="n">
        <v>13990</v>
      </c>
      <c r="P50" s="26" t="n">
        <v>1852</v>
      </c>
      <c r="Q50" s="27" t="n">
        <v>0.1921</v>
      </c>
      <c r="R50" s="38" t="n">
        <v>45611</v>
      </c>
      <c r="S50" s="38" t="n">
        <v>45701</v>
      </c>
      <c r="T50" s="25" t="n">
        <v>67</v>
      </c>
      <c r="U50" s="20" t="s">
        <v>164</v>
      </c>
      <c r="V50" s="20" t="s">
        <v>57</v>
      </c>
      <c r="W50" s="39" t="n">
        <f aca="false">IF(U50="SOLD",P50,"")</f>
        <v>1852</v>
      </c>
      <c r="X50" s="40" t="n">
        <f aca="false">IF(U50="SOLD",Q50,"")</f>
        <v>0.1921</v>
      </c>
      <c r="Y50" s="10" t="str">
        <f aca="false">IF(U50="SOLD",TEXT(S50,"YYYY-MM"),"")</f>
        <v>2025-02</v>
      </c>
    </row>
    <row r="51" customFormat="false" ht="15" hidden="false" customHeight="false" outlineLevel="0" collapsed="false">
      <c r="A51" s="20" t="n">
        <v>51</v>
      </c>
      <c r="B51" s="20" t="n">
        <v>2024</v>
      </c>
      <c r="C51" s="20" t="s">
        <v>273</v>
      </c>
      <c r="D51" s="20" t="s">
        <v>274</v>
      </c>
      <c r="E51" s="20" t="s">
        <v>275</v>
      </c>
      <c r="F51" s="20" t="s">
        <v>276</v>
      </c>
      <c r="G51" s="20" t="s">
        <v>263</v>
      </c>
      <c r="H51" s="25" t="n">
        <v>186200</v>
      </c>
      <c r="I51" s="20" t="s">
        <v>132</v>
      </c>
      <c r="J51" s="20" t="s">
        <v>277</v>
      </c>
      <c r="K51" s="26" t="n">
        <v>6907.5</v>
      </c>
      <c r="L51" s="26"/>
      <c r="M51" s="26" t="n">
        <v>70.5</v>
      </c>
      <c r="N51" s="26" t="n">
        <v>6750</v>
      </c>
      <c r="O51" s="26" t="n">
        <v>8850</v>
      </c>
      <c r="P51" s="26" t="n">
        <v>1943</v>
      </c>
      <c r="Q51" s="27" t="n">
        <v>0.2813</v>
      </c>
      <c r="R51" s="38" t="n">
        <v>45616</v>
      </c>
      <c r="S51" s="38" t="n">
        <v>45756</v>
      </c>
      <c r="T51" s="25" t="n">
        <v>110</v>
      </c>
      <c r="U51" s="20" t="s">
        <v>164</v>
      </c>
      <c r="V51" s="20" t="s">
        <v>49</v>
      </c>
      <c r="W51" s="39" t="n">
        <f aca="false">IF(U51="SOLD",P51,"")</f>
        <v>1943</v>
      </c>
      <c r="X51" s="40" t="n">
        <f aca="false">IF(U51="SOLD",Q51,"")</f>
        <v>0.2813</v>
      </c>
      <c r="Y51" s="10" t="str">
        <f aca="false">IF(U51="SOLD",TEXT(S51,"YYYY-MM"),"")</f>
        <v>2025-04</v>
      </c>
    </row>
    <row r="52" customFormat="false" ht="15" hidden="false" customHeight="false" outlineLevel="0" collapsed="false">
      <c r="A52" s="20" t="n">
        <v>52</v>
      </c>
      <c r="B52" s="20" t="n">
        <v>2024</v>
      </c>
      <c r="C52" s="20" t="s">
        <v>53</v>
      </c>
      <c r="D52" s="20" t="s">
        <v>196</v>
      </c>
      <c r="E52" s="20" t="s">
        <v>278</v>
      </c>
      <c r="F52" s="20" t="s">
        <v>279</v>
      </c>
      <c r="G52" s="20" t="s">
        <v>169</v>
      </c>
      <c r="H52" s="25" t="n">
        <v>139800</v>
      </c>
      <c r="I52" s="20" t="s">
        <v>132</v>
      </c>
      <c r="J52" s="20" t="s">
        <v>180</v>
      </c>
      <c r="K52" s="26" t="n">
        <v>9084.59</v>
      </c>
      <c r="L52" s="26" t="n">
        <v>8450</v>
      </c>
      <c r="M52" s="26" t="n">
        <v>50</v>
      </c>
      <c r="N52" s="26" t="n">
        <v>8500</v>
      </c>
      <c r="O52" s="26" t="n">
        <v>9800</v>
      </c>
      <c r="P52" s="26" t="n">
        <v>715</v>
      </c>
      <c r="Q52" s="27" t="n">
        <v>0.0787</v>
      </c>
      <c r="R52" s="38" t="n">
        <v>45616</v>
      </c>
      <c r="S52" s="38" t="n">
        <v>45638</v>
      </c>
      <c r="T52" s="25" t="n">
        <v>22</v>
      </c>
      <c r="U52" s="20" t="s">
        <v>164</v>
      </c>
      <c r="V52" s="20" t="s">
        <v>53</v>
      </c>
      <c r="W52" s="39" t="n">
        <f aca="false">IF(U52="SOLD",P52,"")</f>
        <v>715</v>
      </c>
      <c r="X52" s="40" t="n">
        <f aca="false">IF(U52="SOLD",Q52,"")</f>
        <v>0.0787</v>
      </c>
      <c r="Y52" s="10" t="str">
        <f aca="false">IF(U52="SOLD",TEXT(S52,"YYYY-MM"),"")</f>
        <v>2024-12</v>
      </c>
    </row>
    <row r="53" customFormat="false" ht="15" hidden="false" customHeight="false" outlineLevel="0" collapsed="false">
      <c r="A53" s="20" t="n">
        <v>53</v>
      </c>
      <c r="B53" s="20" t="n">
        <v>2024</v>
      </c>
      <c r="C53" s="20" t="s">
        <v>245</v>
      </c>
      <c r="D53" s="20" t="s">
        <v>196</v>
      </c>
      <c r="E53" s="20" t="s">
        <v>220</v>
      </c>
      <c r="F53" s="20" t="s">
        <v>280</v>
      </c>
      <c r="G53" s="20" t="s">
        <v>169</v>
      </c>
      <c r="H53" s="25" t="n">
        <v>181500</v>
      </c>
      <c r="I53" s="20" t="s">
        <v>133</v>
      </c>
      <c r="J53" s="20" t="s">
        <v>184</v>
      </c>
      <c r="K53" s="26" t="n">
        <v>7515.33</v>
      </c>
      <c r="L53" s="26" t="n">
        <v>5916.67</v>
      </c>
      <c r="M53" s="26" t="n">
        <v>1183.33</v>
      </c>
      <c r="N53" s="26" t="n">
        <v>7100</v>
      </c>
      <c r="O53" s="26" t="n">
        <v>9500</v>
      </c>
      <c r="P53" s="26" t="n">
        <v>1985</v>
      </c>
      <c r="Q53" s="27" t="n">
        <v>0.2641</v>
      </c>
      <c r="R53" s="38" t="n">
        <v>45624</v>
      </c>
      <c r="S53" s="38" t="n">
        <v>45674</v>
      </c>
      <c r="T53" s="25" t="n">
        <v>32</v>
      </c>
      <c r="U53" s="20" t="s">
        <v>164</v>
      </c>
      <c r="V53" s="20" t="s">
        <v>50</v>
      </c>
      <c r="W53" s="39" t="n">
        <f aca="false">IF(U53="SOLD",P53,"")</f>
        <v>1985</v>
      </c>
      <c r="X53" s="40" t="n">
        <f aca="false">IF(U53="SOLD",Q53,"")</f>
        <v>0.2641</v>
      </c>
      <c r="Y53" s="10" t="str">
        <f aca="false">IF(U53="SOLD",TEXT(S53,"YYYY-MM"),"")</f>
        <v>2025-01</v>
      </c>
    </row>
    <row r="54" customFormat="false" ht="15" hidden="false" customHeight="false" outlineLevel="0" collapsed="false">
      <c r="A54" s="20" t="n">
        <v>54</v>
      </c>
      <c r="B54" s="20" t="n">
        <v>2024</v>
      </c>
      <c r="C54" s="20" t="s">
        <v>61</v>
      </c>
      <c r="D54" s="20" t="s">
        <v>281</v>
      </c>
      <c r="E54" s="20" t="s">
        <v>282</v>
      </c>
      <c r="F54" s="20" t="s">
        <v>283</v>
      </c>
      <c r="G54" s="20" t="s">
        <v>284</v>
      </c>
      <c r="H54" s="25" t="n">
        <v>191300</v>
      </c>
      <c r="I54" s="20" t="s">
        <v>133</v>
      </c>
      <c r="J54" s="20" t="s">
        <v>207</v>
      </c>
      <c r="K54" s="26" t="n">
        <v>11099</v>
      </c>
      <c r="L54" s="26" t="n">
        <v>14416.67</v>
      </c>
      <c r="M54" s="26" t="n">
        <v>2883.33</v>
      </c>
      <c r="N54" s="26" t="n">
        <v>17300</v>
      </c>
      <c r="O54" s="26" t="n">
        <v>17300</v>
      </c>
      <c r="P54" s="26" t="n">
        <v>3318</v>
      </c>
      <c r="Q54" s="27" t="n">
        <v>0.2989</v>
      </c>
      <c r="R54" s="38" t="n">
        <v>45628</v>
      </c>
      <c r="S54" s="38" t="n">
        <v>45657</v>
      </c>
      <c r="T54" s="25" t="n">
        <v>15</v>
      </c>
      <c r="U54" s="20" t="s">
        <v>164</v>
      </c>
      <c r="V54" s="20" t="s">
        <v>61</v>
      </c>
      <c r="W54" s="39" t="n">
        <f aca="false">IF(U54="SOLD",P54,"")</f>
        <v>3318</v>
      </c>
      <c r="X54" s="40" t="n">
        <f aca="false">IF(U54="SOLD",Q54,"")</f>
        <v>0.2989</v>
      </c>
      <c r="Y54" s="10" t="str">
        <f aca="false">IF(U54="SOLD",TEXT(S54,"YYYY-MM"),"")</f>
        <v>2024-12</v>
      </c>
    </row>
    <row r="55" customFormat="false" ht="15" hidden="false" customHeight="false" outlineLevel="0" collapsed="false">
      <c r="A55" s="20" t="n">
        <v>55</v>
      </c>
      <c r="B55" s="20" t="n">
        <v>2024</v>
      </c>
      <c r="C55" s="20" t="s">
        <v>171</v>
      </c>
      <c r="D55" s="20" t="s">
        <v>172</v>
      </c>
      <c r="E55" s="20" t="s">
        <v>285</v>
      </c>
      <c r="F55" s="20" t="s">
        <v>286</v>
      </c>
      <c r="G55" s="20" t="s">
        <v>169</v>
      </c>
      <c r="H55" s="25" t="n">
        <v>157400</v>
      </c>
      <c r="I55" s="20" t="s">
        <v>132</v>
      </c>
      <c r="J55" s="20" t="s">
        <v>170</v>
      </c>
      <c r="K55" s="26" t="n">
        <v>11585.54</v>
      </c>
      <c r="L55" s="26" t="n">
        <v>12358.46</v>
      </c>
      <c r="M55" s="26" t="n">
        <v>331.54</v>
      </c>
      <c r="N55" s="26" t="n">
        <v>12690</v>
      </c>
      <c r="O55" s="26" t="n">
        <v>12690</v>
      </c>
      <c r="P55" s="26" t="n">
        <v>1104</v>
      </c>
      <c r="Q55" s="27" t="n">
        <v>0.0953</v>
      </c>
      <c r="R55" s="38" t="n">
        <v>45629</v>
      </c>
      <c r="S55" s="38" t="n">
        <v>45849</v>
      </c>
      <c r="T55" s="25" t="n">
        <v>201</v>
      </c>
      <c r="U55" s="20" t="s">
        <v>164</v>
      </c>
      <c r="V55" s="20" t="s">
        <v>51</v>
      </c>
      <c r="W55" s="39" t="n">
        <f aca="false">IF(U55="SOLD",P55,"")</f>
        <v>1104</v>
      </c>
      <c r="X55" s="40" t="n">
        <f aca="false">IF(U55="SOLD",Q55,"")</f>
        <v>0.0953</v>
      </c>
      <c r="Y55" s="10" t="str">
        <f aca="false">IF(U55="SOLD",TEXT(S55,"YYYY-MM"),"")</f>
        <v>2025-07</v>
      </c>
    </row>
    <row r="56" customFormat="false" ht="15" hidden="false" customHeight="false" outlineLevel="0" collapsed="false">
      <c r="A56" s="20" t="n">
        <v>56</v>
      </c>
      <c r="B56" s="20" t="n">
        <v>2024</v>
      </c>
      <c r="C56" s="20" t="s">
        <v>245</v>
      </c>
      <c r="D56" s="20" t="s">
        <v>196</v>
      </c>
      <c r="E56" s="20" t="s">
        <v>249</v>
      </c>
      <c r="F56" s="20" t="s">
        <v>287</v>
      </c>
      <c r="G56" s="20" t="s">
        <v>169</v>
      </c>
      <c r="H56" s="25" t="n">
        <v>168000</v>
      </c>
      <c r="I56" s="20" t="s">
        <v>132</v>
      </c>
      <c r="J56" s="20" t="s">
        <v>180</v>
      </c>
      <c r="K56" s="26" t="n">
        <v>9849.59</v>
      </c>
      <c r="L56" s="26" t="n">
        <v>12121.41</v>
      </c>
      <c r="M56" s="26" t="n">
        <v>678.59</v>
      </c>
      <c r="N56" s="26" t="n">
        <v>12800</v>
      </c>
      <c r="O56" s="26" t="n">
        <v>12800</v>
      </c>
      <c r="P56" s="26" t="n">
        <v>2950</v>
      </c>
      <c r="Q56" s="27" t="n">
        <v>0.2995</v>
      </c>
      <c r="R56" s="38" t="n">
        <v>45636</v>
      </c>
      <c r="S56" s="38" t="n">
        <v>45716</v>
      </c>
      <c r="T56" s="25" t="n">
        <v>2</v>
      </c>
      <c r="U56" s="20" t="s">
        <v>164</v>
      </c>
      <c r="V56" s="20" t="s">
        <v>50</v>
      </c>
      <c r="W56" s="39" t="n">
        <f aca="false">IF(U56="SOLD",P56,"")</f>
        <v>2950</v>
      </c>
      <c r="X56" s="40" t="n">
        <f aca="false">IF(U56="SOLD",Q56,"")</f>
        <v>0.2995</v>
      </c>
      <c r="Y56" s="10" t="str">
        <f aca="false">IF(U56="SOLD",TEXT(S56,"YYYY-MM"),"")</f>
        <v>2025-02</v>
      </c>
    </row>
    <row r="57" customFormat="false" ht="15" hidden="false" customHeight="false" outlineLevel="0" collapsed="false">
      <c r="A57" s="20" t="n">
        <v>57</v>
      </c>
      <c r="B57" s="20" t="n">
        <v>2024</v>
      </c>
      <c r="C57" s="20" t="s">
        <v>48</v>
      </c>
      <c r="D57" s="20" t="s">
        <v>172</v>
      </c>
      <c r="E57" s="20" t="s">
        <v>255</v>
      </c>
      <c r="F57" s="20" t="s">
        <v>250</v>
      </c>
      <c r="G57" s="20" t="s">
        <v>169</v>
      </c>
      <c r="H57" s="25" t="n">
        <v>182200</v>
      </c>
      <c r="I57" s="20" t="s">
        <v>132</v>
      </c>
      <c r="J57" s="20" t="s">
        <v>207</v>
      </c>
      <c r="K57" s="26" t="n">
        <v>11360.24</v>
      </c>
      <c r="L57" s="26" t="n">
        <v>11521.76</v>
      </c>
      <c r="M57" s="26" t="n">
        <v>278.24</v>
      </c>
      <c r="N57" s="26" t="n">
        <v>11800</v>
      </c>
      <c r="O57" s="26" t="n">
        <v>12150</v>
      </c>
      <c r="P57" s="26" t="n">
        <v>790</v>
      </c>
      <c r="Q57" s="27" t="n">
        <v>0.0695</v>
      </c>
      <c r="R57" s="38" t="n">
        <v>45638</v>
      </c>
      <c r="S57" s="38" t="n">
        <v>45806</v>
      </c>
      <c r="T57" s="25" t="n">
        <v>127</v>
      </c>
      <c r="U57" s="20" t="s">
        <v>164</v>
      </c>
      <c r="V57" s="20" t="s">
        <v>48</v>
      </c>
      <c r="W57" s="39" t="n">
        <f aca="false">IF(U57="SOLD",P57,"")</f>
        <v>790</v>
      </c>
      <c r="X57" s="40" t="n">
        <f aca="false">IF(U57="SOLD",Q57,"")</f>
        <v>0.0695</v>
      </c>
      <c r="Y57" s="10" t="str">
        <f aca="false">IF(U57="SOLD",TEXT(S57,"YYYY-MM"),"")</f>
        <v>2025-05</v>
      </c>
    </row>
    <row r="58" customFormat="false" ht="15" hidden="false" customHeight="false" outlineLevel="0" collapsed="false">
      <c r="A58" s="20" t="n">
        <v>58</v>
      </c>
      <c r="B58" s="20" t="n">
        <v>2024</v>
      </c>
      <c r="C58" s="20" t="s">
        <v>187</v>
      </c>
      <c r="D58" s="20" t="s">
        <v>288</v>
      </c>
      <c r="E58" s="20" t="s">
        <v>289</v>
      </c>
      <c r="F58" s="20" t="s">
        <v>224</v>
      </c>
      <c r="G58" s="20" t="s">
        <v>186</v>
      </c>
      <c r="H58" s="25" t="n">
        <v>196170</v>
      </c>
      <c r="I58" s="20" t="s">
        <v>132</v>
      </c>
      <c r="J58" s="20" t="s">
        <v>180</v>
      </c>
      <c r="K58" s="26" t="n">
        <v>12846.5</v>
      </c>
      <c r="L58" s="26" t="n">
        <v>15186.5</v>
      </c>
      <c r="M58" s="26" t="n">
        <v>803.5</v>
      </c>
      <c r="N58" s="26" t="n">
        <v>15990</v>
      </c>
      <c r="O58" s="26" t="n">
        <v>15990</v>
      </c>
      <c r="P58" s="26" t="n">
        <v>3143</v>
      </c>
      <c r="Q58" s="27" t="n">
        <v>0.2447</v>
      </c>
      <c r="R58" s="38" t="n">
        <v>45641</v>
      </c>
      <c r="S58" s="38" t="n">
        <v>45690</v>
      </c>
      <c r="T58" s="25" t="n">
        <v>19</v>
      </c>
      <c r="U58" s="20" t="s">
        <v>164</v>
      </c>
      <c r="V58" s="20" t="s">
        <v>47</v>
      </c>
      <c r="W58" s="39" t="n">
        <f aca="false">IF(U58="SOLD",P58,"")</f>
        <v>3143</v>
      </c>
      <c r="X58" s="40" t="n">
        <f aca="false">IF(U58="SOLD",Q58,"")</f>
        <v>0.2447</v>
      </c>
      <c r="Y58" s="10" t="str">
        <f aca="false">IF(U58="SOLD",TEXT(S58,"YYYY-MM"),"")</f>
        <v>2025-02</v>
      </c>
    </row>
    <row r="59" customFormat="false" ht="15" hidden="false" customHeight="false" outlineLevel="0" collapsed="false">
      <c r="A59" s="20" t="n">
        <v>59</v>
      </c>
      <c r="B59" s="20" t="n">
        <v>2024</v>
      </c>
      <c r="C59" s="20" t="s">
        <v>60</v>
      </c>
      <c r="D59" s="20" t="s">
        <v>172</v>
      </c>
      <c r="E59" s="20" t="s">
        <v>269</v>
      </c>
      <c r="F59" s="20" t="s">
        <v>224</v>
      </c>
      <c r="G59" s="20" t="s">
        <v>261</v>
      </c>
      <c r="H59" s="25" t="n">
        <v>221950</v>
      </c>
      <c r="I59" s="20" t="s">
        <v>132</v>
      </c>
      <c r="J59" s="20" t="s">
        <v>163</v>
      </c>
      <c r="K59" s="26" t="n">
        <v>90</v>
      </c>
      <c r="L59" s="26"/>
      <c r="M59" s="26"/>
      <c r="N59" s="26"/>
      <c r="O59" s="26" t="n">
        <v>18800</v>
      </c>
      <c r="P59" s="26" t="n">
        <v>700</v>
      </c>
      <c r="Q59" s="27" t="n">
        <v>7.7778</v>
      </c>
      <c r="R59" s="38" t="n">
        <v>45643</v>
      </c>
      <c r="S59" s="38" t="n">
        <v>45688</v>
      </c>
      <c r="T59" s="25" t="n">
        <v>42</v>
      </c>
      <c r="U59" s="20" t="s">
        <v>164</v>
      </c>
      <c r="V59" s="20" t="s">
        <v>60</v>
      </c>
      <c r="W59" s="39" t="n">
        <f aca="false">IF(U59="SOLD",P59,"")</f>
        <v>700</v>
      </c>
      <c r="X59" s="40" t="n">
        <f aca="false">IF(U59="SOLD",Q59,"")</f>
        <v>7.7778</v>
      </c>
      <c r="Y59" s="10" t="str">
        <f aca="false">IF(U59="SOLD",TEXT(S59,"YYYY-MM"),"")</f>
        <v>2025-01</v>
      </c>
    </row>
    <row r="60" customFormat="false" ht="15" hidden="false" customHeight="false" outlineLevel="0" collapsed="false">
      <c r="A60" s="20" t="n">
        <v>60</v>
      </c>
      <c r="B60" s="20" t="n">
        <v>2024</v>
      </c>
      <c r="C60" s="20" t="s">
        <v>187</v>
      </c>
      <c r="D60" s="20" t="s">
        <v>188</v>
      </c>
      <c r="E60" s="20" t="s">
        <v>290</v>
      </c>
      <c r="F60" s="20" t="s">
        <v>224</v>
      </c>
      <c r="G60" s="20" t="s">
        <v>186</v>
      </c>
      <c r="H60" s="25" t="n">
        <v>196700</v>
      </c>
      <c r="I60" s="20" t="s">
        <v>132</v>
      </c>
      <c r="J60" s="20" t="s">
        <v>170</v>
      </c>
      <c r="K60" s="26" t="n">
        <v>12236.75</v>
      </c>
      <c r="L60" s="26" t="n">
        <v>13585.25</v>
      </c>
      <c r="M60" s="26" t="n">
        <v>414.75</v>
      </c>
      <c r="N60" s="26" t="n">
        <v>14000</v>
      </c>
      <c r="O60" s="26" t="n">
        <v>14000</v>
      </c>
      <c r="P60" s="26" t="n">
        <v>1763</v>
      </c>
      <c r="Q60" s="27" t="n">
        <v>0.1441</v>
      </c>
      <c r="R60" s="38" t="n">
        <v>45653</v>
      </c>
      <c r="S60" s="38" t="n">
        <v>45773</v>
      </c>
      <c r="T60" s="25" t="n">
        <v>86</v>
      </c>
      <c r="U60" s="20" t="s">
        <v>164</v>
      </c>
      <c r="V60" s="20" t="s">
        <v>47</v>
      </c>
      <c r="W60" s="39" t="n">
        <f aca="false">IF(U60="SOLD",P60,"")</f>
        <v>1763</v>
      </c>
      <c r="X60" s="40" t="n">
        <f aca="false">IF(U60="SOLD",Q60,"")</f>
        <v>0.1441</v>
      </c>
      <c r="Y60" s="10" t="str">
        <f aca="false">IF(U60="SOLD",TEXT(S60,"YYYY-MM"),"")</f>
        <v>2025-04</v>
      </c>
    </row>
    <row r="61" customFormat="false" ht="15" hidden="false" customHeight="false" outlineLevel="0" collapsed="false">
      <c r="A61" s="20" t="n">
        <v>61</v>
      </c>
      <c r="B61" s="20" t="n">
        <v>2024</v>
      </c>
      <c r="C61" s="20" t="s">
        <v>48</v>
      </c>
      <c r="D61" s="20" t="s">
        <v>172</v>
      </c>
      <c r="E61" s="20" t="s">
        <v>291</v>
      </c>
      <c r="F61" s="20" t="s">
        <v>206</v>
      </c>
      <c r="G61" s="20" t="s">
        <v>169</v>
      </c>
      <c r="H61" s="25" t="n">
        <v>191400</v>
      </c>
      <c r="I61" s="20" t="s">
        <v>132</v>
      </c>
      <c r="J61" s="20" t="s">
        <v>180</v>
      </c>
      <c r="K61" s="26" t="n">
        <v>11746.65</v>
      </c>
      <c r="L61" s="26" t="n">
        <v>13623.35</v>
      </c>
      <c r="M61" s="26" t="n">
        <v>726.65</v>
      </c>
      <c r="N61" s="26" t="n">
        <v>14350</v>
      </c>
      <c r="O61" s="26" t="n">
        <v>14350</v>
      </c>
      <c r="P61" s="26" t="n">
        <v>2603</v>
      </c>
      <c r="Q61" s="27" t="n">
        <v>0.2216</v>
      </c>
      <c r="R61" s="38" t="n">
        <v>45653</v>
      </c>
      <c r="S61" s="38" t="n">
        <v>45751</v>
      </c>
      <c r="T61" s="25" t="n">
        <v>72</v>
      </c>
      <c r="U61" s="20" t="s">
        <v>164</v>
      </c>
      <c r="V61" s="20" t="s">
        <v>48</v>
      </c>
      <c r="W61" s="39" t="n">
        <f aca="false">IF(U61="SOLD",P61,"")</f>
        <v>2603</v>
      </c>
      <c r="X61" s="40" t="n">
        <f aca="false">IF(U61="SOLD",Q61,"")</f>
        <v>0.2216</v>
      </c>
      <c r="Y61" s="10" t="str">
        <f aca="false">IF(U61="SOLD",TEXT(S61,"YYYY-MM"),"")</f>
        <v>2025-04</v>
      </c>
    </row>
    <row r="62" customFormat="false" ht="15" hidden="false" customHeight="false" outlineLevel="0" collapsed="false">
      <c r="A62" s="20" t="n">
        <v>62</v>
      </c>
      <c r="B62" s="20" t="n">
        <v>2024</v>
      </c>
      <c r="C62" s="20" t="s">
        <v>192</v>
      </c>
      <c r="D62" s="20" t="s">
        <v>181</v>
      </c>
      <c r="E62" s="20" t="s">
        <v>193</v>
      </c>
      <c r="F62" s="20" t="s">
        <v>194</v>
      </c>
      <c r="G62" s="20" t="s">
        <v>169</v>
      </c>
      <c r="H62" s="25" t="n">
        <v>201400</v>
      </c>
      <c r="I62" s="20" t="s">
        <v>132</v>
      </c>
      <c r="J62" s="20" t="s">
        <v>180</v>
      </c>
      <c r="K62" s="26" t="n">
        <v>7322.09</v>
      </c>
      <c r="L62" s="26" t="n">
        <v>8210.91</v>
      </c>
      <c r="M62" s="26" t="n">
        <v>289.09</v>
      </c>
      <c r="N62" s="26" t="n">
        <v>8500</v>
      </c>
      <c r="O62" s="26" t="n">
        <v>8500</v>
      </c>
      <c r="P62" s="26" t="n">
        <v>1178</v>
      </c>
      <c r="Q62" s="27" t="n">
        <v>0.1609</v>
      </c>
      <c r="R62" s="38" t="n">
        <v>45653</v>
      </c>
      <c r="S62" s="38" t="n">
        <v>45777</v>
      </c>
      <c r="T62" s="25" t="n">
        <v>93</v>
      </c>
      <c r="U62" s="20" t="s">
        <v>164</v>
      </c>
      <c r="V62" s="20" t="s">
        <v>46</v>
      </c>
      <c r="W62" s="39" t="n">
        <f aca="false">IF(U62="SOLD",P62,"")</f>
        <v>1178</v>
      </c>
      <c r="X62" s="40" t="n">
        <f aca="false">IF(U62="SOLD",Q62,"")</f>
        <v>0.1609</v>
      </c>
      <c r="Y62" s="10" t="str">
        <f aca="false">IF(U62="SOLD",TEXT(S62,"YYYY-MM"),"")</f>
        <v>2025-04</v>
      </c>
    </row>
    <row r="63" customFormat="false" ht="15" hidden="false" customHeight="false" outlineLevel="0" collapsed="false">
      <c r="A63" s="20" t="n">
        <v>63</v>
      </c>
      <c r="B63" s="20" t="n">
        <v>2024</v>
      </c>
      <c r="C63" s="20" t="s">
        <v>251</v>
      </c>
      <c r="D63" s="20" t="s">
        <v>172</v>
      </c>
      <c r="E63" s="20" t="s">
        <v>292</v>
      </c>
      <c r="F63" s="20" t="s">
        <v>174</v>
      </c>
      <c r="G63" s="20" t="s">
        <v>169</v>
      </c>
      <c r="H63" s="25" t="n">
        <v>198300</v>
      </c>
      <c r="I63" s="20" t="s">
        <v>132</v>
      </c>
      <c r="J63" s="20" t="s">
        <v>180</v>
      </c>
      <c r="K63" s="26" t="n">
        <v>8776.34</v>
      </c>
      <c r="L63" s="26" t="n">
        <v>9900.66</v>
      </c>
      <c r="M63" s="26" t="n">
        <v>449.34</v>
      </c>
      <c r="N63" s="26" t="n">
        <v>10350</v>
      </c>
      <c r="O63" s="26" t="n">
        <v>10350</v>
      </c>
      <c r="P63" s="26" t="n">
        <v>1574</v>
      </c>
      <c r="Q63" s="27" t="n">
        <v>0.1793</v>
      </c>
      <c r="R63" s="38" t="n">
        <v>45653</v>
      </c>
      <c r="S63" s="38" t="n">
        <v>45746</v>
      </c>
      <c r="T63" s="25" t="n">
        <v>67</v>
      </c>
      <c r="U63" s="20" t="s">
        <v>164</v>
      </c>
      <c r="V63" s="20" t="s">
        <v>55</v>
      </c>
      <c r="W63" s="39" t="n">
        <f aca="false">IF(U63="SOLD",P63,"")</f>
        <v>1574</v>
      </c>
      <c r="X63" s="40" t="n">
        <f aca="false">IF(U63="SOLD",Q63,"")</f>
        <v>0.1793</v>
      </c>
      <c r="Y63" s="10" t="str">
        <f aca="false">IF(U63="SOLD",TEXT(S63,"YYYY-MM"),"")</f>
        <v>2025-03</v>
      </c>
    </row>
    <row r="64" customFormat="false" ht="15" hidden="false" customHeight="false" outlineLevel="0" collapsed="false">
      <c r="A64" s="20" t="n">
        <v>64</v>
      </c>
      <c r="B64" s="20" t="n">
        <v>2024</v>
      </c>
      <c r="C64" s="20" t="s">
        <v>86</v>
      </c>
      <c r="D64" s="20" t="s">
        <v>264</v>
      </c>
      <c r="E64" s="20" t="s">
        <v>293</v>
      </c>
      <c r="F64" s="20" t="s">
        <v>294</v>
      </c>
      <c r="G64" s="20" t="s">
        <v>169</v>
      </c>
      <c r="H64" s="25" t="n">
        <v>213940</v>
      </c>
      <c r="I64" s="20" t="s">
        <v>132</v>
      </c>
      <c r="J64" s="20" t="s">
        <v>190</v>
      </c>
      <c r="K64" s="26" t="n">
        <v>1798</v>
      </c>
      <c r="L64" s="26" t="n">
        <v>1799.63</v>
      </c>
      <c r="M64" s="26" t="n">
        <v>0.37</v>
      </c>
      <c r="N64" s="26" t="n">
        <v>1800</v>
      </c>
      <c r="O64" s="26" t="n">
        <v>1800</v>
      </c>
      <c r="P64" s="26" t="n">
        <v>2</v>
      </c>
      <c r="Q64" s="27" t="n">
        <v>0.0011</v>
      </c>
      <c r="R64" s="38" t="n">
        <v>45655</v>
      </c>
      <c r="S64" s="38" t="n">
        <v>45655</v>
      </c>
      <c r="T64" s="25" t="n">
        <v>0</v>
      </c>
      <c r="U64" s="20" t="s">
        <v>164</v>
      </c>
      <c r="V64" s="20" t="s">
        <v>86</v>
      </c>
      <c r="W64" s="39" t="n">
        <f aca="false">IF(U64="SOLD",P64,"")</f>
        <v>2</v>
      </c>
      <c r="X64" s="40" t="n">
        <f aca="false">IF(U64="SOLD",Q64,"")</f>
        <v>0.0011</v>
      </c>
      <c r="Y64" s="10" t="str">
        <f aca="false">IF(U64="SOLD",TEXT(S64,"YYYY-MM"),"")</f>
        <v>2024-12</v>
      </c>
    </row>
    <row r="65" customFormat="false" ht="15" hidden="false" customHeight="false" outlineLevel="0" collapsed="false">
      <c r="A65" s="20" t="n">
        <v>65</v>
      </c>
      <c r="B65" s="20" t="n">
        <v>2024</v>
      </c>
      <c r="C65" s="20" t="s">
        <v>49</v>
      </c>
      <c r="D65" s="20" t="s">
        <v>295</v>
      </c>
      <c r="E65" s="20" t="s">
        <v>296</v>
      </c>
      <c r="F65" s="20" t="s">
        <v>297</v>
      </c>
      <c r="G65" s="20" t="s">
        <v>169</v>
      </c>
      <c r="H65" s="25" t="n">
        <v>180200</v>
      </c>
      <c r="I65" s="20" t="s">
        <v>132</v>
      </c>
      <c r="J65" s="20" t="s">
        <v>180</v>
      </c>
      <c r="K65" s="26" t="n">
        <v>7404.88</v>
      </c>
      <c r="L65" s="26" t="n">
        <v>7709.12</v>
      </c>
      <c r="M65" s="26" t="n">
        <v>90.88</v>
      </c>
      <c r="N65" s="26" t="n">
        <v>7800</v>
      </c>
      <c r="O65" s="26" t="n">
        <v>9700</v>
      </c>
      <c r="P65" s="26" t="n">
        <v>1900</v>
      </c>
      <c r="Q65" s="27" t="n">
        <v>0.2566</v>
      </c>
      <c r="R65" s="38" t="n">
        <v>45655</v>
      </c>
      <c r="S65" s="38" t="n">
        <v>45675</v>
      </c>
      <c r="T65" s="25" t="n">
        <v>1</v>
      </c>
      <c r="U65" s="20" t="s">
        <v>164</v>
      </c>
      <c r="V65" s="20" t="s">
        <v>49</v>
      </c>
      <c r="W65" s="39" t="n">
        <f aca="false">IF(U65="SOLD",P65,"")</f>
        <v>1900</v>
      </c>
      <c r="X65" s="40" t="n">
        <f aca="false">IF(U65="SOLD",Q65,"")</f>
        <v>0.2566</v>
      </c>
      <c r="Y65" s="10" t="str">
        <f aca="false">IF(U65="SOLD",TEXT(S65,"YYYY-MM"),"")</f>
        <v>2025-01</v>
      </c>
    </row>
    <row r="66" customFormat="false" ht="15" hidden="false" customHeight="false" outlineLevel="0" collapsed="false">
      <c r="A66" s="20" t="n">
        <v>66</v>
      </c>
      <c r="B66" s="20" t="n">
        <v>2024</v>
      </c>
      <c r="C66" s="20" t="s">
        <v>225</v>
      </c>
      <c r="D66" s="20" t="s">
        <v>188</v>
      </c>
      <c r="E66" s="20" t="s">
        <v>298</v>
      </c>
      <c r="F66" s="20" t="s">
        <v>243</v>
      </c>
      <c r="G66" s="20" t="s">
        <v>261</v>
      </c>
      <c r="H66" s="25" t="n">
        <v>183500</v>
      </c>
      <c r="I66" s="20" t="s">
        <v>132</v>
      </c>
      <c r="J66" s="20" t="s">
        <v>180</v>
      </c>
      <c r="K66" s="26" t="n">
        <v>9560</v>
      </c>
      <c r="L66" s="26" t="n">
        <v>9425.33</v>
      </c>
      <c r="M66" s="26" t="n">
        <v>74.67</v>
      </c>
      <c r="N66" s="26" t="n">
        <v>9500</v>
      </c>
      <c r="O66" s="26" t="n">
        <v>11000</v>
      </c>
      <c r="P66" s="26" t="n">
        <v>1440</v>
      </c>
      <c r="Q66" s="27" t="n">
        <v>0.1506</v>
      </c>
      <c r="R66" s="38" t="n">
        <v>45657</v>
      </c>
      <c r="S66" s="38" t="n">
        <v>45793</v>
      </c>
      <c r="T66" s="25" t="n">
        <v>116</v>
      </c>
      <c r="U66" s="20" t="s">
        <v>164</v>
      </c>
      <c r="V66" s="20" t="s">
        <v>58</v>
      </c>
      <c r="W66" s="39" t="n">
        <f aca="false">IF(U66="SOLD",P66,"")</f>
        <v>1440</v>
      </c>
      <c r="X66" s="40" t="n">
        <f aca="false">IF(U66="SOLD",Q66,"")</f>
        <v>0.1506</v>
      </c>
      <c r="Y66" s="10" t="str">
        <f aca="false">IF(U66="SOLD",TEXT(S66,"YYYY-MM"),"")</f>
        <v>2025-05</v>
      </c>
    </row>
    <row r="67" customFormat="false" ht="15" hidden="false" customHeight="false" outlineLevel="0" collapsed="false">
      <c r="A67" s="20" t="n">
        <v>67</v>
      </c>
      <c r="B67" s="20" t="n">
        <v>2024</v>
      </c>
      <c r="C67" s="20" t="s">
        <v>65</v>
      </c>
      <c r="D67" s="20" t="s">
        <v>176</v>
      </c>
      <c r="E67" s="20" t="s">
        <v>290</v>
      </c>
      <c r="F67" s="20" t="s">
        <v>299</v>
      </c>
      <c r="G67" s="20" t="s">
        <v>169</v>
      </c>
      <c r="H67" s="25" t="n">
        <v>185700</v>
      </c>
      <c r="I67" s="20" t="s">
        <v>133</v>
      </c>
      <c r="J67" s="20" t="s">
        <v>180</v>
      </c>
      <c r="K67" s="26" t="n">
        <v>11145.56</v>
      </c>
      <c r="L67" s="26" t="n">
        <v>10731.71</v>
      </c>
      <c r="M67" s="26" t="n">
        <v>2468.29</v>
      </c>
      <c r="N67" s="26" t="n">
        <v>13200</v>
      </c>
      <c r="O67" s="26" t="n">
        <v>13200</v>
      </c>
      <c r="P67" s="26" t="n">
        <v>2886</v>
      </c>
      <c r="Q67" s="27" t="n">
        <v>0.2589</v>
      </c>
      <c r="R67" s="38" t="n">
        <v>45664</v>
      </c>
      <c r="S67" s="38" t="n">
        <v>46177</v>
      </c>
      <c r="T67" s="25" t="n">
        <v>3</v>
      </c>
      <c r="U67" s="20" t="s">
        <v>164</v>
      </c>
      <c r="V67" s="20" t="s">
        <v>65</v>
      </c>
      <c r="W67" s="39" t="n">
        <f aca="false">IF(U67="SOLD",P67,"")</f>
        <v>2886</v>
      </c>
      <c r="X67" s="40" t="n">
        <f aca="false">IF(U67="SOLD",Q67,"")</f>
        <v>0.2589</v>
      </c>
      <c r="Y67" s="10" t="str">
        <f aca="false">IF(U67="SOLD",TEXT(S67,"YYYY-MM"),"")</f>
        <v>2026-06</v>
      </c>
    </row>
    <row r="68" customFormat="false" ht="15" hidden="false" customHeight="false" outlineLevel="0" collapsed="false">
      <c r="A68" s="20" t="n">
        <v>68</v>
      </c>
      <c r="B68" s="20" t="n">
        <v>2024</v>
      </c>
      <c r="C68" s="20" t="s">
        <v>300</v>
      </c>
      <c r="D68" s="20" t="s">
        <v>301</v>
      </c>
      <c r="E68" s="20" t="s">
        <v>302</v>
      </c>
      <c r="F68" s="20" t="s">
        <v>303</v>
      </c>
      <c r="G68" s="20" t="s">
        <v>304</v>
      </c>
      <c r="H68" s="25" t="n">
        <v>7860</v>
      </c>
      <c r="I68" s="20" t="s">
        <v>133</v>
      </c>
      <c r="J68" s="20" t="s">
        <v>180</v>
      </c>
      <c r="K68" s="26" t="n">
        <v>1708.42</v>
      </c>
      <c r="L68" s="26" t="n">
        <v>3764.23</v>
      </c>
      <c r="M68" s="26" t="n">
        <v>865.77</v>
      </c>
      <c r="N68" s="26" t="n">
        <v>4630</v>
      </c>
      <c r="O68" s="26" t="n">
        <v>72390</v>
      </c>
      <c r="P68" s="26" t="n">
        <v>2056</v>
      </c>
      <c r="Q68" s="27" t="n">
        <v>1.2035</v>
      </c>
      <c r="R68" s="38" t="n">
        <v>45677</v>
      </c>
      <c r="S68" s="38" t="n">
        <v>45693</v>
      </c>
      <c r="T68" s="25" t="n">
        <v>1</v>
      </c>
      <c r="U68" s="20" t="s">
        <v>164</v>
      </c>
      <c r="V68" s="20" t="s">
        <v>67</v>
      </c>
      <c r="W68" s="39" t="n">
        <f aca="false">IF(U68="SOLD",P68,"")</f>
        <v>2056</v>
      </c>
      <c r="X68" s="40" t="n">
        <f aca="false">IF(U68="SOLD",Q68,"")</f>
        <v>1.2035</v>
      </c>
      <c r="Y68" s="10" t="str">
        <f aca="false">IF(U68="SOLD",TEXT(S68,"YYYY-MM"),"")</f>
        <v>2025-02</v>
      </c>
    </row>
    <row r="69" customFormat="false" ht="15" hidden="false" customHeight="false" outlineLevel="0" collapsed="false">
      <c r="A69" s="20" t="n">
        <v>69</v>
      </c>
      <c r="B69" s="20" t="n">
        <v>2024</v>
      </c>
      <c r="C69" s="20" t="s">
        <v>245</v>
      </c>
      <c r="D69" s="20" t="s">
        <v>196</v>
      </c>
      <c r="E69" s="20" t="s">
        <v>285</v>
      </c>
      <c r="F69" s="20" t="s">
        <v>174</v>
      </c>
      <c r="G69" s="20" t="s">
        <v>169</v>
      </c>
      <c r="H69" s="25" t="n">
        <v>197900</v>
      </c>
      <c r="I69" s="20" t="s">
        <v>132</v>
      </c>
      <c r="J69" s="20" t="s">
        <v>180</v>
      </c>
      <c r="K69" s="26" t="n">
        <v>9156.5</v>
      </c>
      <c r="L69" s="26" t="n">
        <v>9032.5</v>
      </c>
      <c r="M69" s="26" t="n">
        <v>67.5</v>
      </c>
      <c r="N69" s="26" t="n">
        <v>9100</v>
      </c>
      <c r="O69" s="26" t="n">
        <v>10850</v>
      </c>
      <c r="P69" s="26" t="n">
        <v>1693</v>
      </c>
      <c r="Q69" s="27" t="n">
        <v>0.1849</v>
      </c>
      <c r="R69" s="38" t="n">
        <v>45681</v>
      </c>
      <c r="S69" s="38" t="n">
        <v>45748</v>
      </c>
      <c r="T69" s="25" t="n">
        <v>46</v>
      </c>
      <c r="U69" s="20" t="s">
        <v>164</v>
      </c>
      <c r="V69" s="20" t="s">
        <v>50</v>
      </c>
      <c r="W69" s="39" t="n">
        <f aca="false">IF(U69="SOLD",P69,"")</f>
        <v>1693</v>
      </c>
      <c r="X69" s="40" t="n">
        <f aca="false">IF(U69="SOLD",Q69,"")</f>
        <v>0.1849</v>
      </c>
      <c r="Y69" s="10" t="str">
        <f aca="false">IF(U69="SOLD",TEXT(S69,"YYYY-MM"),"")</f>
        <v>2025-04</v>
      </c>
    </row>
    <row r="70" customFormat="false" ht="15" hidden="false" customHeight="false" outlineLevel="0" collapsed="false">
      <c r="A70" s="20" t="n">
        <v>70</v>
      </c>
      <c r="B70" s="20" t="n">
        <v>2024</v>
      </c>
      <c r="C70" s="20" t="s">
        <v>192</v>
      </c>
      <c r="D70" s="20" t="s">
        <v>181</v>
      </c>
      <c r="E70" s="20" t="s">
        <v>305</v>
      </c>
      <c r="F70" s="20" t="s">
        <v>231</v>
      </c>
      <c r="G70" s="20" t="s">
        <v>169</v>
      </c>
      <c r="H70" s="25" t="n">
        <v>187900</v>
      </c>
      <c r="I70" s="20" t="s">
        <v>133</v>
      </c>
      <c r="J70" s="20" t="s">
        <v>184</v>
      </c>
      <c r="K70" s="26" t="n">
        <v>7835</v>
      </c>
      <c r="L70" s="26" t="n">
        <v>9959.35</v>
      </c>
      <c r="M70" s="26" t="n">
        <v>2290.65</v>
      </c>
      <c r="N70" s="26" t="n">
        <v>12250</v>
      </c>
      <c r="O70" s="26" t="n">
        <v>12250</v>
      </c>
      <c r="P70" s="26" t="n">
        <v>2124</v>
      </c>
      <c r="Q70" s="27" t="n">
        <v>0.2711</v>
      </c>
      <c r="R70" s="38" t="n">
        <v>45681</v>
      </c>
      <c r="S70" s="38" t="n">
        <v>45746</v>
      </c>
      <c r="T70" s="25" t="n">
        <v>40</v>
      </c>
      <c r="U70" s="20" t="s">
        <v>164</v>
      </c>
      <c r="V70" s="20" t="s">
        <v>46</v>
      </c>
      <c r="W70" s="39" t="n">
        <f aca="false">IF(U70="SOLD",P70,"")</f>
        <v>2124</v>
      </c>
      <c r="X70" s="40" t="n">
        <f aca="false">IF(U70="SOLD",Q70,"")</f>
        <v>0.2711</v>
      </c>
      <c r="Y70" s="10" t="str">
        <f aca="false">IF(U70="SOLD",TEXT(S70,"YYYY-MM"),"")</f>
        <v>2025-03</v>
      </c>
    </row>
    <row r="71" customFormat="false" ht="15" hidden="false" customHeight="false" outlineLevel="0" collapsed="false">
      <c r="A71" s="20" t="n">
        <v>71</v>
      </c>
      <c r="B71" s="20" t="n">
        <v>2024</v>
      </c>
      <c r="C71" s="20" t="s">
        <v>59</v>
      </c>
      <c r="D71" s="20" t="s">
        <v>172</v>
      </c>
      <c r="E71" s="20" t="s">
        <v>306</v>
      </c>
      <c r="F71" s="20" t="s">
        <v>231</v>
      </c>
      <c r="G71" s="20" t="s">
        <v>169</v>
      </c>
      <c r="H71" s="25" t="n">
        <v>171000</v>
      </c>
      <c r="I71" s="20" t="s">
        <v>133</v>
      </c>
      <c r="J71" s="20" t="s">
        <v>212</v>
      </c>
      <c r="K71" s="26" t="n">
        <v>11747</v>
      </c>
      <c r="L71" s="26" t="n">
        <v>12195.12</v>
      </c>
      <c r="M71" s="26" t="n">
        <v>2804.88</v>
      </c>
      <c r="N71" s="26" t="n">
        <v>15000</v>
      </c>
      <c r="O71" s="26" t="n">
        <v>17300</v>
      </c>
      <c r="P71" s="26" t="n">
        <v>2748</v>
      </c>
      <c r="Q71" s="27" t="n">
        <v>0.2339</v>
      </c>
      <c r="R71" s="38" t="n">
        <v>45684</v>
      </c>
      <c r="S71" s="38" t="n">
        <v>45709</v>
      </c>
      <c r="T71" s="25" t="n">
        <v>7</v>
      </c>
      <c r="U71" s="20" t="s">
        <v>164</v>
      </c>
      <c r="V71" s="20" t="s">
        <v>59</v>
      </c>
      <c r="W71" s="39" t="n">
        <f aca="false">IF(U71="SOLD",P71,"")</f>
        <v>2748</v>
      </c>
      <c r="X71" s="40" t="n">
        <f aca="false">IF(U71="SOLD",Q71,"")</f>
        <v>0.2339</v>
      </c>
      <c r="Y71" s="10" t="str">
        <f aca="false">IF(U71="SOLD",TEXT(S71,"YYYY-MM"),"")</f>
        <v>2025-02</v>
      </c>
    </row>
    <row r="72" customFormat="false" ht="15" hidden="false" customHeight="false" outlineLevel="0" collapsed="false">
      <c r="A72" s="41" t="n">
        <v>72</v>
      </c>
      <c r="B72" s="41" t="n">
        <v>2024</v>
      </c>
      <c r="C72" s="41" t="s">
        <v>307</v>
      </c>
      <c r="D72" s="41" t="s">
        <v>271</v>
      </c>
      <c r="E72" s="41" t="s">
        <v>308</v>
      </c>
      <c r="F72" s="41" t="s">
        <v>309</v>
      </c>
      <c r="G72" s="41" t="s">
        <v>169</v>
      </c>
      <c r="H72" s="42" t="n">
        <v>136400</v>
      </c>
      <c r="I72" s="41" t="s">
        <v>133</v>
      </c>
      <c r="J72" s="41" t="s">
        <v>190</v>
      </c>
      <c r="K72" s="43" t="n">
        <v>8739</v>
      </c>
      <c r="L72" s="43" t="n">
        <v>0</v>
      </c>
      <c r="M72" s="43" t="n">
        <v>0</v>
      </c>
      <c r="N72" s="43" t="n">
        <v>0</v>
      </c>
      <c r="O72" s="43"/>
      <c r="P72" s="43"/>
      <c r="Q72" s="44"/>
      <c r="R72" s="45" t="n">
        <v>45698</v>
      </c>
      <c r="S72" s="45"/>
      <c r="T72" s="42"/>
      <c r="U72" s="41" t="s">
        <v>191</v>
      </c>
      <c r="V72" s="41" t="s">
        <v>307</v>
      </c>
      <c r="W72" s="39" t="str">
        <f aca="false">IF(U72="SOLD",P72,"")</f>
        <v/>
      </c>
      <c r="X72" s="40" t="str">
        <f aca="false">IF(U72="SOLD",Q72,"")</f>
        <v/>
      </c>
      <c r="Y72" s="10" t="str">
        <f aca="false">IF(U72="SOLD",TEXT(S72,"YYYY-MM"),"")</f>
        <v/>
      </c>
    </row>
    <row r="73" customFormat="false" ht="15" hidden="false" customHeight="false" outlineLevel="0" collapsed="false">
      <c r="A73" s="20" t="n">
        <v>73</v>
      </c>
      <c r="B73" s="20" t="n">
        <v>2024</v>
      </c>
      <c r="C73" s="20" t="s">
        <v>73</v>
      </c>
      <c r="D73" s="20" t="s">
        <v>310</v>
      </c>
      <c r="E73" s="20" t="s">
        <v>267</v>
      </c>
      <c r="F73" s="20" t="s">
        <v>311</v>
      </c>
      <c r="G73" s="20" t="s">
        <v>215</v>
      </c>
      <c r="H73" s="25" t="n">
        <v>166500</v>
      </c>
      <c r="I73" s="20" t="s">
        <v>132</v>
      </c>
      <c r="J73" s="20" t="s">
        <v>207</v>
      </c>
      <c r="K73" s="26" t="n">
        <v>20190.81</v>
      </c>
      <c r="L73" s="26" t="n">
        <v>20678.19</v>
      </c>
      <c r="M73" s="26" t="n">
        <v>321.81</v>
      </c>
      <c r="N73" s="26" t="n">
        <v>21000</v>
      </c>
      <c r="O73" s="26" t="n">
        <v>21550</v>
      </c>
      <c r="P73" s="26" t="n">
        <v>1359</v>
      </c>
      <c r="Q73" s="27" t="n">
        <v>0.0673</v>
      </c>
      <c r="R73" s="38" t="n">
        <v>45705</v>
      </c>
      <c r="S73" s="38" t="n">
        <v>45919</v>
      </c>
      <c r="T73" s="25" t="n">
        <v>195</v>
      </c>
      <c r="U73" s="20" t="s">
        <v>164</v>
      </c>
      <c r="V73" s="20" t="s">
        <v>73</v>
      </c>
      <c r="W73" s="39" t="n">
        <f aca="false">IF(U73="SOLD",P73,"")</f>
        <v>1359</v>
      </c>
      <c r="X73" s="40" t="n">
        <f aca="false">IF(U73="SOLD",Q73,"")</f>
        <v>0.0673</v>
      </c>
      <c r="Y73" s="10" t="str">
        <f aca="false">IF(U73="SOLD",TEXT(S73,"YYYY-MM"),"")</f>
        <v>2025-09</v>
      </c>
    </row>
    <row r="74" customFormat="false" ht="15" hidden="false" customHeight="false" outlineLevel="0" collapsed="false">
      <c r="A74" s="20" t="n">
        <v>74</v>
      </c>
      <c r="B74" s="20" t="n">
        <v>2024</v>
      </c>
      <c r="C74" s="20" t="s">
        <v>312</v>
      </c>
      <c r="D74" s="20" t="s">
        <v>313</v>
      </c>
      <c r="E74" s="20" t="s">
        <v>253</v>
      </c>
      <c r="F74" s="20" t="s">
        <v>314</v>
      </c>
      <c r="G74" s="20" t="s">
        <v>215</v>
      </c>
      <c r="H74" s="25" t="n">
        <v>182000</v>
      </c>
      <c r="I74" s="20" t="s">
        <v>132</v>
      </c>
      <c r="J74" s="20" t="s">
        <v>180</v>
      </c>
      <c r="K74" s="26" t="n">
        <v>24341.45</v>
      </c>
      <c r="L74" s="26" t="n">
        <v>23300</v>
      </c>
      <c r="M74" s="26" t="n">
        <v>0</v>
      </c>
      <c r="N74" s="26" t="n">
        <v>23300</v>
      </c>
      <c r="O74" s="26" t="n">
        <v>25500</v>
      </c>
      <c r="P74" s="26" t="n">
        <v>1000</v>
      </c>
      <c r="Q74" s="27" t="n">
        <v>0.0411</v>
      </c>
      <c r="R74" s="38" t="n">
        <v>45706</v>
      </c>
      <c r="S74" s="38" t="n">
        <v>45707</v>
      </c>
      <c r="T74" s="25" t="n">
        <v>0</v>
      </c>
      <c r="U74" s="20" t="s">
        <v>164</v>
      </c>
      <c r="V74" s="20" t="s">
        <v>76</v>
      </c>
      <c r="W74" s="39" t="n">
        <f aca="false">IF(U74="SOLD",P74,"")</f>
        <v>1000</v>
      </c>
      <c r="X74" s="40" t="n">
        <f aca="false">IF(U74="SOLD",Q74,"")</f>
        <v>0.0411</v>
      </c>
      <c r="Y74" s="10" t="str">
        <f aca="false">IF(U74="SOLD",TEXT(S74,"YYYY-MM"),"")</f>
        <v>2025-02</v>
      </c>
    </row>
    <row r="75" customFormat="false" ht="15" hidden="false" customHeight="false" outlineLevel="0" collapsed="false">
      <c r="A75" s="20" t="n">
        <v>75</v>
      </c>
      <c r="B75" s="20" t="n">
        <v>2024</v>
      </c>
      <c r="C75" s="20" t="s">
        <v>57</v>
      </c>
      <c r="D75" s="20" t="s">
        <v>271</v>
      </c>
      <c r="E75" s="20" t="s">
        <v>306</v>
      </c>
      <c r="F75" s="20" t="s">
        <v>309</v>
      </c>
      <c r="G75" s="20" t="s">
        <v>169</v>
      </c>
      <c r="H75" s="25" t="n">
        <v>73300</v>
      </c>
      <c r="I75" s="20" t="s">
        <v>133</v>
      </c>
      <c r="J75" s="20" t="s">
        <v>212</v>
      </c>
      <c r="K75" s="26" t="n">
        <v>16047.93</v>
      </c>
      <c r="L75" s="26" t="n">
        <v>14512.2</v>
      </c>
      <c r="M75" s="26" t="n">
        <v>3337.8</v>
      </c>
      <c r="N75" s="26" t="n">
        <v>17500</v>
      </c>
      <c r="O75" s="26" t="n">
        <v>17850</v>
      </c>
      <c r="P75" s="26" t="n">
        <v>1802</v>
      </c>
      <c r="Q75" s="27" t="n">
        <v>0.1123</v>
      </c>
      <c r="R75" s="38" t="n">
        <v>45708</v>
      </c>
      <c r="S75" s="38" t="n">
        <v>45851</v>
      </c>
      <c r="T75" s="25" t="n">
        <v>129</v>
      </c>
      <c r="U75" s="20" t="s">
        <v>164</v>
      </c>
      <c r="V75" s="20" t="s">
        <v>57</v>
      </c>
      <c r="W75" s="39" t="n">
        <f aca="false">IF(U75="SOLD",P75,"")</f>
        <v>1802</v>
      </c>
      <c r="X75" s="40" t="n">
        <f aca="false">IF(U75="SOLD",Q75,"")</f>
        <v>0.1123</v>
      </c>
      <c r="Y75" s="10" t="str">
        <f aca="false">IF(U75="SOLD",TEXT(S75,"YYYY-MM"),"")</f>
        <v>2025-07</v>
      </c>
    </row>
    <row r="76" customFormat="false" ht="15" hidden="false" customHeight="false" outlineLevel="0" collapsed="false">
      <c r="A76" s="20" t="n">
        <v>76</v>
      </c>
      <c r="B76" s="20" t="n">
        <v>2024</v>
      </c>
      <c r="C76" s="20" t="s">
        <v>251</v>
      </c>
      <c r="D76" s="20" t="s">
        <v>172</v>
      </c>
      <c r="E76" s="20" t="s">
        <v>315</v>
      </c>
      <c r="F76" s="20" t="s">
        <v>316</v>
      </c>
      <c r="G76" s="20" t="s">
        <v>169</v>
      </c>
      <c r="H76" s="25" t="n">
        <v>68100</v>
      </c>
      <c r="I76" s="20" t="s">
        <v>133</v>
      </c>
      <c r="J76" s="20" t="s">
        <v>190</v>
      </c>
      <c r="K76" s="26" t="n">
        <v>16011</v>
      </c>
      <c r="L76" s="26" t="n">
        <v>13600</v>
      </c>
      <c r="M76" s="26" t="n">
        <v>3128</v>
      </c>
      <c r="N76" s="26" t="n">
        <v>16728</v>
      </c>
      <c r="O76" s="26" t="n">
        <v>16728</v>
      </c>
      <c r="P76" s="26" t="n">
        <v>717</v>
      </c>
      <c r="Q76" s="27" t="n">
        <v>0.0448</v>
      </c>
      <c r="R76" s="38" t="n">
        <v>45715</v>
      </c>
      <c r="S76" s="38" t="n">
        <v>45903</v>
      </c>
      <c r="T76" s="25" t="n">
        <v>150</v>
      </c>
      <c r="U76" s="20" t="s">
        <v>164</v>
      </c>
      <c r="V76" s="20" t="s">
        <v>55</v>
      </c>
      <c r="W76" s="39" t="n">
        <f aca="false">IF(U76="SOLD",P76,"")</f>
        <v>717</v>
      </c>
      <c r="X76" s="40" t="n">
        <f aca="false">IF(U76="SOLD",Q76,"")</f>
        <v>0.0448</v>
      </c>
      <c r="Y76" s="10" t="str">
        <f aca="false">IF(U76="SOLD",TEXT(S76,"YYYY-MM"),"")</f>
        <v>2025-09</v>
      </c>
    </row>
    <row r="77" customFormat="false" ht="15" hidden="false" customHeight="false" outlineLevel="0" collapsed="false">
      <c r="A77" s="20" t="n">
        <v>77</v>
      </c>
      <c r="B77" s="20" t="n">
        <v>2024</v>
      </c>
      <c r="C77" s="20" t="s">
        <v>59</v>
      </c>
      <c r="D77" s="20" t="s">
        <v>172</v>
      </c>
      <c r="E77" s="20" t="s">
        <v>317</v>
      </c>
      <c r="F77" s="20" t="s">
        <v>316</v>
      </c>
      <c r="G77" s="20" t="s">
        <v>169</v>
      </c>
      <c r="H77" s="25" t="n">
        <v>199700</v>
      </c>
      <c r="I77" s="20" t="s">
        <v>133</v>
      </c>
      <c r="J77" s="20" t="s">
        <v>190</v>
      </c>
      <c r="K77" s="26" t="n">
        <v>11429</v>
      </c>
      <c r="L77" s="26" t="n">
        <v>13252.03</v>
      </c>
      <c r="M77" s="26" t="n">
        <v>3047.97</v>
      </c>
      <c r="N77" s="26" t="n">
        <v>16300</v>
      </c>
      <c r="O77" s="26" t="n">
        <v>16300</v>
      </c>
      <c r="P77" s="26" t="n">
        <v>1823</v>
      </c>
      <c r="Q77" s="27" t="n">
        <v>0.1595</v>
      </c>
      <c r="R77" s="38" t="n">
        <v>45715</v>
      </c>
      <c r="S77" s="38" t="n">
        <v>45784</v>
      </c>
      <c r="T77" s="25" t="n">
        <v>30</v>
      </c>
      <c r="U77" s="20" t="s">
        <v>164</v>
      </c>
      <c r="V77" s="20" t="s">
        <v>59</v>
      </c>
      <c r="W77" s="39" t="n">
        <f aca="false">IF(U77="SOLD",P77,"")</f>
        <v>1823</v>
      </c>
      <c r="X77" s="40" t="n">
        <f aca="false">IF(U77="SOLD",Q77,"")</f>
        <v>0.1595</v>
      </c>
      <c r="Y77" s="10" t="str">
        <f aca="false">IF(U77="SOLD",TEXT(S77,"YYYY-MM"),"")</f>
        <v>2025-05</v>
      </c>
    </row>
    <row r="78" customFormat="false" ht="15" hidden="false" customHeight="false" outlineLevel="0" collapsed="false">
      <c r="A78" s="20" t="n">
        <v>78</v>
      </c>
      <c r="B78" s="20" t="n">
        <v>2024</v>
      </c>
      <c r="C78" s="20" t="s">
        <v>57</v>
      </c>
      <c r="D78" s="20" t="s">
        <v>271</v>
      </c>
      <c r="E78" s="20" t="s">
        <v>182</v>
      </c>
      <c r="F78" s="20" t="s">
        <v>309</v>
      </c>
      <c r="G78" s="20" t="s">
        <v>169</v>
      </c>
      <c r="H78" s="25" t="n">
        <v>195600</v>
      </c>
      <c r="I78" s="20" t="s">
        <v>133</v>
      </c>
      <c r="J78" s="20" t="s">
        <v>180</v>
      </c>
      <c r="K78" s="26" t="n">
        <v>6952</v>
      </c>
      <c r="L78" s="26" t="n">
        <v>9227.64</v>
      </c>
      <c r="M78" s="26" t="n">
        <v>2122.37</v>
      </c>
      <c r="N78" s="26" t="n">
        <v>11350</v>
      </c>
      <c r="O78" s="26" t="n">
        <v>11350</v>
      </c>
      <c r="P78" s="26" t="n">
        <v>2276</v>
      </c>
      <c r="Q78" s="27" t="n">
        <v>0.3274</v>
      </c>
      <c r="R78" s="38" t="n">
        <v>45723</v>
      </c>
      <c r="S78" s="38" t="n">
        <v>45770</v>
      </c>
      <c r="T78" s="25" t="n">
        <v>5</v>
      </c>
      <c r="U78" s="20" t="s">
        <v>164</v>
      </c>
      <c r="V78" s="20" t="s">
        <v>57</v>
      </c>
      <c r="W78" s="39" t="n">
        <f aca="false">IF(U78="SOLD",P78,"")</f>
        <v>2276</v>
      </c>
      <c r="X78" s="40" t="n">
        <f aca="false">IF(U78="SOLD",Q78,"")</f>
        <v>0.3274</v>
      </c>
      <c r="Y78" s="10" t="str">
        <f aca="false">IF(U78="SOLD",TEXT(S78,"YYYY-MM"),"")</f>
        <v>2025-04</v>
      </c>
    </row>
    <row r="79" customFormat="false" ht="15" hidden="false" customHeight="false" outlineLevel="0" collapsed="false">
      <c r="A79" s="20" t="n">
        <v>79</v>
      </c>
      <c r="B79" s="20" t="n">
        <v>2024</v>
      </c>
      <c r="C79" s="20" t="s">
        <v>192</v>
      </c>
      <c r="D79" s="20" t="s">
        <v>181</v>
      </c>
      <c r="E79" s="20" t="s">
        <v>318</v>
      </c>
      <c r="F79" s="20" t="s">
        <v>174</v>
      </c>
      <c r="G79" s="20" t="s">
        <v>169</v>
      </c>
      <c r="H79" s="25" t="n">
        <v>150400</v>
      </c>
      <c r="I79" s="20" t="s">
        <v>132</v>
      </c>
      <c r="J79" s="20" t="s">
        <v>180</v>
      </c>
      <c r="K79" s="26" t="n">
        <v>11856.99</v>
      </c>
      <c r="L79" s="26" t="n">
        <v>13272.01</v>
      </c>
      <c r="M79" s="26" t="n">
        <v>577.99</v>
      </c>
      <c r="N79" s="26" t="n">
        <v>13850</v>
      </c>
      <c r="O79" s="26" t="n">
        <v>13850</v>
      </c>
      <c r="P79" s="26" t="n">
        <v>1993</v>
      </c>
      <c r="Q79" s="27" t="n">
        <v>0.1681</v>
      </c>
      <c r="R79" s="38" t="n">
        <v>45735</v>
      </c>
      <c r="S79" s="38" t="n">
        <v>45773</v>
      </c>
      <c r="T79" s="25" t="n">
        <v>18</v>
      </c>
      <c r="U79" s="20" t="s">
        <v>164</v>
      </c>
      <c r="V79" s="20" t="s">
        <v>46</v>
      </c>
      <c r="W79" s="39" t="n">
        <f aca="false">IF(U79="SOLD",P79,"")</f>
        <v>1993</v>
      </c>
      <c r="X79" s="40" t="n">
        <f aca="false">IF(U79="SOLD",Q79,"")</f>
        <v>0.1681</v>
      </c>
      <c r="Y79" s="10" t="str">
        <f aca="false">IF(U79="SOLD",TEXT(S79,"YYYY-MM"),"")</f>
        <v>2025-04</v>
      </c>
    </row>
    <row r="80" customFormat="false" ht="15" hidden="false" customHeight="false" outlineLevel="0" collapsed="false">
      <c r="A80" s="20" t="n">
        <v>80</v>
      </c>
      <c r="B80" s="20" t="n">
        <v>2024</v>
      </c>
      <c r="C80" s="20" t="s">
        <v>245</v>
      </c>
      <c r="D80" s="20" t="s">
        <v>196</v>
      </c>
      <c r="E80" s="20" t="s">
        <v>319</v>
      </c>
      <c r="F80" s="20" t="s">
        <v>320</v>
      </c>
      <c r="G80" s="20" t="s">
        <v>186</v>
      </c>
      <c r="H80" s="25" t="n">
        <v>161500</v>
      </c>
      <c r="I80" s="20" t="s">
        <v>132</v>
      </c>
      <c r="J80" s="20" t="s">
        <v>180</v>
      </c>
      <c r="K80" s="26" t="n">
        <v>9242</v>
      </c>
      <c r="L80" s="26" t="n">
        <v>8235.11</v>
      </c>
      <c r="M80" s="26" t="n">
        <v>64.89</v>
      </c>
      <c r="N80" s="26" t="n">
        <v>8300</v>
      </c>
      <c r="O80" s="26" t="n">
        <v>9500</v>
      </c>
      <c r="P80" s="26" t="n">
        <v>258</v>
      </c>
      <c r="Q80" s="27" t="n">
        <v>0.0279</v>
      </c>
      <c r="R80" s="38" t="n">
        <v>45756</v>
      </c>
      <c r="S80" s="38" t="n">
        <v>46005</v>
      </c>
      <c r="T80" s="25" t="n">
        <v>213</v>
      </c>
      <c r="U80" s="20" t="s">
        <v>164</v>
      </c>
      <c r="V80" s="20" t="s">
        <v>50</v>
      </c>
      <c r="W80" s="39" t="n">
        <f aca="false">IF(U80="SOLD",P80,"")</f>
        <v>258</v>
      </c>
      <c r="X80" s="40" t="n">
        <f aca="false">IF(U80="SOLD",Q80,"")</f>
        <v>0.0279</v>
      </c>
      <c r="Y80" s="10" t="str">
        <f aca="false">IF(U80="SOLD",TEXT(S80,"YYYY-MM"),"")</f>
        <v>2025-12</v>
      </c>
    </row>
    <row r="81" customFormat="false" ht="15" hidden="false" customHeight="false" outlineLevel="0" collapsed="false">
      <c r="A81" s="20" t="n">
        <v>81</v>
      </c>
      <c r="B81" s="20" t="n">
        <v>2024</v>
      </c>
      <c r="C81" s="20" t="s">
        <v>53</v>
      </c>
      <c r="D81" s="20" t="s">
        <v>196</v>
      </c>
      <c r="E81" s="20" t="s">
        <v>182</v>
      </c>
      <c r="F81" s="20" t="s">
        <v>321</v>
      </c>
      <c r="G81" s="20" t="s">
        <v>169</v>
      </c>
      <c r="H81" s="25" t="n">
        <v>190800</v>
      </c>
      <c r="I81" s="20" t="s">
        <v>132</v>
      </c>
      <c r="J81" s="20" t="s">
        <v>207</v>
      </c>
      <c r="K81" s="26" t="n">
        <v>12351.11</v>
      </c>
      <c r="L81" s="26" t="n">
        <v>13158.89</v>
      </c>
      <c r="M81" s="26" t="n">
        <v>441.11</v>
      </c>
      <c r="N81" s="26" t="n">
        <v>13600</v>
      </c>
      <c r="O81" s="26" t="n">
        <v>13950</v>
      </c>
      <c r="P81" s="26" t="n">
        <v>1599</v>
      </c>
      <c r="Q81" s="27" t="n">
        <v>0.1295</v>
      </c>
      <c r="R81" s="38" t="n">
        <v>45756</v>
      </c>
      <c r="S81" s="38" t="n">
        <v>45834</v>
      </c>
      <c r="T81" s="25" t="n">
        <v>42</v>
      </c>
      <c r="U81" s="20" t="s">
        <v>164</v>
      </c>
      <c r="V81" s="20" t="s">
        <v>53</v>
      </c>
      <c r="W81" s="39" t="n">
        <f aca="false">IF(U81="SOLD",P81,"")</f>
        <v>1599</v>
      </c>
      <c r="X81" s="40" t="n">
        <f aca="false">IF(U81="SOLD",Q81,"")</f>
        <v>0.1295</v>
      </c>
      <c r="Y81" s="10" t="str">
        <f aca="false">IF(U81="SOLD",TEXT(S81,"YYYY-MM"),"")</f>
        <v>2025-06</v>
      </c>
    </row>
    <row r="82" customFormat="false" ht="15" hidden="false" customHeight="false" outlineLevel="0" collapsed="false">
      <c r="A82" s="20" t="n">
        <v>82</v>
      </c>
      <c r="B82" s="20" t="n">
        <v>2024</v>
      </c>
      <c r="C82" s="20" t="s">
        <v>192</v>
      </c>
      <c r="D82" s="20" t="s">
        <v>322</v>
      </c>
      <c r="E82" s="20" t="s">
        <v>296</v>
      </c>
      <c r="F82" s="20" t="s">
        <v>323</v>
      </c>
      <c r="G82" s="20" t="s">
        <v>169</v>
      </c>
      <c r="H82" s="25" t="n">
        <v>194400</v>
      </c>
      <c r="I82" s="20" t="s">
        <v>132</v>
      </c>
      <c r="J82" s="20" t="s">
        <v>184</v>
      </c>
      <c r="K82" s="26" t="n">
        <v>7971.17</v>
      </c>
      <c r="L82" s="26" t="n">
        <v>8658.95</v>
      </c>
      <c r="M82" s="26" t="n">
        <v>341.05</v>
      </c>
      <c r="N82" s="26" t="n">
        <v>9000</v>
      </c>
      <c r="O82" s="26" t="n">
        <v>9350</v>
      </c>
      <c r="P82" s="26" t="n">
        <v>1379</v>
      </c>
      <c r="Q82" s="27" t="n">
        <v>0.173</v>
      </c>
      <c r="R82" s="38" t="n">
        <v>45765</v>
      </c>
      <c r="S82" s="38" t="n">
        <v>45879</v>
      </c>
      <c r="T82" s="25" t="n">
        <v>87</v>
      </c>
      <c r="U82" s="20" t="s">
        <v>164</v>
      </c>
      <c r="V82" s="20" t="s">
        <v>46</v>
      </c>
      <c r="W82" s="39" t="n">
        <f aca="false">IF(U82="SOLD",P82,"")</f>
        <v>1379</v>
      </c>
      <c r="X82" s="40" t="n">
        <f aca="false">IF(U82="SOLD",Q82,"")</f>
        <v>0.173</v>
      </c>
      <c r="Y82" s="10" t="str">
        <f aca="false">IF(U82="SOLD",TEXT(S82,"YYYY-MM"),"")</f>
        <v>2025-08</v>
      </c>
    </row>
    <row r="83" customFormat="false" ht="15" hidden="false" customHeight="false" outlineLevel="0" collapsed="false">
      <c r="A83" s="20" t="n">
        <v>83</v>
      </c>
      <c r="B83" s="20" t="n">
        <v>2024</v>
      </c>
      <c r="C83" s="20" t="s">
        <v>48</v>
      </c>
      <c r="D83" s="20" t="s">
        <v>172</v>
      </c>
      <c r="E83" s="20" t="s">
        <v>255</v>
      </c>
      <c r="F83" s="20" t="s">
        <v>206</v>
      </c>
      <c r="G83" s="20" t="s">
        <v>169</v>
      </c>
      <c r="H83" s="25" t="n">
        <v>147600</v>
      </c>
      <c r="I83" s="20" t="s">
        <v>132</v>
      </c>
      <c r="J83" s="20" t="s">
        <v>170</v>
      </c>
      <c r="K83" s="26" t="n">
        <v>13198.16</v>
      </c>
      <c r="L83" s="26" t="n">
        <v>13926.84</v>
      </c>
      <c r="M83" s="26" t="n">
        <v>423.16</v>
      </c>
      <c r="N83" s="26" t="n">
        <v>14350</v>
      </c>
      <c r="O83" s="26" t="n">
        <v>14900</v>
      </c>
      <c r="P83" s="26" t="n">
        <v>1702</v>
      </c>
      <c r="Q83" s="27" t="n">
        <v>0.129</v>
      </c>
      <c r="R83" s="38" t="n">
        <v>45769</v>
      </c>
      <c r="S83" s="38" t="n">
        <v>45840</v>
      </c>
      <c r="T83" s="25" t="n">
        <v>27</v>
      </c>
      <c r="U83" s="20" t="s">
        <v>164</v>
      </c>
      <c r="V83" s="20" t="s">
        <v>48</v>
      </c>
      <c r="W83" s="39" t="n">
        <f aca="false">IF(U83="SOLD",P83,"")</f>
        <v>1702</v>
      </c>
      <c r="X83" s="40" t="n">
        <f aca="false">IF(U83="SOLD",Q83,"")</f>
        <v>0.129</v>
      </c>
      <c r="Y83" s="10" t="str">
        <f aca="false">IF(U83="SOLD",TEXT(S83,"YYYY-MM"),"")</f>
        <v>2025-07</v>
      </c>
    </row>
    <row r="84" customFormat="false" ht="15" hidden="false" customHeight="false" outlineLevel="0" collapsed="false">
      <c r="A84" s="20" t="n">
        <v>84</v>
      </c>
      <c r="B84" s="20" t="n">
        <v>2024</v>
      </c>
      <c r="C84" s="20" t="s">
        <v>49</v>
      </c>
      <c r="D84" s="20" t="s">
        <v>295</v>
      </c>
      <c r="E84" s="20" t="s">
        <v>296</v>
      </c>
      <c r="F84" s="20" t="s">
        <v>324</v>
      </c>
      <c r="G84" s="20" t="s">
        <v>169</v>
      </c>
      <c r="H84" s="25" t="n">
        <v>161600</v>
      </c>
      <c r="I84" s="20" t="s">
        <v>132</v>
      </c>
      <c r="J84" s="20" t="s">
        <v>180</v>
      </c>
      <c r="K84" s="26" t="n">
        <v>8134.43</v>
      </c>
      <c r="L84" s="26" t="n">
        <v>8738.57</v>
      </c>
      <c r="M84" s="26" t="n">
        <v>416.43</v>
      </c>
      <c r="N84" s="26" t="n">
        <v>9155</v>
      </c>
      <c r="O84" s="26" t="n">
        <v>9655</v>
      </c>
      <c r="P84" s="26" t="n">
        <v>1521</v>
      </c>
      <c r="Q84" s="27" t="n">
        <v>0.187</v>
      </c>
      <c r="R84" s="38" t="n">
        <v>45770</v>
      </c>
      <c r="S84" s="38" t="n">
        <v>45871</v>
      </c>
      <c r="T84" s="25" t="n">
        <v>73</v>
      </c>
      <c r="U84" s="20" t="s">
        <v>164</v>
      </c>
      <c r="V84" s="20" t="s">
        <v>49</v>
      </c>
      <c r="W84" s="39" t="n">
        <f aca="false">IF(U84="SOLD",P84,"")</f>
        <v>1521</v>
      </c>
      <c r="X84" s="40" t="n">
        <f aca="false">IF(U84="SOLD",Q84,"")</f>
        <v>0.187</v>
      </c>
      <c r="Y84" s="10" t="str">
        <f aca="false">IF(U84="SOLD",TEXT(S84,"YYYY-MM"),"")</f>
        <v>2025-08</v>
      </c>
    </row>
    <row r="85" customFormat="false" ht="15" hidden="false" customHeight="false" outlineLevel="0" collapsed="false">
      <c r="A85" s="20" t="n">
        <v>85</v>
      </c>
      <c r="B85" s="20" t="n">
        <v>2024</v>
      </c>
      <c r="C85" s="20" t="s">
        <v>192</v>
      </c>
      <c r="D85" s="20" t="s">
        <v>181</v>
      </c>
      <c r="E85" s="20" t="s">
        <v>267</v>
      </c>
      <c r="F85" s="20" t="s">
        <v>231</v>
      </c>
      <c r="G85" s="20" t="s">
        <v>169</v>
      </c>
      <c r="H85" s="25" t="n">
        <v>133000</v>
      </c>
      <c r="I85" s="20" t="s">
        <v>132</v>
      </c>
      <c r="J85" s="20" t="s">
        <v>180</v>
      </c>
      <c r="K85" s="26" t="n">
        <v>11745.6</v>
      </c>
      <c r="L85" s="26" t="n">
        <v>11992.4</v>
      </c>
      <c r="M85" s="26" t="n">
        <v>307.6</v>
      </c>
      <c r="N85" s="26" t="n">
        <v>12300</v>
      </c>
      <c r="O85" s="26" t="n">
        <v>12300</v>
      </c>
      <c r="P85" s="26" t="n">
        <v>554</v>
      </c>
      <c r="Q85" s="27" t="n">
        <v>0.0472</v>
      </c>
      <c r="R85" s="38" t="n">
        <v>45777</v>
      </c>
      <c r="S85" s="38" t="n">
        <v>46070</v>
      </c>
      <c r="T85" s="25" t="n">
        <v>169</v>
      </c>
      <c r="U85" s="20" t="s">
        <v>164</v>
      </c>
      <c r="V85" s="20" t="s">
        <v>46</v>
      </c>
      <c r="W85" s="39" t="n">
        <f aca="false">IF(U85="SOLD",P85,"")</f>
        <v>554</v>
      </c>
      <c r="X85" s="40" t="n">
        <f aca="false">IF(U85="SOLD",Q85,"")</f>
        <v>0.0472</v>
      </c>
      <c r="Y85" s="10" t="str">
        <f aca="false">IF(U85="SOLD",TEXT(S85,"YYYY-MM"),"")</f>
        <v>2026-02</v>
      </c>
    </row>
    <row r="86" customFormat="false" ht="15" hidden="false" customHeight="false" outlineLevel="0" collapsed="false">
      <c r="A86" s="20" t="n">
        <v>86</v>
      </c>
      <c r="B86" s="20" t="n">
        <v>2024</v>
      </c>
      <c r="C86" s="20" t="s">
        <v>49</v>
      </c>
      <c r="D86" s="20" t="s">
        <v>196</v>
      </c>
      <c r="E86" s="20" t="s">
        <v>285</v>
      </c>
      <c r="F86" s="20" t="s">
        <v>174</v>
      </c>
      <c r="G86" s="20" t="s">
        <v>169</v>
      </c>
      <c r="H86" s="25" t="n">
        <v>173500</v>
      </c>
      <c r="I86" s="20" t="s">
        <v>132</v>
      </c>
      <c r="J86" s="20" t="s">
        <v>180</v>
      </c>
      <c r="K86" s="26" t="n">
        <v>14160.7</v>
      </c>
      <c r="L86" s="26" t="n">
        <v>13889.3</v>
      </c>
      <c r="M86" s="26" t="n">
        <v>110.7</v>
      </c>
      <c r="N86" s="26" t="n">
        <v>14000</v>
      </c>
      <c r="O86" s="26" t="n">
        <v>17350</v>
      </c>
      <c r="P86" s="26" t="n">
        <v>3189</v>
      </c>
      <c r="Q86" s="27" t="n">
        <v>0.2252</v>
      </c>
      <c r="R86" s="38" t="n">
        <v>45777</v>
      </c>
      <c r="S86" s="38" t="n">
        <v>45881</v>
      </c>
      <c r="T86" s="25" t="n">
        <v>68</v>
      </c>
      <c r="U86" s="20" t="s">
        <v>164</v>
      </c>
      <c r="V86" s="20" t="s">
        <v>49</v>
      </c>
      <c r="W86" s="39" t="n">
        <f aca="false">IF(U86="SOLD",P86,"")</f>
        <v>3189</v>
      </c>
      <c r="X86" s="40" t="n">
        <f aca="false">IF(U86="SOLD",Q86,"")</f>
        <v>0.2252</v>
      </c>
      <c r="Y86" s="10" t="str">
        <f aca="false">IF(U86="SOLD",TEXT(S86,"YYYY-MM"),"")</f>
        <v>2025-08</v>
      </c>
    </row>
    <row r="87" customFormat="false" ht="15" hidden="false" customHeight="false" outlineLevel="0" collapsed="false">
      <c r="A87" s="20" t="n">
        <v>87</v>
      </c>
      <c r="B87" s="20" t="n">
        <v>2024</v>
      </c>
      <c r="C87" s="20" t="s">
        <v>229</v>
      </c>
      <c r="D87" s="20" t="s">
        <v>196</v>
      </c>
      <c r="E87" s="20" t="s">
        <v>255</v>
      </c>
      <c r="F87" s="20" t="s">
        <v>325</v>
      </c>
      <c r="G87" s="20" t="s">
        <v>175</v>
      </c>
      <c r="H87" s="25" t="n">
        <v>181400</v>
      </c>
      <c r="I87" s="20" t="s">
        <v>132</v>
      </c>
      <c r="J87" s="20" t="s">
        <v>180</v>
      </c>
      <c r="K87" s="26" t="n">
        <v>12668</v>
      </c>
      <c r="L87" s="26" t="n">
        <v>12077.56</v>
      </c>
      <c r="M87" s="26" t="n">
        <v>22.44</v>
      </c>
      <c r="N87" s="26" t="n">
        <v>12100</v>
      </c>
      <c r="O87" s="26" t="n">
        <v>14900</v>
      </c>
      <c r="P87" s="26" t="n">
        <v>2232</v>
      </c>
      <c r="Q87" s="27" t="n">
        <v>0.1762</v>
      </c>
      <c r="R87" s="38" t="n">
        <v>45782</v>
      </c>
      <c r="S87" s="38" t="n">
        <v>45793</v>
      </c>
      <c r="T87" s="25" t="n">
        <v>1</v>
      </c>
      <c r="U87" s="20" t="s">
        <v>164</v>
      </c>
      <c r="V87" s="20" t="s">
        <v>52</v>
      </c>
      <c r="W87" s="39" t="n">
        <f aca="false">IF(U87="SOLD",P87,"")</f>
        <v>2232</v>
      </c>
      <c r="X87" s="40" t="n">
        <f aca="false">IF(U87="SOLD",Q87,"")</f>
        <v>0.1762</v>
      </c>
      <c r="Y87" s="10" t="str">
        <f aca="false">IF(U87="SOLD",TEXT(S87,"YYYY-MM"),"")</f>
        <v>2025-05</v>
      </c>
    </row>
    <row r="88" customFormat="false" ht="15" hidden="false" customHeight="false" outlineLevel="0" collapsed="false">
      <c r="A88" s="20" t="n">
        <v>88</v>
      </c>
      <c r="B88" s="20" t="n">
        <v>2024</v>
      </c>
      <c r="C88" s="20" t="s">
        <v>81</v>
      </c>
      <c r="D88" s="20" t="s">
        <v>172</v>
      </c>
      <c r="E88" s="20" t="s">
        <v>193</v>
      </c>
      <c r="F88" s="20" t="s">
        <v>326</v>
      </c>
      <c r="G88" s="20" t="s">
        <v>162</v>
      </c>
      <c r="H88" s="25" t="n">
        <v>187000</v>
      </c>
      <c r="I88" s="20" t="s">
        <v>132</v>
      </c>
      <c r="J88" s="20" t="s">
        <v>207</v>
      </c>
      <c r="K88" s="26" t="n">
        <v>11500</v>
      </c>
      <c r="L88" s="26"/>
      <c r="M88" s="26"/>
      <c r="N88" s="26"/>
      <c r="O88" s="26" t="n">
        <v>12300</v>
      </c>
      <c r="P88" s="26" t="n">
        <v>800</v>
      </c>
      <c r="Q88" s="27" t="n">
        <v>0.0696</v>
      </c>
      <c r="R88" s="38" t="n">
        <v>45784</v>
      </c>
      <c r="S88" s="38" t="n">
        <v>45803</v>
      </c>
      <c r="T88" s="25" t="n">
        <v>11</v>
      </c>
      <c r="U88" s="20" t="s">
        <v>164</v>
      </c>
      <c r="V88" s="20" t="s">
        <v>81</v>
      </c>
      <c r="W88" s="39" t="n">
        <f aca="false">IF(U88="SOLD",P88,"")</f>
        <v>800</v>
      </c>
      <c r="X88" s="40" t="n">
        <f aca="false">IF(U88="SOLD",Q88,"")</f>
        <v>0.0696</v>
      </c>
      <c r="Y88" s="10" t="str">
        <f aca="false">IF(U88="SOLD",TEXT(S88,"YYYY-MM"),"")</f>
        <v>2025-05</v>
      </c>
    </row>
    <row r="89" customFormat="false" ht="15" hidden="false" customHeight="false" outlineLevel="0" collapsed="false">
      <c r="A89" s="20" t="n">
        <v>89</v>
      </c>
      <c r="B89" s="20" t="n">
        <v>2024</v>
      </c>
      <c r="C89" s="20" t="s">
        <v>171</v>
      </c>
      <c r="D89" s="20" t="s">
        <v>172</v>
      </c>
      <c r="E89" s="20" t="s">
        <v>327</v>
      </c>
      <c r="F89" s="20" t="s">
        <v>328</v>
      </c>
      <c r="G89" s="20" t="s">
        <v>169</v>
      </c>
      <c r="H89" s="25" t="n">
        <v>106100</v>
      </c>
      <c r="I89" s="20" t="s">
        <v>132</v>
      </c>
      <c r="J89" s="20" t="s">
        <v>248</v>
      </c>
      <c r="K89" s="26" t="n">
        <v>15334.24</v>
      </c>
      <c r="L89" s="26" t="n">
        <v>16215.76</v>
      </c>
      <c r="M89" s="26" t="n">
        <v>784.24</v>
      </c>
      <c r="N89" s="26" t="n">
        <v>17000</v>
      </c>
      <c r="O89" s="26" t="n">
        <v>17550</v>
      </c>
      <c r="P89" s="26" t="n">
        <v>2216</v>
      </c>
      <c r="Q89" s="27" t="n">
        <v>0.1445</v>
      </c>
      <c r="R89" s="38" t="n">
        <v>45793</v>
      </c>
      <c r="S89" s="38" t="n">
        <v>45890</v>
      </c>
      <c r="T89" s="25" t="n">
        <v>80</v>
      </c>
      <c r="U89" s="20" t="s">
        <v>164</v>
      </c>
      <c r="V89" s="20" t="s">
        <v>51</v>
      </c>
      <c r="W89" s="39" t="n">
        <f aca="false">IF(U89="SOLD",P89,"")</f>
        <v>2216</v>
      </c>
      <c r="X89" s="40" t="n">
        <f aca="false">IF(U89="SOLD",Q89,"")</f>
        <v>0.1445</v>
      </c>
      <c r="Y89" s="10" t="str">
        <f aca="false">IF(U89="SOLD",TEXT(S89,"YYYY-MM"),"")</f>
        <v>2025-08</v>
      </c>
    </row>
    <row r="90" customFormat="false" ht="15" hidden="false" customHeight="false" outlineLevel="0" collapsed="false">
      <c r="A90" s="20" t="n">
        <v>90</v>
      </c>
      <c r="B90" s="20" t="n">
        <v>2024</v>
      </c>
      <c r="C90" s="20" t="s">
        <v>48</v>
      </c>
      <c r="D90" s="20" t="s">
        <v>329</v>
      </c>
      <c r="E90" s="20" t="s">
        <v>330</v>
      </c>
      <c r="F90" s="20" t="s">
        <v>331</v>
      </c>
      <c r="G90" s="20" t="s">
        <v>169</v>
      </c>
      <c r="H90" s="25" t="n">
        <v>150400</v>
      </c>
      <c r="I90" s="20" t="s">
        <v>132</v>
      </c>
      <c r="J90" s="20" t="s">
        <v>180</v>
      </c>
      <c r="K90" s="26" t="n">
        <v>12492</v>
      </c>
      <c r="L90" s="26" t="n">
        <v>12033.8</v>
      </c>
      <c r="M90" s="26" t="n">
        <v>66.2</v>
      </c>
      <c r="N90" s="26" t="n">
        <v>12100</v>
      </c>
      <c r="O90" s="26" t="n">
        <v>15000</v>
      </c>
      <c r="P90" s="26" t="n">
        <v>2508</v>
      </c>
      <c r="Q90" s="27" t="n">
        <v>0.2008</v>
      </c>
      <c r="R90" s="38" t="n">
        <v>45794</v>
      </c>
      <c r="S90" s="38" t="n">
        <v>45852</v>
      </c>
      <c r="T90" s="25" t="n">
        <v>16</v>
      </c>
      <c r="U90" s="20" t="s">
        <v>164</v>
      </c>
      <c r="V90" s="20" t="s">
        <v>48</v>
      </c>
      <c r="W90" s="39" t="n">
        <f aca="false">IF(U90="SOLD",P90,"")</f>
        <v>2508</v>
      </c>
      <c r="X90" s="40" t="n">
        <f aca="false">IF(U90="SOLD",Q90,"")</f>
        <v>0.2008</v>
      </c>
      <c r="Y90" s="10" t="str">
        <f aca="false">IF(U90="SOLD",TEXT(S90,"YYYY-MM"),"")</f>
        <v>2025-07</v>
      </c>
    </row>
    <row r="91" customFormat="false" ht="15" hidden="false" customHeight="false" outlineLevel="0" collapsed="false">
      <c r="A91" s="20" t="n">
        <v>91</v>
      </c>
      <c r="B91" s="20" t="n">
        <v>2024</v>
      </c>
      <c r="C91" s="20" t="s">
        <v>192</v>
      </c>
      <c r="D91" s="20" t="s">
        <v>172</v>
      </c>
      <c r="E91" s="20" t="s">
        <v>167</v>
      </c>
      <c r="F91" s="20" t="s">
        <v>174</v>
      </c>
      <c r="G91" s="20" t="s">
        <v>169</v>
      </c>
      <c r="H91" s="25" t="n">
        <v>195400</v>
      </c>
      <c r="I91" s="20" t="s">
        <v>132</v>
      </c>
      <c r="J91" s="20" t="s">
        <v>248</v>
      </c>
      <c r="K91" s="26" t="n">
        <v>11716.54</v>
      </c>
      <c r="L91" s="26" t="n">
        <v>12726.46</v>
      </c>
      <c r="M91" s="26" t="n">
        <v>423.54</v>
      </c>
      <c r="N91" s="26" t="n">
        <v>13150</v>
      </c>
      <c r="O91" s="26" t="n">
        <v>13400</v>
      </c>
      <c r="P91" s="26" t="n">
        <v>1683</v>
      </c>
      <c r="Q91" s="27" t="n">
        <v>0.1436</v>
      </c>
      <c r="R91" s="38" t="n">
        <v>45813</v>
      </c>
      <c r="S91" s="38" t="n">
        <v>45848</v>
      </c>
      <c r="T91" s="25" t="n">
        <v>16</v>
      </c>
      <c r="U91" s="20" t="s">
        <v>164</v>
      </c>
      <c r="V91" s="20" t="s">
        <v>46</v>
      </c>
      <c r="W91" s="39" t="n">
        <f aca="false">IF(U91="SOLD",P91,"")</f>
        <v>1683</v>
      </c>
      <c r="X91" s="40" t="n">
        <f aca="false">IF(U91="SOLD",Q91,"")</f>
        <v>0.1436</v>
      </c>
      <c r="Y91" s="10" t="str">
        <f aca="false">IF(U91="SOLD",TEXT(S91,"YYYY-MM"),"")</f>
        <v>2025-07</v>
      </c>
    </row>
    <row r="92" customFormat="false" ht="15" hidden="false" customHeight="false" outlineLevel="0" collapsed="false">
      <c r="A92" s="20" t="n">
        <v>92</v>
      </c>
      <c r="B92" s="20" t="n">
        <v>2024</v>
      </c>
      <c r="C92" s="20" t="s">
        <v>49</v>
      </c>
      <c r="D92" s="20" t="s">
        <v>295</v>
      </c>
      <c r="E92" s="20" t="s">
        <v>332</v>
      </c>
      <c r="F92" s="20" t="s">
        <v>333</v>
      </c>
      <c r="G92" s="20" t="s">
        <v>169</v>
      </c>
      <c r="H92" s="25" t="n">
        <v>197500</v>
      </c>
      <c r="I92" s="20" t="s">
        <v>132</v>
      </c>
      <c r="J92" s="20" t="s">
        <v>180</v>
      </c>
      <c r="K92" s="26" t="n">
        <v>8214.9</v>
      </c>
      <c r="L92" s="26" t="n">
        <v>9200.1</v>
      </c>
      <c r="M92" s="26" t="n">
        <v>449.9</v>
      </c>
      <c r="N92" s="26" t="n">
        <v>9650</v>
      </c>
      <c r="O92" s="26" t="n">
        <v>10000</v>
      </c>
      <c r="P92" s="26" t="n">
        <v>1785</v>
      </c>
      <c r="Q92" s="27" t="n">
        <v>0.2173</v>
      </c>
      <c r="R92" s="38" t="n">
        <v>45813</v>
      </c>
      <c r="S92" s="38" t="n">
        <v>45847</v>
      </c>
      <c r="T92" s="25" t="n">
        <v>7</v>
      </c>
      <c r="U92" s="20" t="s">
        <v>164</v>
      </c>
      <c r="V92" s="20" t="s">
        <v>49</v>
      </c>
      <c r="W92" s="39" t="n">
        <f aca="false">IF(U92="SOLD",P92,"")</f>
        <v>1785</v>
      </c>
      <c r="X92" s="40" t="n">
        <f aca="false">IF(U92="SOLD",Q92,"")</f>
        <v>0.2173</v>
      </c>
      <c r="Y92" s="10" t="str">
        <f aca="false">IF(U92="SOLD",TEXT(S92,"YYYY-MM"),"")</f>
        <v>2025-07</v>
      </c>
    </row>
    <row r="93" customFormat="false" ht="15" hidden="false" customHeight="false" outlineLevel="0" collapsed="false">
      <c r="A93" s="20" t="n">
        <v>93</v>
      </c>
      <c r="B93" s="20" t="n">
        <v>2024</v>
      </c>
      <c r="C93" s="20" t="s">
        <v>192</v>
      </c>
      <c r="D93" s="20" t="s">
        <v>181</v>
      </c>
      <c r="E93" s="20" t="s">
        <v>289</v>
      </c>
      <c r="F93" s="20" t="s">
        <v>174</v>
      </c>
      <c r="G93" s="20" t="s">
        <v>175</v>
      </c>
      <c r="H93" s="25" t="n">
        <v>180200</v>
      </c>
      <c r="I93" s="20" t="s">
        <v>132</v>
      </c>
      <c r="J93" s="20" t="s">
        <v>180</v>
      </c>
      <c r="K93" s="26" t="n">
        <v>10565</v>
      </c>
      <c r="L93" s="26" t="n">
        <v>10345.97</v>
      </c>
      <c r="M93" s="26" t="n">
        <v>34.03</v>
      </c>
      <c r="N93" s="26" t="n">
        <v>10380</v>
      </c>
      <c r="O93" s="26" t="n">
        <v>11600</v>
      </c>
      <c r="P93" s="26" t="n">
        <v>1035</v>
      </c>
      <c r="Q93" s="27" t="n">
        <v>0.098</v>
      </c>
      <c r="R93" s="38" t="n">
        <v>45828</v>
      </c>
      <c r="S93" s="38" t="n">
        <v>46056</v>
      </c>
      <c r="T93" s="25" t="n">
        <v>174</v>
      </c>
      <c r="U93" s="20" t="s">
        <v>164</v>
      </c>
      <c r="V93" s="20" t="s">
        <v>46</v>
      </c>
      <c r="W93" s="39" t="n">
        <f aca="false">IF(U93="SOLD",P93,"")</f>
        <v>1035</v>
      </c>
      <c r="X93" s="40" t="n">
        <f aca="false">IF(U93="SOLD",Q93,"")</f>
        <v>0.098</v>
      </c>
      <c r="Y93" s="10" t="str">
        <f aca="false">IF(U93="SOLD",TEXT(S93,"YYYY-MM"),"")</f>
        <v>2026-02</v>
      </c>
    </row>
    <row r="94" customFormat="false" ht="15" hidden="false" customHeight="false" outlineLevel="0" collapsed="false">
      <c r="A94" s="20" t="n">
        <v>94</v>
      </c>
      <c r="B94" s="20" t="n">
        <v>2024</v>
      </c>
      <c r="C94" s="20" t="s">
        <v>229</v>
      </c>
      <c r="D94" s="20" t="s">
        <v>334</v>
      </c>
      <c r="E94" s="20" t="s">
        <v>335</v>
      </c>
      <c r="F94" s="20" t="s">
        <v>336</v>
      </c>
      <c r="G94" s="20" t="s">
        <v>186</v>
      </c>
      <c r="H94" s="25" t="n">
        <v>48300</v>
      </c>
      <c r="I94" s="20" t="s">
        <v>132</v>
      </c>
      <c r="J94" s="20" t="s">
        <v>163</v>
      </c>
      <c r="K94" s="26" t="n">
        <v>1966.74</v>
      </c>
      <c r="L94" s="26" t="n">
        <v>28446.26</v>
      </c>
      <c r="M94" s="26" t="n">
        <v>3.74</v>
      </c>
      <c r="N94" s="26" t="n">
        <v>28450</v>
      </c>
      <c r="O94" s="26" t="n">
        <v>31617</v>
      </c>
      <c r="P94" s="26" t="n">
        <v>1200</v>
      </c>
      <c r="Q94" s="27" t="n">
        <v>0.6101</v>
      </c>
      <c r="R94" s="38" t="n">
        <v>45841</v>
      </c>
      <c r="S94" s="38" t="n">
        <v>45847</v>
      </c>
      <c r="T94" s="25" t="n">
        <v>1</v>
      </c>
      <c r="U94" s="20" t="s">
        <v>164</v>
      </c>
      <c r="V94" s="20" t="s">
        <v>52</v>
      </c>
      <c r="W94" s="39" t="n">
        <f aca="false">IF(U94="SOLD",P94,"")</f>
        <v>1200</v>
      </c>
      <c r="X94" s="40" t="n">
        <f aca="false">IF(U94="SOLD",Q94,"")</f>
        <v>0.6101</v>
      </c>
      <c r="Y94" s="10" t="str">
        <f aca="false">IF(U94="SOLD",TEXT(S94,"YYYY-MM"),"")</f>
        <v>2025-07</v>
      </c>
    </row>
    <row r="95" customFormat="false" ht="15" hidden="false" customHeight="false" outlineLevel="0" collapsed="false">
      <c r="A95" s="20" t="n">
        <v>95</v>
      </c>
      <c r="B95" s="20" t="n">
        <v>2024</v>
      </c>
      <c r="C95" s="20" t="s">
        <v>192</v>
      </c>
      <c r="D95" s="20" t="s">
        <v>181</v>
      </c>
      <c r="E95" s="20" t="s">
        <v>189</v>
      </c>
      <c r="F95" s="20" t="s">
        <v>231</v>
      </c>
      <c r="G95" s="20" t="s">
        <v>186</v>
      </c>
      <c r="H95" s="25" t="n">
        <v>126200</v>
      </c>
      <c r="I95" s="20" t="s">
        <v>132</v>
      </c>
      <c r="J95" s="20" t="s">
        <v>207</v>
      </c>
      <c r="K95" s="26" t="n">
        <v>12050.48</v>
      </c>
      <c r="L95" s="26" t="n">
        <v>13761.52</v>
      </c>
      <c r="M95" s="26" t="n">
        <v>628.48</v>
      </c>
      <c r="N95" s="26" t="n">
        <v>14390</v>
      </c>
      <c r="O95" s="26" t="n">
        <v>14740</v>
      </c>
      <c r="P95" s="26" t="n">
        <v>2690</v>
      </c>
      <c r="Q95" s="27" t="n">
        <v>0.2232</v>
      </c>
      <c r="R95" s="38" t="n">
        <v>45853</v>
      </c>
      <c r="S95" s="38" t="n">
        <v>45876</v>
      </c>
      <c r="T95" s="25" t="n">
        <v>6</v>
      </c>
      <c r="U95" s="20" t="s">
        <v>164</v>
      </c>
      <c r="V95" s="20" t="s">
        <v>46</v>
      </c>
      <c r="W95" s="39" t="n">
        <f aca="false">IF(U95="SOLD",P95,"")</f>
        <v>2690</v>
      </c>
      <c r="X95" s="40" t="n">
        <f aca="false">IF(U95="SOLD",Q95,"")</f>
        <v>0.2232</v>
      </c>
      <c r="Y95" s="10" t="str">
        <f aca="false">IF(U95="SOLD",TEXT(S95,"YYYY-MM"),"")</f>
        <v>2025-08</v>
      </c>
    </row>
    <row r="96" customFormat="false" ht="15" hidden="false" customHeight="false" outlineLevel="0" collapsed="false">
      <c r="A96" s="20" t="n">
        <v>96</v>
      </c>
      <c r="B96" s="20" t="n">
        <v>2024</v>
      </c>
      <c r="C96" s="20" t="s">
        <v>337</v>
      </c>
      <c r="D96" s="20" t="s">
        <v>338</v>
      </c>
      <c r="E96" s="20" t="s">
        <v>182</v>
      </c>
      <c r="F96" s="20" t="s">
        <v>339</v>
      </c>
      <c r="G96" s="20" t="s">
        <v>215</v>
      </c>
      <c r="H96" s="25" t="n">
        <v>118800</v>
      </c>
      <c r="I96" s="20" t="s">
        <v>132</v>
      </c>
      <c r="J96" s="20" t="s">
        <v>163</v>
      </c>
      <c r="K96" s="26" t="n">
        <v>1451</v>
      </c>
      <c r="L96" s="26" t="n">
        <v>36000</v>
      </c>
      <c r="M96" s="26" t="n">
        <v>0</v>
      </c>
      <c r="N96" s="26" t="n">
        <v>36000</v>
      </c>
      <c r="O96" s="26" t="n">
        <v>38701</v>
      </c>
      <c r="P96" s="26" t="n">
        <v>1250</v>
      </c>
      <c r="Q96" s="27" t="n">
        <v>0.8615</v>
      </c>
      <c r="R96" s="38" t="n">
        <v>45841</v>
      </c>
      <c r="S96" s="38" t="n">
        <v>45847</v>
      </c>
      <c r="T96" s="25" t="n">
        <v>1</v>
      </c>
      <c r="U96" s="20" t="s">
        <v>164</v>
      </c>
      <c r="V96" s="20" t="s">
        <v>75</v>
      </c>
      <c r="W96" s="39" t="n">
        <f aca="false">IF(U96="SOLD",P96,"")</f>
        <v>1250</v>
      </c>
      <c r="X96" s="40" t="n">
        <f aca="false">IF(U96="SOLD",Q96,"")</f>
        <v>0.8615</v>
      </c>
      <c r="Y96" s="10" t="str">
        <f aca="false">IF(U96="SOLD",TEXT(S96,"YYYY-MM"),"")</f>
        <v>2025-07</v>
      </c>
    </row>
    <row r="97" customFormat="false" ht="15" hidden="false" customHeight="false" outlineLevel="0" collapsed="false">
      <c r="A97" s="20" t="n">
        <v>97</v>
      </c>
      <c r="B97" s="20" t="n">
        <v>2024</v>
      </c>
      <c r="C97" s="20" t="s">
        <v>229</v>
      </c>
      <c r="D97" s="20" t="s">
        <v>185</v>
      </c>
      <c r="E97" s="20" t="s">
        <v>340</v>
      </c>
      <c r="F97" s="20" t="s">
        <v>325</v>
      </c>
      <c r="G97" s="20" t="s">
        <v>175</v>
      </c>
      <c r="H97" s="25" t="n">
        <v>195000</v>
      </c>
      <c r="I97" s="20" t="s">
        <v>132</v>
      </c>
      <c r="J97" s="20" t="s">
        <v>180</v>
      </c>
      <c r="K97" s="26" t="n">
        <v>12063.57</v>
      </c>
      <c r="L97" s="26" t="n">
        <v>12380.43</v>
      </c>
      <c r="M97" s="26" t="n">
        <v>319.57</v>
      </c>
      <c r="N97" s="26" t="n">
        <v>12700</v>
      </c>
      <c r="O97" s="26" t="n">
        <v>12700</v>
      </c>
      <c r="P97" s="26" t="n">
        <v>636</v>
      </c>
      <c r="Q97" s="27" t="n">
        <v>0.0527</v>
      </c>
      <c r="R97" s="38" t="n">
        <v>45859</v>
      </c>
      <c r="S97" s="38" t="n">
        <v>46033</v>
      </c>
      <c r="T97" s="25" t="n">
        <v>128</v>
      </c>
      <c r="U97" s="20" t="s">
        <v>164</v>
      </c>
      <c r="V97" s="20" t="s">
        <v>52</v>
      </c>
      <c r="W97" s="39" t="n">
        <f aca="false">IF(U97="SOLD",P97,"")</f>
        <v>636</v>
      </c>
      <c r="X97" s="40" t="n">
        <f aca="false">IF(U97="SOLD",Q97,"")</f>
        <v>0.0527</v>
      </c>
      <c r="Y97" s="10" t="str">
        <f aca="false">IF(U97="SOLD",TEXT(S97,"YYYY-MM"),"")</f>
        <v>2026-01</v>
      </c>
    </row>
    <row r="98" customFormat="false" ht="15" hidden="false" customHeight="false" outlineLevel="0" collapsed="false">
      <c r="A98" s="20" t="n">
        <v>98</v>
      </c>
      <c r="B98" s="20" t="n">
        <v>2024</v>
      </c>
      <c r="C98" s="20" t="s">
        <v>192</v>
      </c>
      <c r="D98" s="20" t="s">
        <v>181</v>
      </c>
      <c r="E98" s="20" t="s">
        <v>296</v>
      </c>
      <c r="F98" s="20" t="s">
        <v>174</v>
      </c>
      <c r="G98" s="20" t="s">
        <v>175</v>
      </c>
      <c r="H98" s="25" t="n">
        <v>191300</v>
      </c>
      <c r="I98" s="20" t="s">
        <v>132</v>
      </c>
      <c r="J98" s="20" t="s">
        <v>180</v>
      </c>
      <c r="K98" s="26" t="n">
        <v>7310</v>
      </c>
      <c r="L98" s="26" t="n">
        <v>7047.83</v>
      </c>
      <c r="M98" s="26" t="n">
        <v>52.17</v>
      </c>
      <c r="N98" s="26" t="n">
        <v>7100</v>
      </c>
      <c r="O98" s="26" t="n">
        <v>8100</v>
      </c>
      <c r="P98" s="26" t="n">
        <v>790</v>
      </c>
      <c r="Q98" s="27" t="n">
        <v>0.1081</v>
      </c>
      <c r="R98" s="38" t="n">
        <v>45870</v>
      </c>
      <c r="S98" s="38" t="n">
        <v>46040</v>
      </c>
      <c r="T98" s="25" t="n">
        <v>126</v>
      </c>
      <c r="U98" s="20" t="s">
        <v>164</v>
      </c>
      <c r="V98" s="20" t="s">
        <v>46</v>
      </c>
      <c r="W98" s="39" t="n">
        <f aca="false">IF(U98="SOLD",P98,"")</f>
        <v>790</v>
      </c>
      <c r="X98" s="40" t="n">
        <f aca="false">IF(U98="SOLD",Q98,"")</f>
        <v>0.1081</v>
      </c>
      <c r="Y98" s="10" t="str">
        <f aca="false">IF(U98="SOLD",TEXT(S98,"YYYY-MM"),"")</f>
        <v>2026-01</v>
      </c>
    </row>
    <row r="99" customFormat="false" ht="15" hidden="false" customHeight="false" outlineLevel="0" collapsed="false">
      <c r="A99" s="20" t="n">
        <v>99</v>
      </c>
      <c r="B99" s="20" t="n">
        <v>2024</v>
      </c>
      <c r="C99" s="20" t="s">
        <v>80</v>
      </c>
      <c r="D99" s="20" t="s">
        <v>166</v>
      </c>
      <c r="E99" s="20" t="s">
        <v>341</v>
      </c>
      <c r="F99" s="20" t="s">
        <v>342</v>
      </c>
      <c r="G99" s="20" t="s">
        <v>162</v>
      </c>
      <c r="H99" s="25" t="n">
        <v>63000</v>
      </c>
      <c r="I99" s="20" t="s">
        <v>132</v>
      </c>
      <c r="J99" s="20"/>
      <c r="K99" s="26" t="n">
        <v>43</v>
      </c>
      <c r="L99" s="26"/>
      <c r="M99" s="26"/>
      <c r="N99" s="26"/>
      <c r="O99" s="26" t="n">
        <v>900</v>
      </c>
      <c r="P99" s="26" t="n">
        <v>857</v>
      </c>
      <c r="Q99" s="27" t="n">
        <v>19.9302</v>
      </c>
      <c r="R99" s="38" t="n">
        <v>45884</v>
      </c>
      <c r="S99" s="38" t="n">
        <v>45919</v>
      </c>
      <c r="T99" s="25" t="n">
        <v>34</v>
      </c>
      <c r="U99" s="20" t="s">
        <v>164</v>
      </c>
      <c r="V99" s="20" t="s">
        <v>80</v>
      </c>
      <c r="W99" s="39" t="n">
        <f aca="false">IF(U99="SOLD",P99,"")</f>
        <v>857</v>
      </c>
      <c r="X99" s="40" t="n">
        <f aca="false">IF(U99="SOLD",Q99,"")</f>
        <v>19.9302</v>
      </c>
      <c r="Y99" s="10" t="str">
        <f aca="false">IF(U99="SOLD",TEXT(S99,"YYYY-MM"),"")</f>
        <v>2025-09</v>
      </c>
    </row>
    <row r="100" customFormat="false" ht="15" hidden="false" customHeight="false" outlineLevel="0" collapsed="false">
      <c r="A100" s="20" t="n">
        <v>100</v>
      </c>
      <c r="B100" s="20" t="n">
        <v>2024</v>
      </c>
      <c r="C100" s="20" t="s">
        <v>59</v>
      </c>
      <c r="D100" s="20" t="s">
        <v>172</v>
      </c>
      <c r="E100" s="20" t="s">
        <v>343</v>
      </c>
      <c r="F100" s="20" t="s">
        <v>231</v>
      </c>
      <c r="G100" s="20" t="s">
        <v>186</v>
      </c>
      <c r="H100" s="25" t="n">
        <v>177600</v>
      </c>
      <c r="I100" s="20" t="s">
        <v>132</v>
      </c>
      <c r="J100" s="20" t="s">
        <v>170</v>
      </c>
      <c r="K100" s="26" t="n">
        <v>14692.85</v>
      </c>
      <c r="L100" s="26" t="n">
        <v>15490.15</v>
      </c>
      <c r="M100" s="26" t="n">
        <v>309.85</v>
      </c>
      <c r="N100" s="26" t="n">
        <v>15800</v>
      </c>
      <c r="O100" s="26" t="n">
        <v>15800</v>
      </c>
      <c r="P100" s="26" t="n">
        <v>1107</v>
      </c>
      <c r="Q100" s="27" t="n">
        <v>0.0753</v>
      </c>
      <c r="R100" s="38" t="n">
        <v>45884</v>
      </c>
      <c r="S100" s="38" t="n">
        <v>46036</v>
      </c>
      <c r="T100" s="25" t="n">
        <v>114</v>
      </c>
      <c r="U100" s="20" t="s">
        <v>164</v>
      </c>
      <c r="V100" s="20" t="s">
        <v>59</v>
      </c>
      <c r="W100" s="39" t="n">
        <f aca="false">IF(U100="SOLD",P100,"")</f>
        <v>1107</v>
      </c>
      <c r="X100" s="40" t="n">
        <f aca="false">IF(U100="SOLD",Q100,"")</f>
        <v>0.0753</v>
      </c>
      <c r="Y100" s="10" t="str">
        <f aca="false">IF(U100="SOLD",TEXT(S100,"YYYY-MM"),"")</f>
        <v>2026-01</v>
      </c>
    </row>
    <row r="101" customFormat="false" ht="15" hidden="false" customHeight="false" outlineLevel="0" collapsed="false">
      <c r="A101" s="20" t="n">
        <v>101</v>
      </c>
      <c r="B101" s="20" t="n">
        <v>2024</v>
      </c>
      <c r="C101" s="20" t="s">
        <v>229</v>
      </c>
      <c r="D101" s="20" t="s">
        <v>196</v>
      </c>
      <c r="E101" s="20" t="s">
        <v>340</v>
      </c>
      <c r="F101" s="20" t="s">
        <v>270</v>
      </c>
      <c r="G101" s="20" t="s">
        <v>169</v>
      </c>
      <c r="H101" s="25" t="n">
        <v>159000</v>
      </c>
      <c r="I101" s="20" t="s">
        <v>132</v>
      </c>
      <c r="J101" s="20" t="s">
        <v>180</v>
      </c>
      <c r="K101" s="26" t="n">
        <v>10133</v>
      </c>
      <c r="L101" s="26" t="n">
        <v>11540</v>
      </c>
      <c r="M101" s="26" t="n">
        <v>460</v>
      </c>
      <c r="N101" s="26" t="n">
        <v>12000</v>
      </c>
      <c r="O101" s="26" t="n">
        <v>12500</v>
      </c>
      <c r="P101" s="26" t="n">
        <v>2367</v>
      </c>
      <c r="Q101" s="27" t="n">
        <v>0.2336</v>
      </c>
      <c r="R101" s="38" t="n">
        <v>45888</v>
      </c>
      <c r="S101" s="38" t="n">
        <v>46024</v>
      </c>
      <c r="T101" s="25" t="n">
        <v>93</v>
      </c>
      <c r="U101" s="20" t="s">
        <v>164</v>
      </c>
      <c r="V101" s="20" t="s">
        <v>52</v>
      </c>
      <c r="W101" s="39" t="n">
        <f aca="false">IF(U101="SOLD",P101,"")</f>
        <v>2367</v>
      </c>
      <c r="X101" s="40" t="n">
        <f aca="false">IF(U101="SOLD",Q101,"")</f>
        <v>0.2336</v>
      </c>
      <c r="Y101" s="10" t="str">
        <f aca="false">IF(U101="SOLD",TEXT(S101,"YYYY-MM"),"")</f>
        <v>2026-01</v>
      </c>
    </row>
    <row r="102" customFormat="false" ht="15" hidden="false" customHeight="false" outlineLevel="0" collapsed="false">
      <c r="A102" s="20" t="n">
        <v>102</v>
      </c>
      <c r="B102" s="20" t="n">
        <v>2024</v>
      </c>
      <c r="C102" s="20" t="s">
        <v>74</v>
      </c>
      <c r="D102" s="20" t="s">
        <v>172</v>
      </c>
      <c r="E102" s="20" t="s">
        <v>344</v>
      </c>
      <c r="F102" s="20" t="s">
        <v>297</v>
      </c>
      <c r="G102" s="20" t="s">
        <v>169</v>
      </c>
      <c r="H102" s="25" t="n">
        <v>193600</v>
      </c>
      <c r="I102" s="20" t="s">
        <v>132</v>
      </c>
      <c r="J102" s="20" t="s">
        <v>180</v>
      </c>
      <c r="K102" s="26" t="n">
        <v>10000</v>
      </c>
      <c r="L102" s="26" t="n">
        <v>10517</v>
      </c>
      <c r="M102" s="26" t="n">
        <v>483</v>
      </c>
      <c r="N102" s="26" t="n">
        <v>11000</v>
      </c>
      <c r="O102" s="26" t="n">
        <v>11350</v>
      </c>
      <c r="P102" s="26" t="n">
        <v>1350</v>
      </c>
      <c r="Q102" s="27" t="n">
        <v>0.135</v>
      </c>
      <c r="R102" s="38" t="n">
        <v>45897</v>
      </c>
      <c r="S102" s="38" t="n">
        <v>45950</v>
      </c>
      <c r="T102" s="25" t="n">
        <v>14</v>
      </c>
      <c r="U102" s="20" t="s">
        <v>164</v>
      </c>
      <c r="V102" s="20" t="s">
        <v>74</v>
      </c>
      <c r="W102" s="39" t="n">
        <f aca="false">IF(U102="SOLD",P102,"")</f>
        <v>1350</v>
      </c>
      <c r="X102" s="40" t="n">
        <f aca="false">IF(U102="SOLD",Q102,"")</f>
        <v>0.135</v>
      </c>
      <c r="Y102" s="10" t="str">
        <f aca="false">IF(U102="SOLD",TEXT(S102,"YYYY-MM"),"")</f>
        <v>2025-10</v>
      </c>
    </row>
    <row r="103" customFormat="false" ht="15" hidden="false" customHeight="false" outlineLevel="0" collapsed="false">
      <c r="A103" s="20" t="n">
        <v>103</v>
      </c>
      <c r="B103" s="20" t="n">
        <v>2024</v>
      </c>
      <c r="C103" s="20" t="s">
        <v>56</v>
      </c>
      <c r="D103" s="20" t="s">
        <v>345</v>
      </c>
      <c r="E103" s="20" t="s">
        <v>346</v>
      </c>
      <c r="F103" s="20" t="s">
        <v>231</v>
      </c>
      <c r="G103" s="20" t="s">
        <v>169</v>
      </c>
      <c r="H103" s="25" t="n">
        <v>151500</v>
      </c>
      <c r="I103" s="20" t="s">
        <v>132</v>
      </c>
      <c r="J103" s="20" t="s">
        <v>207</v>
      </c>
      <c r="K103" s="26" t="n">
        <v>12131.59</v>
      </c>
      <c r="L103" s="26" t="n">
        <v>13456.41</v>
      </c>
      <c r="M103" s="26" t="n">
        <v>543.59</v>
      </c>
      <c r="N103" s="26" t="n">
        <v>14000</v>
      </c>
      <c r="O103" s="26" t="n">
        <v>14000</v>
      </c>
      <c r="P103" s="26" t="n">
        <v>1868</v>
      </c>
      <c r="Q103" s="27" t="n">
        <v>0.154</v>
      </c>
      <c r="R103" s="38" t="n">
        <v>45899</v>
      </c>
      <c r="S103" s="38" t="n">
        <v>45984</v>
      </c>
      <c r="T103" s="25" t="n">
        <v>48</v>
      </c>
      <c r="U103" s="20" t="s">
        <v>164</v>
      </c>
      <c r="V103" s="20" t="s">
        <v>56</v>
      </c>
      <c r="W103" s="39" t="n">
        <f aca="false">IF(U103="SOLD",P103,"")</f>
        <v>1868</v>
      </c>
      <c r="X103" s="40" t="n">
        <f aca="false">IF(U103="SOLD",Q103,"")</f>
        <v>0.154</v>
      </c>
      <c r="Y103" s="10" t="str">
        <f aca="false">IF(U103="SOLD",TEXT(S103,"YYYY-MM"),"")</f>
        <v>2025-11</v>
      </c>
    </row>
    <row r="104" customFormat="false" ht="15" hidden="false" customHeight="false" outlineLevel="0" collapsed="false">
      <c r="A104" s="20" t="n">
        <v>104</v>
      </c>
      <c r="B104" s="20" t="n">
        <v>2024</v>
      </c>
      <c r="C104" s="20" t="s">
        <v>49</v>
      </c>
      <c r="D104" s="20" t="s">
        <v>274</v>
      </c>
      <c r="E104" s="20" t="s">
        <v>296</v>
      </c>
      <c r="F104" s="20" t="s">
        <v>347</v>
      </c>
      <c r="G104" s="20" t="s">
        <v>169</v>
      </c>
      <c r="H104" s="25" t="n">
        <v>123200</v>
      </c>
      <c r="I104" s="20" t="s">
        <v>132</v>
      </c>
      <c r="J104" s="20" t="s">
        <v>180</v>
      </c>
      <c r="K104" s="26" t="n">
        <v>10480</v>
      </c>
      <c r="L104" s="26" t="n">
        <v>10252.69</v>
      </c>
      <c r="M104" s="26" t="n">
        <v>47.31</v>
      </c>
      <c r="N104" s="26" t="n">
        <v>10300</v>
      </c>
      <c r="O104" s="26" t="n">
        <v>12000</v>
      </c>
      <c r="P104" s="26" t="n">
        <v>1520</v>
      </c>
      <c r="Q104" s="27" t="n">
        <v>0.145</v>
      </c>
      <c r="R104" s="38" t="n">
        <v>45902</v>
      </c>
      <c r="S104" s="38" t="n">
        <v>46079</v>
      </c>
      <c r="T104" s="25" t="n">
        <v>148</v>
      </c>
      <c r="U104" s="20" t="s">
        <v>164</v>
      </c>
      <c r="V104" s="20" t="s">
        <v>49</v>
      </c>
      <c r="W104" s="39" t="n">
        <f aca="false">IF(U104="SOLD",P104,"")</f>
        <v>1520</v>
      </c>
      <c r="X104" s="40" t="n">
        <f aca="false">IF(U104="SOLD",Q104,"")</f>
        <v>0.145</v>
      </c>
      <c r="Y104" s="10" t="str">
        <f aca="false">IF(U104="SOLD",TEXT(S104,"YYYY-MM"),"")</f>
        <v>2026-02</v>
      </c>
    </row>
    <row r="105" customFormat="false" ht="15" hidden="false" customHeight="false" outlineLevel="0" collapsed="false">
      <c r="A105" s="20" t="n">
        <v>105</v>
      </c>
      <c r="B105" s="20" t="n">
        <v>2024</v>
      </c>
      <c r="C105" s="20" t="s">
        <v>49</v>
      </c>
      <c r="D105" s="20" t="s">
        <v>295</v>
      </c>
      <c r="E105" s="20" t="s">
        <v>344</v>
      </c>
      <c r="F105" s="20" t="s">
        <v>333</v>
      </c>
      <c r="G105" s="20" t="s">
        <v>169</v>
      </c>
      <c r="H105" s="25" t="n">
        <v>83600</v>
      </c>
      <c r="I105" s="20" t="s">
        <v>132</v>
      </c>
      <c r="J105" s="20" t="s">
        <v>180</v>
      </c>
      <c r="K105" s="26" t="n">
        <v>10187.07</v>
      </c>
      <c r="L105" s="26" t="n">
        <v>10786.93</v>
      </c>
      <c r="M105" s="26" t="n">
        <v>203.07</v>
      </c>
      <c r="N105" s="26" t="n">
        <v>10990</v>
      </c>
      <c r="O105" s="26" t="n">
        <v>10990</v>
      </c>
      <c r="P105" s="26" t="n">
        <v>803</v>
      </c>
      <c r="Q105" s="27" t="n">
        <v>0.0788</v>
      </c>
      <c r="R105" s="38" t="n">
        <v>45902</v>
      </c>
      <c r="S105" s="38" t="n">
        <v>46069</v>
      </c>
      <c r="T105" s="25" t="n">
        <v>132</v>
      </c>
      <c r="U105" s="20" t="s">
        <v>164</v>
      </c>
      <c r="V105" s="20" t="s">
        <v>49</v>
      </c>
      <c r="W105" s="39" t="n">
        <f aca="false">IF(U105="SOLD",P105,"")</f>
        <v>803</v>
      </c>
      <c r="X105" s="40" t="n">
        <f aca="false">IF(U105="SOLD",Q105,"")</f>
        <v>0.0788</v>
      </c>
      <c r="Y105" s="10" t="str">
        <f aca="false">IF(U105="SOLD",TEXT(S105,"YYYY-MM"),"")</f>
        <v>2026-02</v>
      </c>
    </row>
    <row r="106" customFormat="false" ht="15" hidden="false" customHeight="false" outlineLevel="0" collapsed="false">
      <c r="A106" s="20" t="n">
        <v>106</v>
      </c>
      <c r="B106" s="20" t="n">
        <v>2024</v>
      </c>
      <c r="C106" s="20" t="s">
        <v>192</v>
      </c>
      <c r="D106" s="20" t="s">
        <v>181</v>
      </c>
      <c r="E106" s="20" t="s">
        <v>235</v>
      </c>
      <c r="F106" s="20" t="s">
        <v>206</v>
      </c>
      <c r="G106" s="20" t="s">
        <v>169</v>
      </c>
      <c r="H106" s="25" t="n">
        <v>180300</v>
      </c>
      <c r="I106" s="20" t="s">
        <v>133</v>
      </c>
      <c r="J106" s="20" t="s">
        <v>184</v>
      </c>
      <c r="K106" s="26" t="n">
        <v>8262</v>
      </c>
      <c r="L106" s="26" t="n">
        <v>8699.19</v>
      </c>
      <c r="M106" s="26" t="n">
        <v>2000.82</v>
      </c>
      <c r="N106" s="26" t="n">
        <v>10700</v>
      </c>
      <c r="O106" s="26" t="n">
        <v>10700</v>
      </c>
      <c r="P106" s="26" t="n">
        <v>437</v>
      </c>
      <c r="Q106" s="27" t="n">
        <v>0.0529</v>
      </c>
      <c r="R106" s="38" t="n">
        <v>45906</v>
      </c>
      <c r="S106" s="38" t="n">
        <v>46087</v>
      </c>
      <c r="T106" s="25" t="n">
        <v>123</v>
      </c>
      <c r="U106" s="20" t="s">
        <v>164</v>
      </c>
      <c r="V106" s="20" t="s">
        <v>46</v>
      </c>
      <c r="W106" s="39" t="n">
        <f aca="false">IF(U106="SOLD",P106,"")</f>
        <v>437</v>
      </c>
      <c r="X106" s="40" t="n">
        <f aca="false">IF(U106="SOLD",Q106,"")</f>
        <v>0.0529</v>
      </c>
      <c r="Y106" s="10" t="str">
        <f aca="false">IF(U106="SOLD",TEXT(S106,"YYYY-MM"),"")</f>
        <v>2026-03</v>
      </c>
    </row>
    <row r="107" customFormat="false" ht="15" hidden="false" customHeight="false" outlineLevel="0" collapsed="false">
      <c r="A107" s="20" t="n">
        <v>107</v>
      </c>
      <c r="B107" s="20" t="n">
        <v>2024</v>
      </c>
      <c r="C107" s="20" t="s">
        <v>53</v>
      </c>
      <c r="D107" s="20" t="s">
        <v>196</v>
      </c>
      <c r="E107" s="20" t="s">
        <v>182</v>
      </c>
      <c r="F107" s="20" t="s">
        <v>174</v>
      </c>
      <c r="G107" s="20" t="s">
        <v>175</v>
      </c>
      <c r="H107" s="25" t="n">
        <v>191100</v>
      </c>
      <c r="I107" s="20" t="s">
        <v>132</v>
      </c>
      <c r="J107" s="20" t="s">
        <v>207</v>
      </c>
      <c r="K107" s="26" t="n">
        <v>11313.93</v>
      </c>
      <c r="L107" s="26" t="n">
        <v>12004.07</v>
      </c>
      <c r="M107" s="26" t="n">
        <v>345.93</v>
      </c>
      <c r="N107" s="26" t="n">
        <v>12350</v>
      </c>
      <c r="O107" s="26" t="n">
        <v>12350</v>
      </c>
      <c r="P107" s="26" t="n">
        <v>1036</v>
      </c>
      <c r="Q107" s="27" t="n">
        <v>0.0916</v>
      </c>
      <c r="R107" s="38" t="n">
        <v>45906</v>
      </c>
      <c r="S107" s="38" t="n">
        <v>45972</v>
      </c>
      <c r="T107" s="25" t="n">
        <v>4</v>
      </c>
      <c r="U107" s="20" t="s">
        <v>164</v>
      </c>
      <c r="V107" s="20" t="s">
        <v>53</v>
      </c>
      <c r="W107" s="39" t="n">
        <f aca="false">IF(U107="SOLD",P107,"")</f>
        <v>1036</v>
      </c>
      <c r="X107" s="40" t="n">
        <f aca="false">IF(U107="SOLD",Q107,"")</f>
        <v>0.0916</v>
      </c>
      <c r="Y107" s="10" t="str">
        <f aca="false">IF(U107="SOLD",TEXT(S107,"YYYY-MM"),"")</f>
        <v>2025-11</v>
      </c>
    </row>
    <row r="108" customFormat="false" ht="15" hidden="false" customHeight="false" outlineLevel="0" collapsed="false">
      <c r="A108" s="20" t="n">
        <v>108</v>
      </c>
      <c r="B108" s="20" t="n">
        <v>2024</v>
      </c>
      <c r="C108" s="20" t="s">
        <v>48</v>
      </c>
      <c r="D108" s="20" t="s">
        <v>329</v>
      </c>
      <c r="E108" s="20" t="s">
        <v>247</v>
      </c>
      <c r="F108" s="20" t="s">
        <v>206</v>
      </c>
      <c r="G108" s="20" t="s">
        <v>169</v>
      </c>
      <c r="H108" s="25" t="n">
        <v>173750</v>
      </c>
      <c r="I108" s="20" t="s">
        <v>132</v>
      </c>
      <c r="J108" s="20" t="s">
        <v>180</v>
      </c>
      <c r="K108" s="26" t="n">
        <v>12207.44</v>
      </c>
      <c r="L108" s="26" t="n">
        <v>14179.56</v>
      </c>
      <c r="M108" s="26" t="n">
        <v>620.44</v>
      </c>
      <c r="N108" s="26" t="n">
        <v>14800</v>
      </c>
      <c r="O108" s="26" t="n">
        <v>14800</v>
      </c>
      <c r="P108" s="26" t="n">
        <v>2593</v>
      </c>
      <c r="Q108" s="27" t="n">
        <v>0.2124</v>
      </c>
      <c r="R108" s="38" t="n">
        <v>45919</v>
      </c>
      <c r="S108" s="38" t="n">
        <v>45976</v>
      </c>
      <c r="T108" s="25" t="n">
        <v>35</v>
      </c>
      <c r="U108" s="20" t="s">
        <v>164</v>
      </c>
      <c r="V108" s="20" t="s">
        <v>48</v>
      </c>
      <c r="W108" s="39" t="n">
        <f aca="false">IF(U108="SOLD",P108,"")</f>
        <v>2593</v>
      </c>
      <c r="X108" s="40" t="n">
        <f aca="false">IF(U108="SOLD",Q108,"")</f>
        <v>0.2124</v>
      </c>
      <c r="Y108" s="10" t="str">
        <f aca="false">IF(U108="SOLD",TEXT(S108,"YYYY-MM"),"")</f>
        <v>2025-11</v>
      </c>
    </row>
    <row r="109" customFormat="false" ht="15" hidden="false" customHeight="false" outlineLevel="0" collapsed="false">
      <c r="A109" s="20" t="n">
        <v>109</v>
      </c>
      <c r="B109" s="20" t="n">
        <v>2024</v>
      </c>
      <c r="C109" s="20" t="s">
        <v>49</v>
      </c>
      <c r="D109" s="20" t="s">
        <v>274</v>
      </c>
      <c r="E109" s="20" t="s">
        <v>348</v>
      </c>
      <c r="F109" s="20" t="s">
        <v>349</v>
      </c>
      <c r="G109" s="20" t="s">
        <v>169</v>
      </c>
      <c r="H109" s="25" t="n">
        <v>160600</v>
      </c>
      <c r="I109" s="20" t="s">
        <v>132</v>
      </c>
      <c r="J109" s="20" t="s">
        <v>180</v>
      </c>
      <c r="K109" s="26" t="n">
        <v>10966.63</v>
      </c>
      <c r="L109" s="26" t="n">
        <v>13006.37</v>
      </c>
      <c r="M109" s="26" t="n">
        <v>643.63</v>
      </c>
      <c r="N109" s="26" t="n">
        <v>13650</v>
      </c>
      <c r="O109" s="26" t="n">
        <v>13650</v>
      </c>
      <c r="P109" s="26" t="n">
        <v>2683</v>
      </c>
      <c r="Q109" s="27" t="n">
        <v>0.2447</v>
      </c>
      <c r="R109" s="38" t="n">
        <v>45925</v>
      </c>
      <c r="S109" s="38" t="n">
        <v>45973</v>
      </c>
      <c r="T109" s="25" t="n">
        <v>9</v>
      </c>
      <c r="U109" s="20" t="s">
        <v>164</v>
      </c>
      <c r="V109" s="20" t="s">
        <v>49</v>
      </c>
      <c r="W109" s="39" t="n">
        <f aca="false">IF(U109="SOLD",P109,"")</f>
        <v>2683</v>
      </c>
      <c r="X109" s="40" t="n">
        <f aca="false">IF(U109="SOLD",Q109,"")</f>
        <v>0.2447</v>
      </c>
      <c r="Y109" s="10" t="str">
        <f aca="false">IF(U109="SOLD",TEXT(S109,"YYYY-MM"),"")</f>
        <v>2025-11</v>
      </c>
    </row>
    <row r="110" customFormat="false" ht="15" hidden="false" customHeight="false" outlineLevel="0" collapsed="false">
      <c r="A110" s="20" t="n">
        <v>110</v>
      </c>
      <c r="B110" s="20" t="n">
        <v>2024</v>
      </c>
      <c r="C110" s="20" t="s">
        <v>245</v>
      </c>
      <c r="D110" s="20" t="s">
        <v>196</v>
      </c>
      <c r="E110" s="20" t="s">
        <v>291</v>
      </c>
      <c r="F110" s="20" t="s">
        <v>174</v>
      </c>
      <c r="G110" s="20" t="s">
        <v>169</v>
      </c>
      <c r="H110" s="25" t="n">
        <v>184000</v>
      </c>
      <c r="I110" s="20" t="s">
        <v>132</v>
      </c>
      <c r="J110" s="20" t="s">
        <v>180</v>
      </c>
      <c r="K110" s="26" t="n">
        <v>10394.47</v>
      </c>
      <c r="L110" s="26" t="n">
        <v>12391.53</v>
      </c>
      <c r="M110" s="26" t="n">
        <v>608.47</v>
      </c>
      <c r="N110" s="26" t="n">
        <v>13000</v>
      </c>
      <c r="O110" s="26" t="n">
        <v>13000</v>
      </c>
      <c r="P110" s="26" t="n">
        <v>2606</v>
      </c>
      <c r="Q110" s="27" t="n">
        <v>0.2507</v>
      </c>
      <c r="R110" s="38" t="n">
        <v>45930</v>
      </c>
      <c r="S110" s="38" t="n">
        <v>45983</v>
      </c>
      <c r="T110" s="25" t="n">
        <v>2</v>
      </c>
      <c r="U110" s="20" t="s">
        <v>164</v>
      </c>
      <c r="V110" s="20" t="s">
        <v>50</v>
      </c>
      <c r="W110" s="39" t="n">
        <f aca="false">IF(U110="SOLD",P110,"")</f>
        <v>2606</v>
      </c>
      <c r="X110" s="40" t="n">
        <f aca="false">IF(U110="SOLD",Q110,"")</f>
        <v>0.2507</v>
      </c>
      <c r="Y110" s="10" t="str">
        <f aca="false">IF(U110="SOLD",TEXT(S110,"YYYY-MM"),"")</f>
        <v>2025-11</v>
      </c>
    </row>
    <row r="111" customFormat="false" ht="15" hidden="false" customHeight="false" outlineLevel="0" collapsed="false">
      <c r="A111" s="20" t="n">
        <v>111</v>
      </c>
      <c r="B111" s="20" t="n">
        <v>2024</v>
      </c>
      <c r="C111" s="20" t="s">
        <v>350</v>
      </c>
      <c r="D111" s="20" t="s">
        <v>351</v>
      </c>
      <c r="E111" s="20" t="s">
        <v>267</v>
      </c>
      <c r="F111" s="20" t="s">
        <v>352</v>
      </c>
      <c r="G111" s="20" t="s">
        <v>215</v>
      </c>
      <c r="H111" s="25" t="n">
        <v>208600</v>
      </c>
      <c r="I111" s="20" t="s">
        <v>132</v>
      </c>
      <c r="J111" s="20" t="s">
        <v>198</v>
      </c>
      <c r="K111" s="26" t="n">
        <v>8540</v>
      </c>
      <c r="L111" s="26"/>
      <c r="M111" s="26"/>
      <c r="N111" s="26" t="n">
        <v>10495</v>
      </c>
      <c r="O111" s="26" t="n">
        <v>10495</v>
      </c>
      <c r="P111" s="26" t="n">
        <v>1955</v>
      </c>
      <c r="Q111" s="27" t="n">
        <v>0.2289</v>
      </c>
      <c r="R111" s="38" t="n">
        <v>45953</v>
      </c>
      <c r="S111" s="38" t="n">
        <v>45973</v>
      </c>
      <c r="T111" s="25" t="n">
        <v>9</v>
      </c>
      <c r="U111" s="20" t="s">
        <v>164</v>
      </c>
      <c r="V111" s="20" t="s">
        <v>68</v>
      </c>
      <c r="W111" s="39" t="n">
        <f aca="false">IF(U111="SOLD",P111,"")</f>
        <v>1955</v>
      </c>
      <c r="X111" s="40" t="n">
        <f aca="false">IF(U111="SOLD",Q111,"")</f>
        <v>0.2289</v>
      </c>
      <c r="Y111" s="10" t="str">
        <f aca="false">IF(U111="SOLD",TEXT(S111,"YYYY-MM"),"")</f>
        <v>2025-11</v>
      </c>
    </row>
    <row r="112" customFormat="false" ht="15" hidden="false" customHeight="false" outlineLevel="0" collapsed="false">
      <c r="A112" s="20" t="n">
        <v>112</v>
      </c>
      <c r="B112" s="20" t="n">
        <v>2024</v>
      </c>
      <c r="C112" s="20" t="s">
        <v>353</v>
      </c>
      <c r="D112" s="20" t="s">
        <v>354</v>
      </c>
      <c r="E112" s="20" t="s">
        <v>355</v>
      </c>
      <c r="F112" s="20" t="s">
        <v>356</v>
      </c>
      <c r="G112" s="20" t="s">
        <v>357</v>
      </c>
      <c r="H112" s="25" t="n">
        <v>123000</v>
      </c>
      <c r="I112" s="20" t="s">
        <v>132</v>
      </c>
      <c r="J112" s="20" t="s">
        <v>358</v>
      </c>
      <c r="K112" s="26" t="n">
        <v>650</v>
      </c>
      <c r="L112" s="26"/>
      <c r="M112" s="26"/>
      <c r="N112" s="26"/>
      <c r="O112" s="26" t="n">
        <v>1650</v>
      </c>
      <c r="P112" s="26" t="n">
        <v>1000</v>
      </c>
      <c r="Q112" s="27" t="n">
        <v>1.5385</v>
      </c>
      <c r="R112" s="38" t="n">
        <v>45958</v>
      </c>
      <c r="S112" s="38" t="n">
        <v>45961</v>
      </c>
      <c r="T112" s="25" t="n">
        <v>3</v>
      </c>
      <c r="U112" s="20" t="s">
        <v>164</v>
      </c>
      <c r="V112" s="20" t="s">
        <v>77</v>
      </c>
      <c r="W112" s="39" t="n">
        <f aca="false">IF(U112="SOLD",P112,"")</f>
        <v>1000</v>
      </c>
      <c r="X112" s="40" t="n">
        <f aca="false">IF(U112="SOLD",Q112,"")</f>
        <v>1.5385</v>
      </c>
      <c r="Y112" s="10" t="str">
        <f aca="false">IF(U112="SOLD",TEXT(S112,"YYYY-MM"),"")</f>
        <v>2025-10</v>
      </c>
    </row>
    <row r="113" customFormat="false" ht="15" hidden="false" customHeight="false" outlineLevel="0" collapsed="false">
      <c r="A113" s="20" t="n">
        <v>113</v>
      </c>
      <c r="B113" s="20" t="n">
        <v>2024</v>
      </c>
      <c r="C113" s="20" t="s">
        <v>84</v>
      </c>
      <c r="D113" s="20" t="s">
        <v>359</v>
      </c>
      <c r="E113" s="20" t="s">
        <v>360</v>
      </c>
      <c r="F113" s="20" t="s">
        <v>361</v>
      </c>
      <c r="G113" s="20" t="s">
        <v>186</v>
      </c>
      <c r="H113" s="25" t="n">
        <v>650</v>
      </c>
      <c r="I113" s="20" t="s">
        <v>133</v>
      </c>
      <c r="J113" s="20" t="s">
        <v>180</v>
      </c>
      <c r="K113" s="26" t="n">
        <v>984.12</v>
      </c>
      <c r="L113" s="26" t="n">
        <v>1500</v>
      </c>
      <c r="M113" s="26" t="n">
        <v>345</v>
      </c>
      <c r="N113" s="26" t="n">
        <v>1845</v>
      </c>
      <c r="O113" s="26" t="n">
        <v>1845</v>
      </c>
      <c r="P113" s="26" t="n">
        <v>516</v>
      </c>
      <c r="Q113" s="27" t="n">
        <v>0.5243</v>
      </c>
      <c r="R113" s="38" t="n">
        <v>45958</v>
      </c>
      <c r="S113" s="38" t="n">
        <v>46010</v>
      </c>
      <c r="T113" s="25" t="n">
        <v>3</v>
      </c>
      <c r="U113" s="20" t="s">
        <v>164</v>
      </c>
      <c r="V113" s="20" t="s">
        <v>84</v>
      </c>
      <c r="W113" s="39" t="n">
        <f aca="false">IF(U113="SOLD",P113,"")</f>
        <v>516</v>
      </c>
      <c r="X113" s="40" t="n">
        <f aca="false">IF(U113="SOLD",Q113,"")</f>
        <v>0.5243</v>
      </c>
      <c r="Y113" s="10" t="str">
        <f aca="false">IF(U113="SOLD",TEXT(S113,"YYYY-MM"),"")</f>
        <v>2025-12</v>
      </c>
    </row>
    <row r="114" customFormat="false" ht="15" hidden="false" customHeight="false" outlineLevel="0" collapsed="false">
      <c r="A114" s="20" t="n">
        <v>114</v>
      </c>
      <c r="B114" s="20" t="n">
        <v>2024</v>
      </c>
      <c r="C114" s="20" t="s">
        <v>362</v>
      </c>
      <c r="D114" s="20" t="s">
        <v>313</v>
      </c>
      <c r="E114" s="20" t="s">
        <v>262</v>
      </c>
      <c r="F114" s="20" t="s">
        <v>363</v>
      </c>
      <c r="G114" s="20" t="s">
        <v>215</v>
      </c>
      <c r="H114" s="25" t="n">
        <v>208000</v>
      </c>
      <c r="I114" s="20" t="s">
        <v>132</v>
      </c>
      <c r="J114" s="20" t="s">
        <v>198</v>
      </c>
      <c r="K114" s="26" t="n">
        <v>50</v>
      </c>
      <c r="L114" s="26"/>
      <c r="M114" s="26"/>
      <c r="N114" s="26"/>
      <c r="O114" s="26" t="n">
        <v>1000</v>
      </c>
      <c r="P114" s="26" t="n">
        <v>950</v>
      </c>
      <c r="Q114" s="27" t="n">
        <v>19</v>
      </c>
      <c r="R114" s="38" t="n">
        <v>45976</v>
      </c>
      <c r="S114" s="38" t="n">
        <v>46085</v>
      </c>
      <c r="T114" s="25" t="n">
        <v>104</v>
      </c>
      <c r="U114" s="20" t="s">
        <v>164</v>
      </c>
      <c r="V114" s="20" t="s">
        <v>78</v>
      </c>
      <c r="W114" s="39" t="n">
        <f aca="false">IF(U114="SOLD",P114,"")</f>
        <v>950</v>
      </c>
      <c r="X114" s="40" t="n">
        <f aca="false">IF(U114="SOLD",Q114,"")</f>
        <v>19</v>
      </c>
      <c r="Y114" s="10" t="str">
        <f aca="false">IF(U114="SOLD",TEXT(S114,"YYYY-MM"),"")</f>
        <v>2026-03</v>
      </c>
    </row>
    <row r="115" customFormat="false" ht="15" hidden="false" customHeight="false" outlineLevel="0" collapsed="false">
      <c r="A115" s="20" t="n">
        <v>115</v>
      </c>
      <c r="B115" s="20" t="n">
        <v>2024</v>
      </c>
      <c r="C115" s="20" t="s">
        <v>48</v>
      </c>
      <c r="D115" s="20" t="s">
        <v>172</v>
      </c>
      <c r="E115" s="20" t="s">
        <v>237</v>
      </c>
      <c r="F115" s="20" t="s">
        <v>206</v>
      </c>
      <c r="G115" s="20" t="s">
        <v>169</v>
      </c>
      <c r="H115" s="25" t="n">
        <v>202900</v>
      </c>
      <c r="I115" s="20" t="s">
        <v>132</v>
      </c>
      <c r="J115" s="20" t="s">
        <v>170</v>
      </c>
      <c r="K115" s="26" t="n">
        <v>7972.84</v>
      </c>
      <c r="L115" s="26" t="n">
        <v>10000</v>
      </c>
      <c r="M115" s="26" t="n">
        <v>2300.01</v>
      </c>
      <c r="N115" s="26" t="n">
        <v>12300</v>
      </c>
      <c r="O115" s="26" t="n">
        <v>12300</v>
      </c>
      <c r="P115" s="26" t="n">
        <v>2027</v>
      </c>
      <c r="Q115" s="27" t="n">
        <v>0.2542</v>
      </c>
      <c r="R115" s="38" t="n">
        <v>45986</v>
      </c>
      <c r="S115" s="38" t="n">
        <v>46084</v>
      </c>
      <c r="T115" s="25" t="n">
        <v>51</v>
      </c>
      <c r="U115" s="20" t="s">
        <v>164</v>
      </c>
      <c r="V115" s="20" t="s">
        <v>48</v>
      </c>
      <c r="W115" s="39" t="n">
        <f aca="false">IF(U115="SOLD",P115,"")</f>
        <v>2027</v>
      </c>
      <c r="X115" s="40" t="n">
        <f aca="false">IF(U115="SOLD",Q115,"")</f>
        <v>0.2542</v>
      </c>
      <c r="Y115" s="10" t="str">
        <f aca="false">IF(U115="SOLD",TEXT(S115,"YYYY-MM"),"")</f>
        <v>2026-03</v>
      </c>
    </row>
    <row r="116" customFormat="false" ht="15" hidden="false" customHeight="false" outlineLevel="0" collapsed="false">
      <c r="A116" s="41" t="n">
        <v>116</v>
      </c>
      <c r="B116" s="41" t="n">
        <v>2024</v>
      </c>
      <c r="C116" s="41" t="s">
        <v>245</v>
      </c>
      <c r="D116" s="41" t="s">
        <v>185</v>
      </c>
      <c r="E116" s="41" t="s">
        <v>318</v>
      </c>
      <c r="F116" s="41" t="s">
        <v>174</v>
      </c>
      <c r="G116" s="41" t="s">
        <v>169</v>
      </c>
      <c r="H116" s="42" t="n">
        <v>151000</v>
      </c>
      <c r="I116" s="41" t="s">
        <v>133</v>
      </c>
      <c r="J116" s="41" t="s">
        <v>180</v>
      </c>
      <c r="K116" s="43" t="n">
        <v>8387</v>
      </c>
      <c r="L116" s="43" t="n">
        <v>0</v>
      </c>
      <c r="M116" s="43" t="n">
        <v>0</v>
      </c>
      <c r="N116" s="43" t="n">
        <v>0</v>
      </c>
      <c r="O116" s="43"/>
      <c r="P116" s="43"/>
      <c r="Q116" s="44"/>
      <c r="R116" s="45" t="n">
        <v>45987</v>
      </c>
      <c r="S116" s="45"/>
      <c r="T116" s="42" t="n">
        <v>0</v>
      </c>
      <c r="U116" s="41" t="s">
        <v>191</v>
      </c>
      <c r="V116" s="41" t="s">
        <v>50</v>
      </c>
      <c r="W116" s="39" t="str">
        <f aca="false">IF(U116="SOLD",P116,"")</f>
        <v/>
      </c>
      <c r="X116" s="40" t="str">
        <f aca="false">IF(U116="SOLD",Q116,"")</f>
        <v/>
      </c>
      <c r="Y116" s="10" t="str">
        <f aca="false">IF(U116="SOLD",TEXT(S116,"YYYY-MM"),"")</f>
        <v/>
      </c>
    </row>
    <row r="117" customFormat="false" ht="15" hidden="false" customHeight="false" outlineLevel="0" collapsed="false">
      <c r="A117" s="41" t="n">
        <v>117</v>
      </c>
      <c r="B117" s="41" t="n">
        <v>2024</v>
      </c>
      <c r="C117" s="41" t="s">
        <v>66</v>
      </c>
      <c r="D117" s="41" t="s">
        <v>364</v>
      </c>
      <c r="E117" s="41" t="s">
        <v>182</v>
      </c>
      <c r="F117" s="41" t="s">
        <v>365</v>
      </c>
      <c r="G117" s="41" t="s">
        <v>215</v>
      </c>
      <c r="H117" s="42" t="n">
        <v>169200</v>
      </c>
      <c r="I117" s="41" t="s">
        <v>132</v>
      </c>
      <c r="J117" s="41" t="s">
        <v>190</v>
      </c>
      <c r="K117" s="43" t="n">
        <v>15515</v>
      </c>
      <c r="L117" s="43" t="n">
        <v>11675.88</v>
      </c>
      <c r="M117" s="43" t="n">
        <v>24.12</v>
      </c>
      <c r="N117" s="43" t="n">
        <v>11700</v>
      </c>
      <c r="O117" s="43"/>
      <c r="P117" s="43"/>
      <c r="Q117" s="44"/>
      <c r="R117" s="45" t="n">
        <v>45987</v>
      </c>
      <c r="S117" s="45"/>
      <c r="T117" s="42" t="n">
        <v>0</v>
      </c>
      <c r="U117" s="41" t="s">
        <v>191</v>
      </c>
      <c r="V117" s="41" t="s">
        <v>66</v>
      </c>
      <c r="W117" s="39" t="str">
        <f aca="false">IF(U117="SOLD",P117,"")</f>
        <v/>
      </c>
      <c r="X117" s="40" t="str">
        <f aca="false">IF(U117="SOLD",Q117,"")</f>
        <v/>
      </c>
      <c r="Y117" s="10" t="str">
        <f aca="false">IF(U117="SOLD",TEXT(S117,"YYYY-MM"),"")</f>
        <v/>
      </c>
    </row>
    <row r="118" customFormat="false" ht="15" hidden="false" customHeight="false" outlineLevel="0" collapsed="false">
      <c r="A118" s="20" t="n">
        <v>118</v>
      </c>
      <c r="B118" s="20" t="n">
        <v>2024</v>
      </c>
      <c r="C118" s="20" t="s">
        <v>54</v>
      </c>
      <c r="D118" s="20" t="s">
        <v>366</v>
      </c>
      <c r="E118" s="20" t="s">
        <v>367</v>
      </c>
      <c r="F118" s="20" t="s">
        <v>368</v>
      </c>
      <c r="G118" s="20" t="s">
        <v>369</v>
      </c>
      <c r="H118" s="25" t="n">
        <v>150800</v>
      </c>
      <c r="I118" s="20" t="s">
        <v>133</v>
      </c>
      <c r="J118" s="20" t="s">
        <v>184</v>
      </c>
      <c r="K118" s="26" t="n">
        <v>9599</v>
      </c>
      <c r="L118" s="26" t="n">
        <v>9593.5</v>
      </c>
      <c r="M118" s="26" t="n">
        <v>2206.51</v>
      </c>
      <c r="N118" s="26" t="n">
        <v>11800</v>
      </c>
      <c r="O118" s="26" t="n">
        <v>13800</v>
      </c>
      <c r="P118" s="26" t="n">
        <v>1994</v>
      </c>
      <c r="Q118" s="27" t="n">
        <v>0.2077</v>
      </c>
      <c r="R118" s="38" t="n">
        <v>46031</v>
      </c>
      <c r="S118" s="38" t="n">
        <v>46094</v>
      </c>
      <c r="T118" s="25" t="n">
        <v>33</v>
      </c>
      <c r="U118" s="20" t="s">
        <v>164</v>
      </c>
      <c r="V118" s="20" t="s">
        <v>54</v>
      </c>
      <c r="W118" s="39" t="n">
        <f aca="false">IF(U118="SOLD",P118,"")</f>
        <v>1994</v>
      </c>
      <c r="X118" s="40" t="n">
        <f aca="false">IF(U118="SOLD",Q118,"")</f>
        <v>0.2077</v>
      </c>
      <c r="Y118" s="10" t="str">
        <f aca="false">IF(U118="SOLD",TEXT(S118,"YYYY-MM"),"")</f>
        <v>2026-03</v>
      </c>
    </row>
    <row r="119" customFormat="false" ht="15" hidden="false" customHeight="false" outlineLevel="0" collapsed="false">
      <c r="A119" s="20" t="n">
        <v>119</v>
      </c>
      <c r="B119" s="20" t="n">
        <v>2024</v>
      </c>
      <c r="C119" s="20" t="s">
        <v>48</v>
      </c>
      <c r="D119" s="20" t="s">
        <v>172</v>
      </c>
      <c r="E119" s="20" t="s">
        <v>370</v>
      </c>
      <c r="F119" s="20" t="s">
        <v>206</v>
      </c>
      <c r="G119" s="20" t="s">
        <v>169</v>
      </c>
      <c r="H119" s="25" t="n">
        <v>199700</v>
      </c>
      <c r="I119" s="20" t="s">
        <v>132</v>
      </c>
      <c r="J119" s="20" t="s">
        <v>207</v>
      </c>
      <c r="K119" s="26" t="n">
        <v>10074</v>
      </c>
      <c r="L119" s="26" t="n">
        <v>11623.02</v>
      </c>
      <c r="M119" s="26" t="n">
        <v>376.98</v>
      </c>
      <c r="N119" s="26" t="n">
        <v>12000</v>
      </c>
      <c r="O119" s="26" t="n">
        <v>12000</v>
      </c>
      <c r="P119" s="26" t="n">
        <v>1549</v>
      </c>
      <c r="Q119" s="27" t="n">
        <v>0.1538</v>
      </c>
      <c r="R119" s="38" t="n">
        <v>46038</v>
      </c>
      <c r="S119" s="38" t="n">
        <v>46172</v>
      </c>
      <c r="T119" s="25" t="n">
        <v>75</v>
      </c>
      <c r="U119" s="20" t="s">
        <v>164</v>
      </c>
      <c r="V119" s="20" t="s">
        <v>48</v>
      </c>
      <c r="W119" s="39" t="n">
        <f aca="false">IF(U119="SOLD",P119,"")</f>
        <v>1549</v>
      </c>
      <c r="X119" s="40" t="n">
        <f aca="false">IF(U119="SOLD",Q119,"")</f>
        <v>0.1538</v>
      </c>
      <c r="Y119" s="10" t="str">
        <f aca="false">IF(U119="SOLD",TEXT(S119,"YYYY-MM"),"")</f>
        <v>2026-05</v>
      </c>
    </row>
    <row r="120" customFormat="false" ht="15" hidden="false" customHeight="false" outlineLevel="0" collapsed="false">
      <c r="A120" s="20" t="n">
        <v>120</v>
      </c>
      <c r="B120" s="20" t="n">
        <v>2024</v>
      </c>
      <c r="C120" s="20" t="s">
        <v>48</v>
      </c>
      <c r="D120" s="20" t="s">
        <v>172</v>
      </c>
      <c r="E120" s="20" t="s">
        <v>318</v>
      </c>
      <c r="F120" s="20" t="s">
        <v>250</v>
      </c>
      <c r="G120" s="20" t="s">
        <v>169</v>
      </c>
      <c r="H120" s="25" t="n">
        <v>194000</v>
      </c>
      <c r="I120" s="20" t="s">
        <v>132</v>
      </c>
      <c r="J120" s="20" t="s">
        <v>190</v>
      </c>
      <c r="K120" s="26" t="n">
        <v>9789</v>
      </c>
      <c r="L120" s="26" t="n">
        <v>11387.41</v>
      </c>
      <c r="M120" s="26" t="n">
        <v>612.59</v>
      </c>
      <c r="N120" s="26" t="n">
        <v>12000</v>
      </c>
      <c r="O120" s="26" t="n">
        <v>12000</v>
      </c>
      <c r="P120" s="26" t="n">
        <v>1598</v>
      </c>
      <c r="Q120" s="27" t="n">
        <v>0.1632</v>
      </c>
      <c r="R120" s="38" t="n">
        <v>46041</v>
      </c>
      <c r="S120" s="38" t="n">
        <v>46119</v>
      </c>
      <c r="T120" s="25" t="n">
        <v>52</v>
      </c>
      <c r="U120" s="20" t="s">
        <v>164</v>
      </c>
      <c r="V120" s="20" t="s">
        <v>48</v>
      </c>
      <c r="W120" s="39" t="n">
        <f aca="false">IF(U120="SOLD",P120,"")</f>
        <v>1598</v>
      </c>
      <c r="X120" s="40" t="n">
        <f aca="false">IF(U120="SOLD",Q120,"")</f>
        <v>0.1632</v>
      </c>
      <c r="Y120" s="10" t="str">
        <f aca="false">IF(U120="SOLD",TEXT(S120,"YYYY-MM"),"")</f>
        <v>2026-04</v>
      </c>
    </row>
    <row r="121" customFormat="false" ht="15" hidden="false" customHeight="false" outlineLevel="0" collapsed="false">
      <c r="A121" s="20" t="n">
        <v>121</v>
      </c>
      <c r="B121" s="20" t="n">
        <v>2024</v>
      </c>
      <c r="C121" s="20" t="s">
        <v>371</v>
      </c>
      <c r="D121" s="20"/>
      <c r="E121" s="20" t="s">
        <v>372</v>
      </c>
      <c r="F121" s="20" t="s">
        <v>373</v>
      </c>
      <c r="G121" s="20" t="s">
        <v>179</v>
      </c>
      <c r="H121" s="25" t="n">
        <v>425000</v>
      </c>
      <c r="I121" s="20" t="s">
        <v>132</v>
      </c>
      <c r="J121" s="20" t="s">
        <v>198</v>
      </c>
      <c r="K121" s="26" t="n">
        <v>2680</v>
      </c>
      <c r="L121" s="26"/>
      <c r="M121" s="26"/>
      <c r="N121" s="26"/>
      <c r="O121" s="26" t="n">
        <v>3000</v>
      </c>
      <c r="P121" s="26" t="n">
        <v>320</v>
      </c>
      <c r="Q121" s="27" t="n">
        <v>0.1194</v>
      </c>
      <c r="R121" s="38" t="n">
        <v>46013</v>
      </c>
      <c r="S121" s="38" t="n">
        <v>46078</v>
      </c>
      <c r="T121" s="25" t="n">
        <v>36</v>
      </c>
      <c r="U121" s="20" t="s">
        <v>164</v>
      </c>
      <c r="V121" s="20" t="s">
        <v>85</v>
      </c>
      <c r="W121" s="39" t="n">
        <f aca="false">IF(U121="SOLD",P121,"")</f>
        <v>320</v>
      </c>
      <c r="X121" s="40" t="n">
        <f aca="false">IF(U121="SOLD",Q121,"")</f>
        <v>0.1194</v>
      </c>
      <c r="Y121" s="10" t="str">
        <f aca="false">IF(U121="SOLD",TEXT(S121,"YYYY-MM"),"")</f>
        <v>2026-02</v>
      </c>
    </row>
    <row r="122" customFormat="false" ht="15" hidden="false" customHeight="false" outlineLevel="0" collapsed="false">
      <c r="A122" s="41" t="n">
        <v>122</v>
      </c>
      <c r="B122" s="41" t="n">
        <v>2024</v>
      </c>
      <c r="C122" s="41" t="s">
        <v>49</v>
      </c>
      <c r="D122" s="41" t="s">
        <v>274</v>
      </c>
      <c r="E122" s="41" t="s">
        <v>374</v>
      </c>
      <c r="F122" s="41" t="s">
        <v>349</v>
      </c>
      <c r="G122" s="41" t="s">
        <v>169</v>
      </c>
      <c r="H122" s="42" t="n">
        <v>169000</v>
      </c>
      <c r="I122" s="41" t="s">
        <v>132</v>
      </c>
      <c r="J122" s="41" t="s">
        <v>180</v>
      </c>
      <c r="K122" s="43" t="n">
        <v>10391</v>
      </c>
      <c r="L122" s="43" t="n">
        <v>0</v>
      </c>
      <c r="M122" s="43" t="n">
        <v>0</v>
      </c>
      <c r="N122" s="43" t="n">
        <v>0</v>
      </c>
      <c r="O122" s="43"/>
      <c r="P122" s="43"/>
      <c r="Q122" s="44"/>
      <c r="R122" s="45" t="n">
        <v>46052</v>
      </c>
      <c r="S122" s="45"/>
      <c r="T122" s="42" t="n">
        <v>0</v>
      </c>
      <c r="U122" s="41" t="s">
        <v>191</v>
      </c>
      <c r="V122" s="41" t="s">
        <v>49</v>
      </c>
      <c r="W122" s="39" t="str">
        <f aca="false">IF(U122="SOLD",P122,"")</f>
        <v/>
      </c>
      <c r="X122" s="40" t="str">
        <f aca="false">IF(U122="SOLD",Q122,"")</f>
        <v/>
      </c>
      <c r="Y122" s="10" t="str">
        <f aca="false">IF(U122="SOLD",TEXT(S122,"YYYY-MM"),"")</f>
        <v/>
      </c>
    </row>
    <row r="123" customFormat="false" ht="15" hidden="false" customHeight="false" outlineLevel="0" collapsed="false">
      <c r="A123" s="20" t="n">
        <v>123</v>
      </c>
      <c r="B123" s="20" t="n">
        <v>2024</v>
      </c>
      <c r="C123" s="20" t="s">
        <v>54</v>
      </c>
      <c r="D123" s="20" t="s">
        <v>375</v>
      </c>
      <c r="E123" s="20" t="s">
        <v>367</v>
      </c>
      <c r="F123" s="20" t="s">
        <v>368</v>
      </c>
      <c r="G123" s="20" t="s">
        <v>369</v>
      </c>
      <c r="H123" s="25" t="n">
        <v>144750</v>
      </c>
      <c r="I123" s="20" t="s">
        <v>133</v>
      </c>
      <c r="J123" s="20" t="s">
        <v>184</v>
      </c>
      <c r="K123" s="26" t="n">
        <v>9683</v>
      </c>
      <c r="L123" s="26" t="n">
        <v>11788.62</v>
      </c>
      <c r="M123" s="26" t="n">
        <v>2711.4</v>
      </c>
      <c r="N123" s="26" t="n">
        <v>14500</v>
      </c>
      <c r="O123" s="26" t="n">
        <v>14500</v>
      </c>
      <c r="P123" s="26" t="n">
        <v>2106</v>
      </c>
      <c r="Q123" s="27" t="n">
        <v>0.2175</v>
      </c>
      <c r="R123" s="38" t="n">
        <v>46053</v>
      </c>
      <c r="S123" s="38" t="n">
        <v>46093</v>
      </c>
      <c r="T123" s="25" t="n">
        <v>0</v>
      </c>
      <c r="U123" s="20" t="s">
        <v>164</v>
      </c>
      <c r="V123" s="20" t="s">
        <v>54</v>
      </c>
      <c r="W123" s="39" t="n">
        <f aca="false">IF(U123="SOLD",P123,"")</f>
        <v>2106</v>
      </c>
      <c r="X123" s="40" t="n">
        <f aca="false">IF(U123="SOLD",Q123,"")</f>
        <v>0.2175</v>
      </c>
      <c r="Y123" s="10" t="str">
        <f aca="false">IF(U123="SOLD",TEXT(S123,"YYYY-MM"),"")</f>
        <v>2026-03</v>
      </c>
    </row>
    <row r="124" customFormat="false" ht="15" hidden="false" customHeight="false" outlineLevel="0" collapsed="false">
      <c r="A124" s="20" t="n">
        <v>124</v>
      </c>
      <c r="B124" s="20" t="n">
        <v>2024</v>
      </c>
      <c r="C124" s="20" t="s">
        <v>63</v>
      </c>
      <c r="D124" s="20" t="s">
        <v>375</v>
      </c>
      <c r="E124" s="20" t="s">
        <v>335</v>
      </c>
      <c r="F124" s="20" t="s">
        <v>376</v>
      </c>
      <c r="G124" s="20" t="s">
        <v>369</v>
      </c>
      <c r="H124" s="25" t="n">
        <v>190400</v>
      </c>
      <c r="I124" s="20" t="s">
        <v>133</v>
      </c>
      <c r="J124" s="20" t="s">
        <v>184</v>
      </c>
      <c r="K124" s="26" t="n">
        <v>11954</v>
      </c>
      <c r="L124" s="26" t="n">
        <v>11544.72</v>
      </c>
      <c r="M124" s="26" t="n">
        <v>2655.3</v>
      </c>
      <c r="N124" s="26" t="n">
        <v>14200</v>
      </c>
      <c r="O124" s="26" t="n">
        <v>16000</v>
      </c>
      <c r="P124" s="26" t="n">
        <v>1391</v>
      </c>
      <c r="Q124" s="27" t="n">
        <v>0.1164</v>
      </c>
      <c r="R124" s="38" t="n">
        <v>46060</v>
      </c>
      <c r="S124" s="38" t="n">
        <v>46083</v>
      </c>
      <c r="T124" s="25" t="n">
        <v>3</v>
      </c>
      <c r="U124" s="20" t="s">
        <v>164</v>
      </c>
      <c r="V124" s="20" t="s">
        <v>63</v>
      </c>
      <c r="W124" s="39" t="n">
        <f aca="false">IF(U124="SOLD",P124,"")</f>
        <v>1391</v>
      </c>
      <c r="X124" s="40" t="n">
        <f aca="false">IF(U124="SOLD",Q124,"")</f>
        <v>0.1164</v>
      </c>
      <c r="Y124" s="10" t="str">
        <f aca="false">IF(U124="SOLD",TEXT(S124,"YYYY-MM"),"")</f>
        <v>2026-03</v>
      </c>
    </row>
    <row r="125" customFormat="false" ht="15" hidden="false" customHeight="false" outlineLevel="0" collapsed="false">
      <c r="A125" s="20" t="n">
        <v>125</v>
      </c>
      <c r="B125" s="20" t="n">
        <v>2024</v>
      </c>
      <c r="C125" s="20" t="s">
        <v>251</v>
      </c>
      <c r="D125" s="20" t="s">
        <v>172</v>
      </c>
      <c r="E125" s="20" t="s">
        <v>308</v>
      </c>
      <c r="F125" s="20" t="s">
        <v>377</v>
      </c>
      <c r="G125" s="20" t="s">
        <v>169</v>
      </c>
      <c r="H125" s="25" t="n">
        <v>148635</v>
      </c>
      <c r="I125" s="20" t="s">
        <v>133</v>
      </c>
      <c r="J125" s="20" t="s">
        <v>170</v>
      </c>
      <c r="K125" s="26" t="n">
        <v>7459</v>
      </c>
      <c r="L125" s="26" t="n">
        <v>10162.6</v>
      </c>
      <c r="M125" s="26" t="n">
        <v>2337.41</v>
      </c>
      <c r="N125" s="26" t="n">
        <v>12500</v>
      </c>
      <c r="O125" s="26" t="n">
        <v>12500</v>
      </c>
      <c r="P125" s="26" t="n">
        <v>2704</v>
      </c>
      <c r="Q125" s="27" t="n">
        <v>0.3625</v>
      </c>
      <c r="R125" s="38" t="n">
        <v>46077</v>
      </c>
      <c r="S125" s="38" t="n">
        <v>46104</v>
      </c>
      <c r="T125" s="25" t="n">
        <v>1</v>
      </c>
      <c r="U125" s="20" t="s">
        <v>164</v>
      </c>
      <c r="V125" s="20" t="s">
        <v>55</v>
      </c>
      <c r="W125" s="39" t="n">
        <f aca="false">IF(U125="SOLD",P125,"")</f>
        <v>2704</v>
      </c>
      <c r="X125" s="40" t="n">
        <f aca="false">IF(U125="SOLD",Q125,"")</f>
        <v>0.3625</v>
      </c>
      <c r="Y125" s="10" t="str">
        <f aca="false">IF(U125="SOLD",TEXT(S125,"YYYY-MM"),"")</f>
        <v>2026-03</v>
      </c>
    </row>
    <row r="126" customFormat="false" ht="15" hidden="false" customHeight="false" outlineLevel="0" collapsed="false">
      <c r="A126" s="41" t="n">
        <v>126</v>
      </c>
      <c r="B126" s="41" t="n">
        <v>2024</v>
      </c>
      <c r="C126" s="41" t="s">
        <v>49</v>
      </c>
      <c r="D126" s="41" t="s">
        <v>274</v>
      </c>
      <c r="E126" s="41" t="s">
        <v>378</v>
      </c>
      <c r="F126" s="41" t="s">
        <v>347</v>
      </c>
      <c r="G126" s="41" t="s">
        <v>169</v>
      </c>
      <c r="H126" s="42" t="n">
        <v>191500</v>
      </c>
      <c r="I126" s="41" t="s">
        <v>132</v>
      </c>
      <c r="J126" s="41" t="s">
        <v>180</v>
      </c>
      <c r="K126" s="43" t="n">
        <v>8800</v>
      </c>
      <c r="L126" s="43" t="n">
        <v>8433.99</v>
      </c>
      <c r="M126" s="43" t="n">
        <v>66.01</v>
      </c>
      <c r="N126" s="43" t="n">
        <v>8500</v>
      </c>
      <c r="O126" s="43"/>
      <c r="P126" s="43"/>
      <c r="Q126" s="44"/>
      <c r="R126" s="45" t="n">
        <v>46081</v>
      </c>
      <c r="S126" s="45"/>
      <c r="T126" s="42" t="n">
        <v>0</v>
      </c>
      <c r="U126" s="41" t="s">
        <v>191</v>
      </c>
      <c r="V126" s="41" t="s">
        <v>49</v>
      </c>
      <c r="W126" s="39" t="str">
        <f aca="false">IF(U126="SOLD",P126,"")</f>
        <v/>
      </c>
      <c r="X126" s="40" t="str">
        <f aca="false">IF(U126="SOLD",Q126,"")</f>
        <v/>
      </c>
      <c r="Y126" s="10" t="str">
        <f aca="false">IF(U126="SOLD",TEXT(S126,"YYYY-MM"),"")</f>
        <v/>
      </c>
    </row>
    <row r="127" customFormat="false" ht="15" hidden="false" customHeight="false" outlineLevel="0" collapsed="false">
      <c r="A127" s="20" t="n">
        <v>127</v>
      </c>
      <c r="B127" s="20" t="n">
        <v>2024</v>
      </c>
      <c r="C127" s="20" t="s">
        <v>63</v>
      </c>
      <c r="D127" s="20" t="s">
        <v>375</v>
      </c>
      <c r="E127" s="20" t="s">
        <v>335</v>
      </c>
      <c r="F127" s="20" t="s">
        <v>376</v>
      </c>
      <c r="G127" s="20" t="s">
        <v>369</v>
      </c>
      <c r="H127" s="25" t="n">
        <v>182740</v>
      </c>
      <c r="I127" s="20" t="s">
        <v>133</v>
      </c>
      <c r="J127" s="20" t="s">
        <v>184</v>
      </c>
      <c r="K127" s="26" t="n">
        <v>12119</v>
      </c>
      <c r="L127" s="26" t="n">
        <v>11707.32</v>
      </c>
      <c r="M127" s="26" t="n">
        <v>2692.7</v>
      </c>
      <c r="N127" s="26" t="n">
        <v>14400</v>
      </c>
      <c r="O127" s="26" t="n">
        <v>16500</v>
      </c>
      <c r="P127" s="26" t="n">
        <v>1688</v>
      </c>
      <c r="Q127" s="27" t="n">
        <v>0.1393</v>
      </c>
      <c r="R127" s="38" t="n">
        <v>46086</v>
      </c>
      <c r="S127" s="38" t="n">
        <v>46106</v>
      </c>
      <c r="T127" s="25" t="n">
        <v>2</v>
      </c>
      <c r="U127" s="20" t="s">
        <v>164</v>
      </c>
      <c r="V127" s="20" t="s">
        <v>63</v>
      </c>
      <c r="W127" s="39" t="n">
        <f aca="false">IF(U127="SOLD",P127,"")</f>
        <v>1688</v>
      </c>
      <c r="X127" s="40" t="n">
        <f aca="false">IF(U127="SOLD",Q127,"")</f>
        <v>0.1393</v>
      </c>
      <c r="Y127" s="10" t="str">
        <f aca="false">IF(U127="SOLD",TEXT(S127,"YYYY-MM"),"")</f>
        <v>2026-03</v>
      </c>
    </row>
    <row r="128" customFormat="false" ht="15" hidden="false" customHeight="false" outlineLevel="0" collapsed="false">
      <c r="A128" s="20" t="n">
        <v>128</v>
      </c>
      <c r="B128" s="20" t="n">
        <v>2024</v>
      </c>
      <c r="C128" s="20" t="s">
        <v>53</v>
      </c>
      <c r="D128" s="20" t="s">
        <v>185</v>
      </c>
      <c r="E128" s="20" t="s">
        <v>379</v>
      </c>
      <c r="F128" s="20" t="s">
        <v>174</v>
      </c>
      <c r="G128" s="20" t="s">
        <v>186</v>
      </c>
      <c r="H128" s="25" t="n">
        <v>211500</v>
      </c>
      <c r="I128" s="20" t="s">
        <v>132</v>
      </c>
      <c r="J128" s="20" t="s">
        <v>180</v>
      </c>
      <c r="K128" s="26" t="n">
        <v>12000</v>
      </c>
      <c r="L128" s="26"/>
      <c r="M128" s="26"/>
      <c r="N128" s="26" t="n">
        <v>13500</v>
      </c>
      <c r="O128" s="26" t="n">
        <v>13500</v>
      </c>
      <c r="P128" s="26" t="n">
        <v>1500</v>
      </c>
      <c r="Q128" s="27" t="n">
        <v>0.125</v>
      </c>
      <c r="R128" s="38" t="n">
        <v>46102</v>
      </c>
      <c r="S128" s="38" t="n">
        <v>46126</v>
      </c>
      <c r="T128" s="25" t="n">
        <v>3</v>
      </c>
      <c r="U128" s="20" t="s">
        <v>164</v>
      </c>
      <c r="V128" s="20" t="s">
        <v>53</v>
      </c>
      <c r="W128" s="39" t="n">
        <f aca="false">IF(U128="SOLD",P128,"")</f>
        <v>1500</v>
      </c>
      <c r="X128" s="40" t="n">
        <f aca="false">IF(U128="SOLD",Q128,"")</f>
        <v>0.125</v>
      </c>
      <c r="Y128" s="10" t="str">
        <f aca="false">IF(U128="SOLD",TEXT(S128,"YYYY-MM"),"")</f>
        <v>2026-04</v>
      </c>
    </row>
    <row r="129" customFormat="false" ht="15" hidden="false" customHeight="false" outlineLevel="0" collapsed="false">
      <c r="A129" s="20" t="n">
        <v>129</v>
      </c>
      <c r="B129" s="20" t="n">
        <v>2024</v>
      </c>
      <c r="C129" s="20" t="s">
        <v>54</v>
      </c>
      <c r="D129" s="20" t="s">
        <v>375</v>
      </c>
      <c r="E129" s="20" t="s">
        <v>367</v>
      </c>
      <c r="F129" s="20" t="s">
        <v>368</v>
      </c>
      <c r="G129" s="20" t="s">
        <v>369</v>
      </c>
      <c r="H129" s="25" t="n">
        <v>105000</v>
      </c>
      <c r="I129" s="20" t="s">
        <v>133</v>
      </c>
      <c r="J129" s="20" t="s">
        <v>184</v>
      </c>
      <c r="K129" s="26" t="n">
        <v>10449</v>
      </c>
      <c r="L129" s="26" t="n">
        <v>10569.11</v>
      </c>
      <c r="M129" s="26" t="n">
        <v>2430.91</v>
      </c>
      <c r="N129" s="26" t="n">
        <v>13000</v>
      </c>
      <c r="O129" s="26" t="n">
        <v>15700</v>
      </c>
      <c r="P129" s="26" t="n">
        <v>2820</v>
      </c>
      <c r="Q129" s="27" t="n">
        <v>0.2699</v>
      </c>
      <c r="R129" s="38" t="n">
        <v>46100</v>
      </c>
      <c r="S129" s="38" t="n">
        <v>46127</v>
      </c>
      <c r="T129" s="25" t="n">
        <v>1</v>
      </c>
      <c r="U129" s="20" t="s">
        <v>164</v>
      </c>
      <c r="V129" s="20" t="s">
        <v>54</v>
      </c>
      <c r="W129" s="39" t="n">
        <f aca="false">IF(U129="SOLD",P129,"")</f>
        <v>2820</v>
      </c>
      <c r="X129" s="40" t="n">
        <f aca="false">IF(U129="SOLD",Q129,"")</f>
        <v>0.2699</v>
      </c>
      <c r="Y129" s="10" t="str">
        <f aca="false">IF(U129="SOLD",TEXT(S129,"YYYY-MM"),"")</f>
        <v>2026-04</v>
      </c>
    </row>
    <row r="130" customFormat="false" ht="15" hidden="false" customHeight="false" outlineLevel="0" collapsed="false">
      <c r="A130" s="20" t="n">
        <v>130</v>
      </c>
      <c r="B130" s="20" t="n">
        <v>2024</v>
      </c>
      <c r="C130" s="20" t="s">
        <v>192</v>
      </c>
      <c r="D130" s="20" t="s">
        <v>181</v>
      </c>
      <c r="E130" s="20" t="s">
        <v>262</v>
      </c>
      <c r="F130" s="20" t="s">
        <v>194</v>
      </c>
      <c r="G130" s="20" t="s">
        <v>169</v>
      </c>
      <c r="H130" s="25" t="n">
        <v>150200</v>
      </c>
      <c r="I130" s="20" t="s">
        <v>132</v>
      </c>
      <c r="J130" s="20" t="s">
        <v>170</v>
      </c>
      <c r="K130" s="26" t="n">
        <v>7517</v>
      </c>
      <c r="L130" s="26" t="n">
        <v>8834.06</v>
      </c>
      <c r="M130" s="26" t="n">
        <v>365.94</v>
      </c>
      <c r="N130" s="26" t="n">
        <v>9200</v>
      </c>
      <c r="O130" s="26" t="n">
        <v>9200</v>
      </c>
      <c r="P130" s="26" t="n">
        <v>1317</v>
      </c>
      <c r="Q130" s="27" t="n">
        <v>0.1752</v>
      </c>
      <c r="R130" s="38" t="n">
        <v>46113</v>
      </c>
      <c r="S130" s="38" t="n">
        <v>46200</v>
      </c>
      <c r="T130" s="25" t="n">
        <v>61</v>
      </c>
      <c r="U130" s="20" t="s">
        <v>164</v>
      </c>
      <c r="V130" s="20" t="s">
        <v>46</v>
      </c>
      <c r="W130" s="39" t="n">
        <f aca="false">IF(U130="SOLD",P130,"")</f>
        <v>1317</v>
      </c>
      <c r="X130" s="40" t="n">
        <f aca="false">IF(U130="SOLD",Q130,"")</f>
        <v>0.1752</v>
      </c>
      <c r="Y130" s="10" t="str">
        <f aca="false">IF(U130="SOLD",TEXT(S130,"YYYY-MM"),"")</f>
        <v>2026-06</v>
      </c>
    </row>
    <row r="131" customFormat="false" ht="15" hidden="false" customHeight="false" outlineLevel="0" collapsed="false">
      <c r="A131" s="41" t="n">
        <v>131</v>
      </c>
      <c r="B131" s="41" t="n">
        <v>2024</v>
      </c>
      <c r="C131" s="41" t="s">
        <v>251</v>
      </c>
      <c r="D131" s="41" t="s">
        <v>345</v>
      </c>
      <c r="E131" s="41" t="s">
        <v>380</v>
      </c>
      <c r="F131" s="41" t="s">
        <v>381</v>
      </c>
      <c r="G131" s="41" t="s">
        <v>186</v>
      </c>
      <c r="H131" s="42" t="n">
        <v>152200</v>
      </c>
      <c r="I131" s="41" t="s">
        <v>132</v>
      </c>
      <c r="J131" s="41" t="s">
        <v>180</v>
      </c>
      <c r="K131" s="43" t="n">
        <v>12197</v>
      </c>
      <c r="L131" s="43" t="n">
        <v>0</v>
      </c>
      <c r="M131" s="43" t="n">
        <v>0</v>
      </c>
      <c r="N131" s="43" t="n">
        <v>0</v>
      </c>
      <c r="O131" s="43"/>
      <c r="P131" s="43"/>
      <c r="Q131" s="44"/>
      <c r="R131" s="45" t="n">
        <v>46120</v>
      </c>
      <c r="S131" s="45"/>
      <c r="T131" s="42" t="n">
        <v>0</v>
      </c>
      <c r="U131" s="41" t="s">
        <v>191</v>
      </c>
      <c r="V131" s="41" t="s">
        <v>55</v>
      </c>
      <c r="W131" s="39" t="str">
        <f aca="false">IF(U131="SOLD",P131,"")</f>
        <v/>
      </c>
      <c r="X131" s="40" t="str">
        <f aca="false">IF(U131="SOLD",Q131,"")</f>
        <v/>
      </c>
      <c r="Y131" s="10" t="str">
        <f aca="false">IF(U131="SOLD",TEXT(S131,"YYYY-MM"),"")</f>
        <v/>
      </c>
    </row>
    <row r="132" customFormat="false" ht="15" hidden="false" customHeight="false" outlineLevel="0" collapsed="false">
      <c r="A132" s="20" t="n">
        <v>132</v>
      </c>
      <c r="B132" s="20" t="n">
        <v>2024</v>
      </c>
      <c r="C132" s="20" t="s">
        <v>245</v>
      </c>
      <c r="D132" s="20" t="s">
        <v>185</v>
      </c>
      <c r="E132" s="20" t="s">
        <v>262</v>
      </c>
      <c r="F132" s="20" t="s">
        <v>174</v>
      </c>
      <c r="G132" s="20" t="s">
        <v>169</v>
      </c>
      <c r="H132" s="25" t="n">
        <v>178300</v>
      </c>
      <c r="I132" s="20" t="s">
        <v>132</v>
      </c>
      <c r="J132" s="20" t="s">
        <v>180</v>
      </c>
      <c r="K132" s="26" t="n">
        <v>10204</v>
      </c>
      <c r="L132" s="26" t="n">
        <v>12409.11</v>
      </c>
      <c r="M132" s="26" t="n">
        <v>590.89</v>
      </c>
      <c r="N132" s="26" t="n">
        <v>13000</v>
      </c>
      <c r="O132" s="26" t="n">
        <v>13000</v>
      </c>
      <c r="P132" s="26" t="n">
        <v>2205</v>
      </c>
      <c r="Q132" s="27" t="n">
        <v>0.2161</v>
      </c>
      <c r="R132" s="38" t="n">
        <v>46127</v>
      </c>
      <c r="S132" s="38" t="n">
        <v>46173</v>
      </c>
      <c r="T132" s="25" t="n">
        <v>9</v>
      </c>
      <c r="U132" s="20" t="s">
        <v>164</v>
      </c>
      <c r="V132" s="20" t="s">
        <v>50</v>
      </c>
      <c r="W132" s="39" t="n">
        <f aca="false">IF(U132="SOLD",P132,"")</f>
        <v>2205</v>
      </c>
      <c r="X132" s="40" t="n">
        <f aca="false">IF(U132="SOLD",Q132,"")</f>
        <v>0.2161</v>
      </c>
      <c r="Y132" s="10" t="str">
        <f aca="false">IF(U132="SOLD",TEXT(S132,"YYYY-MM"),"")</f>
        <v>2026-05</v>
      </c>
    </row>
    <row r="133" customFormat="false" ht="15" hidden="false" customHeight="false" outlineLevel="0" collapsed="false">
      <c r="A133" s="41" t="n">
        <v>133</v>
      </c>
      <c r="B133" s="41" t="n">
        <v>2024</v>
      </c>
      <c r="C133" s="41" t="s">
        <v>192</v>
      </c>
      <c r="D133" s="41" t="s">
        <v>181</v>
      </c>
      <c r="E133" s="41" t="s">
        <v>382</v>
      </c>
      <c r="F133" s="41" t="s">
        <v>231</v>
      </c>
      <c r="G133" s="41" t="s">
        <v>169</v>
      </c>
      <c r="H133" s="42" t="n">
        <v>131500</v>
      </c>
      <c r="I133" s="41" t="s">
        <v>132</v>
      </c>
      <c r="J133" s="41" t="s">
        <v>180</v>
      </c>
      <c r="K133" s="43" t="n">
        <v>10983</v>
      </c>
      <c r="L133" s="43" t="n">
        <v>10131.37</v>
      </c>
      <c r="M133" s="43" t="n">
        <v>68.63</v>
      </c>
      <c r="N133" s="43" t="n">
        <v>10200</v>
      </c>
      <c r="O133" s="43"/>
      <c r="P133" s="43"/>
      <c r="Q133" s="44"/>
      <c r="R133" s="45" t="n">
        <v>46129</v>
      </c>
      <c r="S133" s="45"/>
      <c r="T133" s="42" t="n">
        <v>0</v>
      </c>
      <c r="U133" s="41" t="s">
        <v>191</v>
      </c>
      <c r="V133" s="41" t="s">
        <v>46</v>
      </c>
      <c r="W133" s="39" t="str">
        <f aca="false">IF(U133="SOLD",P133,"")</f>
        <v/>
      </c>
      <c r="X133" s="40" t="str">
        <f aca="false">IF(U133="SOLD",Q133,"")</f>
        <v/>
      </c>
      <c r="Y133" s="10" t="str">
        <f aca="false">IF(U133="SOLD",TEXT(S133,"YYYY-MM"),"")</f>
        <v/>
      </c>
    </row>
    <row r="134" customFormat="false" ht="15" hidden="false" customHeight="false" outlineLevel="0" collapsed="false">
      <c r="A134" s="20" t="n">
        <v>134</v>
      </c>
      <c r="B134" s="20" t="n">
        <v>2024</v>
      </c>
      <c r="C134" s="20" t="s">
        <v>54</v>
      </c>
      <c r="D134" s="20" t="s">
        <v>366</v>
      </c>
      <c r="E134" s="20" t="s">
        <v>383</v>
      </c>
      <c r="F134" s="20" t="s">
        <v>368</v>
      </c>
      <c r="G134" s="20" t="s">
        <v>369</v>
      </c>
      <c r="H134" s="25" t="n">
        <v>156000</v>
      </c>
      <c r="I134" s="20" t="s">
        <v>132</v>
      </c>
      <c r="J134" s="20" t="s">
        <v>184</v>
      </c>
      <c r="K134" s="26" t="n">
        <v>13350</v>
      </c>
      <c r="L134" s="26"/>
      <c r="M134" s="26"/>
      <c r="N134" s="26"/>
      <c r="O134" s="26" t="n">
        <v>14750</v>
      </c>
      <c r="P134" s="26" t="n">
        <v>1400</v>
      </c>
      <c r="Q134" s="27" t="n">
        <v>0.1049</v>
      </c>
      <c r="R134" s="38" t="n">
        <v>46133</v>
      </c>
      <c r="S134" s="38" t="n">
        <v>46181</v>
      </c>
      <c r="T134" s="25" t="n">
        <v>42</v>
      </c>
      <c r="U134" s="20" t="s">
        <v>164</v>
      </c>
      <c r="V134" s="20" t="s">
        <v>54</v>
      </c>
      <c r="W134" s="39" t="n">
        <f aca="false">IF(U134="SOLD",P134,"")</f>
        <v>1400</v>
      </c>
      <c r="X134" s="40" t="n">
        <f aca="false">IF(U134="SOLD",Q134,"")</f>
        <v>0.1049</v>
      </c>
      <c r="Y134" s="10" t="str">
        <f aca="false">IF(U134="SOLD",TEXT(S134,"YYYY-MM"),"")</f>
        <v>2026-06</v>
      </c>
    </row>
    <row r="135" customFormat="false" ht="15" hidden="false" customHeight="false" outlineLevel="0" collapsed="false">
      <c r="A135" s="20" t="n">
        <v>135</v>
      </c>
      <c r="B135" s="20" t="n">
        <v>2024</v>
      </c>
      <c r="C135" s="20" t="s">
        <v>54</v>
      </c>
      <c r="D135" s="20" t="s">
        <v>366</v>
      </c>
      <c r="E135" s="20" t="s">
        <v>367</v>
      </c>
      <c r="F135" s="20" t="s">
        <v>368</v>
      </c>
      <c r="G135" s="20" t="s">
        <v>369</v>
      </c>
      <c r="H135" s="25" t="n">
        <v>142000</v>
      </c>
      <c r="I135" s="20" t="s">
        <v>132</v>
      </c>
      <c r="J135" s="20" t="s">
        <v>184</v>
      </c>
      <c r="K135" s="26" t="n">
        <v>13810</v>
      </c>
      <c r="L135" s="26"/>
      <c r="M135" s="26"/>
      <c r="N135" s="26"/>
      <c r="O135" s="26" t="n">
        <v>15500</v>
      </c>
      <c r="P135" s="26" t="n">
        <v>1690</v>
      </c>
      <c r="Q135" s="27" t="n">
        <v>0.1224</v>
      </c>
      <c r="R135" s="38" t="n">
        <v>46141</v>
      </c>
      <c r="S135" s="38" t="n">
        <v>46184</v>
      </c>
      <c r="T135" s="25" t="n">
        <v>42</v>
      </c>
      <c r="U135" s="20" t="s">
        <v>164</v>
      </c>
      <c r="V135" s="20" t="s">
        <v>54</v>
      </c>
      <c r="W135" s="39" t="n">
        <f aca="false">IF(U135="SOLD",P135,"")</f>
        <v>1690</v>
      </c>
      <c r="X135" s="40" t="n">
        <f aca="false">IF(U135="SOLD",Q135,"")</f>
        <v>0.1224</v>
      </c>
      <c r="Y135" s="10" t="str">
        <f aca="false">IF(U135="SOLD",TEXT(S135,"YYYY-MM"),"")</f>
        <v>2026-06</v>
      </c>
    </row>
    <row r="136" customFormat="false" ht="15" hidden="false" customHeight="false" outlineLevel="0" collapsed="false">
      <c r="A136" s="20" t="n">
        <v>136</v>
      </c>
      <c r="B136" s="20" t="n">
        <v>2024</v>
      </c>
      <c r="C136" s="20" t="s">
        <v>53</v>
      </c>
      <c r="D136" s="20" t="s">
        <v>185</v>
      </c>
      <c r="E136" s="20" t="s">
        <v>290</v>
      </c>
      <c r="F136" s="20" t="s">
        <v>174</v>
      </c>
      <c r="G136" s="20" t="s">
        <v>169</v>
      </c>
      <c r="H136" s="25" t="n">
        <v>143800</v>
      </c>
      <c r="I136" s="20" t="s">
        <v>132</v>
      </c>
      <c r="J136" s="20" t="s">
        <v>180</v>
      </c>
      <c r="K136" s="26" t="n">
        <v>12652.5</v>
      </c>
      <c r="L136" s="26" t="n">
        <v>13945.84</v>
      </c>
      <c r="M136" s="26" t="n">
        <v>354.16</v>
      </c>
      <c r="N136" s="26" t="n">
        <v>14300</v>
      </c>
      <c r="O136" s="26" t="n">
        <v>14300</v>
      </c>
      <c r="P136" s="26" t="n">
        <v>1293</v>
      </c>
      <c r="Q136" s="27" t="n">
        <v>0.1022</v>
      </c>
      <c r="R136" s="38" t="n">
        <v>46143</v>
      </c>
      <c r="S136" s="38" t="n">
        <v>46192</v>
      </c>
      <c r="T136" s="25" t="n">
        <v>20</v>
      </c>
      <c r="U136" s="20" t="s">
        <v>164</v>
      </c>
      <c r="V136" s="20" t="s">
        <v>53</v>
      </c>
      <c r="W136" s="39" t="n">
        <f aca="false">IF(U136="SOLD",P136,"")</f>
        <v>1293</v>
      </c>
      <c r="X136" s="40" t="n">
        <f aca="false">IF(U136="SOLD",Q136,"")</f>
        <v>0.1022</v>
      </c>
      <c r="Y136" s="10" t="str">
        <f aca="false">IF(U136="SOLD",TEXT(S136,"YYYY-MM"),"")</f>
        <v>2026-06</v>
      </c>
    </row>
    <row r="137" customFormat="false" ht="15" hidden="false" customHeight="false" outlineLevel="0" collapsed="false">
      <c r="A137" s="41" t="n">
        <v>137</v>
      </c>
      <c r="B137" s="41" t="n">
        <v>2024</v>
      </c>
      <c r="C137" s="41" t="s">
        <v>70</v>
      </c>
      <c r="D137" s="41" t="s">
        <v>364</v>
      </c>
      <c r="E137" s="41" t="s">
        <v>173</v>
      </c>
      <c r="F137" s="41" t="s">
        <v>384</v>
      </c>
      <c r="G137" s="41" t="s">
        <v>169</v>
      </c>
      <c r="H137" s="42" t="n">
        <v>175000</v>
      </c>
      <c r="I137" s="41" t="s">
        <v>132</v>
      </c>
      <c r="J137" s="41" t="s">
        <v>180</v>
      </c>
      <c r="K137" s="43" t="n">
        <v>6157</v>
      </c>
      <c r="L137" s="43" t="n">
        <v>0</v>
      </c>
      <c r="M137" s="43" t="n">
        <v>0</v>
      </c>
      <c r="N137" s="43" t="n">
        <v>0</v>
      </c>
      <c r="O137" s="43"/>
      <c r="P137" s="43"/>
      <c r="Q137" s="44"/>
      <c r="R137" s="45" t="n">
        <v>46174</v>
      </c>
      <c r="S137" s="45"/>
      <c r="T137" s="42" t="n">
        <v>0</v>
      </c>
      <c r="U137" s="41" t="s">
        <v>191</v>
      </c>
      <c r="V137" s="41" t="s">
        <v>70</v>
      </c>
      <c r="W137" s="39" t="str">
        <f aca="false">IF(U137="SOLD",P137,"")</f>
        <v/>
      </c>
      <c r="X137" s="40" t="str">
        <f aca="false">IF(U137="SOLD",Q137,"")</f>
        <v/>
      </c>
      <c r="Y137" s="10" t="str">
        <f aca="false">IF(U137="SOLD",TEXT(S137,"YYYY-MM"),"")</f>
        <v/>
      </c>
    </row>
    <row r="138" customFormat="false" ht="15" hidden="false" customHeight="false" outlineLevel="0" collapsed="false">
      <c r="A138" s="41" t="n">
        <v>138</v>
      </c>
      <c r="B138" s="41" t="n">
        <v>2024</v>
      </c>
      <c r="C138" s="41" t="s">
        <v>48</v>
      </c>
      <c r="D138" s="41" t="s">
        <v>172</v>
      </c>
      <c r="E138" s="41" t="s">
        <v>246</v>
      </c>
      <c r="F138" s="41" t="s">
        <v>250</v>
      </c>
      <c r="G138" s="41" t="s">
        <v>169</v>
      </c>
      <c r="H138" s="42" t="n">
        <v>184260</v>
      </c>
      <c r="I138" s="41" t="s">
        <v>132</v>
      </c>
      <c r="J138" s="41" t="s">
        <v>248</v>
      </c>
      <c r="K138" s="43" t="n">
        <v>9174</v>
      </c>
      <c r="L138" s="43" t="n">
        <v>0</v>
      </c>
      <c r="M138" s="43" t="n">
        <v>0</v>
      </c>
      <c r="N138" s="43" t="n">
        <v>0</v>
      </c>
      <c r="O138" s="43"/>
      <c r="P138" s="43"/>
      <c r="Q138" s="44"/>
      <c r="R138" s="45" t="n">
        <v>46174</v>
      </c>
      <c r="S138" s="45"/>
      <c r="T138" s="42" t="n">
        <v>0</v>
      </c>
      <c r="U138" s="41" t="s">
        <v>191</v>
      </c>
      <c r="V138" s="41" t="s">
        <v>48</v>
      </c>
      <c r="W138" s="39" t="str">
        <f aca="false">IF(U138="SOLD",P138,"")</f>
        <v/>
      </c>
      <c r="X138" s="40" t="str">
        <f aca="false">IF(U138="SOLD",Q138,"")</f>
        <v/>
      </c>
      <c r="Y138" s="10" t="str">
        <f aca="false">IF(U138="SOLD",TEXT(S138,"YYYY-MM"),"")</f>
        <v/>
      </c>
    </row>
    <row r="139" customFormat="false" ht="15" hidden="false" customHeight="false" outlineLevel="0" collapsed="false">
      <c r="A139" s="41" t="n">
        <v>139</v>
      </c>
      <c r="B139" s="41" t="n">
        <v>2024</v>
      </c>
      <c r="C139" s="41" t="s">
        <v>59</v>
      </c>
      <c r="D139" s="41" t="s">
        <v>172</v>
      </c>
      <c r="E139" s="41" t="s">
        <v>385</v>
      </c>
      <c r="F139" s="41" t="s">
        <v>174</v>
      </c>
      <c r="G139" s="41" t="s">
        <v>169</v>
      </c>
      <c r="H139" s="42" t="n">
        <v>167000</v>
      </c>
      <c r="I139" s="41" t="s">
        <v>132</v>
      </c>
      <c r="J139" s="41" t="s">
        <v>212</v>
      </c>
      <c r="K139" s="43" t="n">
        <v>13030</v>
      </c>
      <c r="L139" s="43" t="n">
        <v>0</v>
      </c>
      <c r="M139" s="43" t="n">
        <v>0</v>
      </c>
      <c r="N139" s="43" t="n">
        <v>0</v>
      </c>
      <c r="O139" s="43"/>
      <c r="P139" s="43"/>
      <c r="Q139" s="44"/>
      <c r="R139" s="45" t="n">
        <v>46184</v>
      </c>
      <c r="S139" s="45"/>
      <c r="T139" s="42" t="n">
        <v>0</v>
      </c>
      <c r="U139" s="41" t="s">
        <v>191</v>
      </c>
      <c r="V139" s="41" t="s">
        <v>59</v>
      </c>
      <c r="W139" s="39" t="str">
        <f aca="false">IF(U139="SOLD",P139,"")</f>
        <v/>
      </c>
      <c r="X139" s="40" t="str">
        <f aca="false">IF(U139="SOLD",Q139,"")</f>
        <v/>
      </c>
      <c r="Y139" s="10" t="str">
        <f aca="false">IF(U139="SOLD",TEXT(S139,"YYYY-MM"),"")</f>
        <v/>
      </c>
    </row>
    <row r="140" customFormat="false" ht="15" hidden="false" customHeight="false" outlineLevel="0" collapsed="false">
      <c r="A140" s="41" t="n">
        <v>140</v>
      </c>
      <c r="B140" s="41" t="n">
        <v>2024</v>
      </c>
      <c r="C140" s="41" t="s">
        <v>251</v>
      </c>
      <c r="D140" s="41" t="s">
        <v>172</v>
      </c>
      <c r="E140" s="41" t="s">
        <v>220</v>
      </c>
      <c r="F140" s="41" t="s">
        <v>377</v>
      </c>
      <c r="G140" s="41" t="s">
        <v>169</v>
      </c>
      <c r="H140" s="42" t="n">
        <v>143000</v>
      </c>
      <c r="I140" s="41" t="s">
        <v>132</v>
      </c>
      <c r="J140" s="41" t="s">
        <v>212</v>
      </c>
      <c r="K140" s="43" t="n">
        <v>8726</v>
      </c>
      <c r="L140" s="43" t="n">
        <v>0</v>
      </c>
      <c r="M140" s="43" t="n">
        <v>0</v>
      </c>
      <c r="N140" s="43" t="n">
        <v>0</v>
      </c>
      <c r="O140" s="43"/>
      <c r="P140" s="43"/>
      <c r="Q140" s="44"/>
      <c r="R140" s="45" t="n">
        <v>46184</v>
      </c>
      <c r="S140" s="45"/>
      <c r="T140" s="42" t="n">
        <v>0</v>
      </c>
      <c r="U140" s="41" t="s">
        <v>191</v>
      </c>
      <c r="V140" s="41" t="s">
        <v>55</v>
      </c>
      <c r="W140" s="39" t="str">
        <f aca="false">IF(U140="SOLD",P140,"")</f>
        <v/>
      </c>
      <c r="X140" s="40" t="str">
        <f aca="false">IF(U140="SOLD",Q140,"")</f>
        <v/>
      </c>
      <c r="Y140" s="10" t="str">
        <f aca="false">IF(U140="SOLD",TEXT(S140,"YYYY-MM"),"")</f>
        <v/>
      </c>
    </row>
    <row r="141" customFormat="false" ht="15" hidden="false" customHeight="false" outlineLevel="0" collapsed="false">
      <c r="A141" s="41" t="n">
        <v>141</v>
      </c>
      <c r="B141" s="41" t="n">
        <v>2024</v>
      </c>
      <c r="C141" s="41" t="s">
        <v>48</v>
      </c>
      <c r="D141" s="41" t="s">
        <v>329</v>
      </c>
      <c r="E141" s="41" t="s">
        <v>205</v>
      </c>
      <c r="F141" s="41" t="s">
        <v>386</v>
      </c>
      <c r="G141" s="41" t="s">
        <v>169</v>
      </c>
      <c r="H141" s="42" t="n">
        <v>183000</v>
      </c>
      <c r="I141" s="41" t="s">
        <v>132</v>
      </c>
      <c r="J141" s="41" t="s">
        <v>180</v>
      </c>
      <c r="K141" s="43" t="n">
        <v>11765</v>
      </c>
      <c r="L141" s="43" t="n">
        <v>11510.82</v>
      </c>
      <c r="M141" s="43" t="n">
        <v>49.18</v>
      </c>
      <c r="N141" s="43" t="n">
        <v>11560</v>
      </c>
      <c r="O141" s="43"/>
      <c r="P141" s="43"/>
      <c r="Q141" s="44"/>
      <c r="R141" s="45" t="n">
        <v>46185</v>
      </c>
      <c r="S141" s="45"/>
      <c r="T141" s="42" t="n">
        <v>0</v>
      </c>
      <c r="U141" s="41" t="s">
        <v>191</v>
      </c>
      <c r="V141" s="41" t="s">
        <v>48</v>
      </c>
      <c r="W141" s="39" t="str">
        <f aca="false">IF(U141="SOLD",P141,"")</f>
        <v/>
      </c>
      <c r="X141" s="40" t="str">
        <f aca="false">IF(U141="SOLD",Q141,"")</f>
        <v/>
      </c>
      <c r="Y141" s="10" t="str">
        <f aca="false">IF(U141="SOLD",TEXT(S141,"YYYY-MM"),"")</f>
        <v/>
      </c>
    </row>
    <row r="142" customFormat="false" ht="15" hidden="false" customHeight="false" outlineLevel="0" collapsed="false">
      <c r="A142" s="41" t="n">
        <v>142</v>
      </c>
      <c r="B142" s="41" t="n">
        <v>2024</v>
      </c>
      <c r="C142" s="41" t="s">
        <v>387</v>
      </c>
      <c r="D142" s="41"/>
      <c r="E142" s="41" t="s">
        <v>341</v>
      </c>
      <c r="F142" s="41" t="s">
        <v>388</v>
      </c>
      <c r="G142" s="41" t="s">
        <v>219</v>
      </c>
      <c r="H142" s="42" t="n">
        <v>7860</v>
      </c>
      <c r="I142" s="41" t="s">
        <v>133</v>
      </c>
      <c r="J142" s="41" t="s">
        <v>180</v>
      </c>
      <c r="K142" s="43" t="n">
        <v>60</v>
      </c>
      <c r="L142" s="43" t="n">
        <v>0</v>
      </c>
      <c r="M142" s="43" t="n">
        <v>0</v>
      </c>
      <c r="N142" s="43" t="n">
        <v>0</v>
      </c>
      <c r="O142" s="43"/>
      <c r="P142" s="43"/>
      <c r="Q142" s="44"/>
      <c r="R142" s="45" t="n">
        <v>46190</v>
      </c>
      <c r="S142" s="45"/>
      <c r="T142" s="42" t="n">
        <v>0</v>
      </c>
      <c r="U142" s="41" t="s">
        <v>191</v>
      </c>
      <c r="V142" s="41" t="s">
        <v>67</v>
      </c>
      <c r="W142" s="39" t="str">
        <f aca="false">IF(U142="SOLD",P142,"")</f>
        <v/>
      </c>
      <c r="X142" s="40" t="str">
        <f aca="false">IF(U142="SOLD",Q142,"")</f>
        <v/>
      </c>
      <c r="Y142" s="10" t="str">
        <f aca="false">IF(U142="SOLD",TEXT(S142,"YYYY-MM"),"")</f>
        <v/>
      </c>
    </row>
    <row r="143" customFormat="false" ht="15" hidden="false" customHeight="false" outlineLevel="0" collapsed="false">
      <c r="A143" s="20" t="n">
        <v>143</v>
      </c>
      <c r="B143" s="20" t="n">
        <v>2024</v>
      </c>
      <c r="C143" s="20" t="s">
        <v>53</v>
      </c>
      <c r="D143" s="20" t="s">
        <v>185</v>
      </c>
      <c r="E143" s="20" t="s">
        <v>330</v>
      </c>
      <c r="F143" s="20" t="s">
        <v>206</v>
      </c>
      <c r="G143" s="20" t="s">
        <v>169</v>
      </c>
      <c r="H143" s="25" t="n">
        <v>162750</v>
      </c>
      <c r="I143" s="20" t="s">
        <v>132</v>
      </c>
      <c r="J143" s="20" t="s">
        <v>212</v>
      </c>
      <c r="K143" s="26" t="n">
        <v>10987.5</v>
      </c>
      <c r="L143" s="26" t="n">
        <v>13009.61</v>
      </c>
      <c r="M143" s="26" t="n">
        <v>490.39</v>
      </c>
      <c r="N143" s="26" t="n">
        <v>13500</v>
      </c>
      <c r="O143" s="26" t="n">
        <v>13500</v>
      </c>
      <c r="P143" s="26" t="n">
        <v>2022</v>
      </c>
      <c r="Q143" s="27" t="n">
        <v>0.184</v>
      </c>
      <c r="R143" s="38" t="n">
        <v>46197</v>
      </c>
      <c r="S143" s="38" t="n">
        <v>46228</v>
      </c>
      <c r="T143" s="25" t="n">
        <v>1</v>
      </c>
      <c r="U143" s="20" t="s">
        <v>164</v>
      </c>
      <c r="V143" s="20" t="s">
        <v>53</v>
      </c>
      <c r="W143" s="39" t="n">
        <f aca="false">IF(U143="SOLD",P143,"")</f>
        <v>2022</v>
      </c>
      <c r="X143" s="40" t="n">
        <f aca="false">IF(U143="SOLD",Q143,"")</f>
        <v>0.184</v>
      </c>
      <c r="Y143" s="10" t="str">
        <f aca="false">IF(U143="SOLD",TEXT(S143,"YYYY-MM"),"")</f>
        <v>2026-07</v>
      </c>
    </row>
    <row r="144" customFormat="false" ht="15" hidden="false" customHeight="false" outlineLevel="0" collapsed="false">
      <c r="A144" s="41" t="n">
        <v>144</v>
      </c>
      <c r="B144" s="41" t="n">
        <v>2024</v>
      </c>
      <c r="C144" s="41" t="s">
        <v>389</v>
      </c>
      <c r="D144" s="41" t="s">
        <v>258</v>
      </c>
      <c r="E144" s="41" t="s">
        <v>383</v>
      </c>
      <c r="F144" s="41" t="s">
        <v>390</v>
      </c>
      <c r="G144" s="41" t="s">
        <v>391</v>
      </c>
      <c r="H144" s="42" t="n">
        <v>41825</v>
      </c>
      <c r="I144" s="41" t="s">
        <v>132</v>
      </c>
      <c r="J144" s="41" t="s">
        <v>358</v>
      </c>
      <c r="K144" s="43" t="n">
        <v>83</v>
      </c>
      <c r="L144" s="43" t="n">
        <v>0</v>
      </c>
      <c r="M144" s="43" t="n">
        <v>0</v>
      </c>
      <c r="N144" s="43" t="n">
        <v>0</v>
      </c>
      <c r="O144" s="43"/>
      <c r="P144" s="43"/>
      <c r="Q144" s="44"/>
      <c r="R144" s="45" t="n">
        <v>46190</v>
      </c>
      <c r="S144" s="45"/>
      <c r="T144" s="42" t="n">
        <v>0</v>
      </c>
      <c r="U144" s="41" t="s">
        <v>191</v>
      </c>
      <c r="V144" s="41" t="s">
        <v>392</v>
      </c>
      <c r="W144" s="39" t="str">
        <f aca="false">IF(U144="SOLD",P144,"")</f>
        <v/>
      </c>
      <c r="X144" s="40" t="str">
        <f aca="false">IF(U144="SOLD",Q144,"")</f>
        <v/>
      </c>
      <c r="Y144" s="10" t="str">
        <f aca="false">IF(U144="SOLD",TEXT(S144,"YYYY-MM"),"")</f>
        <v/>
      </c>
    </row>
    <row r="145" customFormat="false" ht="15" hidden="false" customHeight="false" outlineLevel="0" collapsed="false">
      <c r="A145" s="41" t="n">
        <v>145</v>
      </c>
      <c r="B145" s="41" t="n">
        <v>2024</v>
      </c>
      <c r="C145" s="41" t="s">
        <v>229</v>
      </c>
      <c r="D145" s="41" t="s">
        <v>393</v>
      </c>
      <c r="E145" s="41" t="s">
        <v>255</v>
      </c>
      <c r="F145" s="41" t="s">
        <v>394</v>
      </c>
      <c r="G145" s="41" t="s">
        <v>175</v>
      </c>
      <c r="H145" s="42" t="n">
        <v>189562</v>
      </c>
      <c r="I145" s="41" t="s">
        <v>133</v>
      </c>
      <c r="J145" s="41" t="s">
        <v>212</v>
      </c>
      <c r="K145" s="43" t="n">
        <v>6109</v>
      </c>
      <c r="L145" s="43" t="n">
        <v>0</v>
      </c>
      <c r="M145" s="43" t="n">
        <v>0</v>
      </c>
      <c r="N145" s="43" t="n">
        <v>0</v>
      </c>
      <c r="O145" s="43"/>
      <c r="P145" s="43"/>
      <c r="Q145" s="44"/>
      <c r="R145" s="45" t="n">
        <v>46204</v>
      </c>
      <c r="S145" s="45"/>
      <c r="T145" s="42" t="n">
        <v>0</v>
      </c>
      <c r="U145" s="41" t="s">
        <v>191</v>
      </c>
      <c r="V145" s="41" t="s">
        <v>52</v>
      </c>
      <c r="W145" s="39" t="str">
        <f aca="false">IF(U145="SOLD",P145,"")</f>
        <v/>
      </c>
      <c r="X145" s="40" t="str">
        <f aca="false">IF(U145="SOLD",Q145,"")</f>
        <v/>
      </c>
      <c r="Y145" s="10" t="str">
        <f aca="false">IF(U145="SOLD",TEXT(S145,"YYYY-MM"),"")</f>
        <v/>
      </c>
    </row>
    <row r="146" customFormat="false" ht="15" hidden="false" customHeight="false" outlineLevel="0" collapsed="false">
      <c r="A146" s="41" t="n">
        <v>146</v>
      </c>
      <c r="B146" s="41" t="n">
        <v>2024</v>
      </c>
      <c r="C146" s="41" t="s">
        <v>395</v>
      </c>
      <c r="D146" s="41" t="s">
        <v>396</v>
      </c>
      <c r="E146" s="41" t="s">
        <v>211</v>
      </c>
      <c r="F146" s="41" t="s">
        <v>397</v>
      </c>
      <c r="G146" s="41" t="s">
        <v>179</v>
      </c>
      <c r="H146" s="42" t="n">
        <v>108500</v>
      </c>
      <c r="I146" s="41" t="s">
        <v>132</v>
      </c>
      <c r="J146" s="41" t="s">
        <v>212</v>
      </c>
      <c r="K146" s="43" t="n">
        <v>10250</v>
      </c>
      <c r="L146" s="43" t="n">
        <v>0</v>
      </c>
      <c r="M146" s="43" t="n">
        <v>0</v>
      </c>
      <c r="N146" s="43" t="n">
        <v>0</v>
      </c>
      <c r="O146" s="43"/>
      <c r="P146" s="43"/>
      <c r="Q146" s="44"/>
      <c r="R146" s="45" t="n">
        <v>46205</v>
      </c>
      <c r="S146" s="45"/>
      <c r="T146" s="42" t="n">
        <v>0</v>
      </c>
      <c r="U146" s="41" t="s">
        <v>191</v>
      </c>
      <c r="V146" s="41" t="s">
        <v>395</v>
      </c>
      <c r="W146" s="39" t="str">
        <f aca="false">IF(U146="SOLD",P146,"")</f>
        <v/>
      </c>
      <c r="X146" s="40" t="str">
        <f aca="false">IF(U146="SOLD",Q146,"")</f>
        <v/>
      </c>
      <c r="Y146" s="10" t="str">
        <f aca="false">IF(U146="SOLD",TEXT(S146,"YYYY-MM"),"")</f>
        <v/>
      </c>
    </row>
    <row r="147" customFormat="false" ht="15" hidden="false" customHeight="false" outlineLevel="0" collapsed="false">
      <c r="A147" s="20" t="n">
        <v>147</v>
      </c>
      <c r="B147" s="20" t="n">
        <v>2024</v>
      </c>
      <c r="C147" s="20" t="s">
        <v>398</v>
      </c>
      <c r="D147" s="20" t="s">
        <v>399</v>
      </c>
      <c r="E147" s="20" t="s">
        <v>305</v>
      </c>
      <c r="F147" s="20" t="s">
        <v>400</v>
      </c>
      <c r="G147" s="20" t="s">
        <v>215</v>
      </c>
      <c r="H147" s="25" t="n">
        <v>185000</v>
      </c>
      <c r="I147" s="20" t="s">
        <v>133</v>
      </c>
      <c r="J147" s="20" t="s">
        <v>180</v>
      </c>
      <c r="K147" s="26" t="n">
        <v>50</v>
      </c>
      <c r="L147" s="26" t="n">
        <v>1000</v>
      </c>
      <c r="M147" s="26"/>
      <c r="N147" s="26" t="n">
        <v>1000</v>
      </c>
      <c r="O147" s="26" t="n">
        <v>29990</v>
      </c>
      <c r="P147" s="26" t="n">
        <v>950</v>
      </c>
      <c r="Q147" s="27" t="n">
        <v>19</v>
      </c>
      <c r="R147" s="38" t="n">
        <v>46210</v>
      </c>
      <c r="S147" s="38" t="n">
        <v>46225</v>
      </c>
      <c r="T147" s="25" t="n">
        <v>2</v>
      </c>
      <c r="U147" s="20" t="s">
        <v>164</v>
      </c>
      <c r="V147" s="20" t="s">
        <v>79</v>
      </c>
      <c r="W147" s="39" t="n">
        <f aca="false">IF(U147="SOLD",P147,"")</f>
        <v>950</v>
      </c>
      <c r="X147" s="40" t="n">
        <f aca="false">IF(U147="SOLD",Q147,"")</f>
        <v>19</v>
      </c>
      <c r="Y147" s="10" t="str">
        <f aca="false">IF(U147="SOLD",TEXT(S147,"YYYY-MM"),"")</f>
        <v>2026-07</v>
      </c>
    </row>
    <row r="148" customFormat="false" ht="15" hidden="false" customHeight="false" outlineLevel="0" collapsed="false">
      <c r="A148" s="41" t="n">
        <v>148</v>
      </c>
      <c r="B148" s="41" t="n">
        <v>2024</v>
      </c>
      <c r="C148" s="41" t="s">
        <v>229</v>
      </c>
      <c r="D148" s="41" t="s">
        <v>196</v>
      </c>
      <c r="E148" s="41" t="s">
        <v>211</v>
      </c>
      <c r="F148" s="41" t="s">
        <v>386</v>
      </c>
      <c r="G148" s="41" t="s">
        <v>169</v>
      </c>
      <c r="H148" s="42" t="n">
        <v>152280</v>
      </c>
      <c r="I148" s="41" t="s">
        <v>132</v>
      </c>
      <c r="J148" s="41" t="s">
        <v>180</v>
      </c>
      <c r="K148" s="43" t="n">
        <v>9693.5</v>
      </c>
      <c r="L148" s="43" t="n">
        <v>0</v>
      </c>
      <c r="M148" s="43" t="n">
        <v>0</v>
      </c>
      <c r="N148" s="43" t="n">
        <v>0</v>
      </c>
      <c r="O148" s="43"/>
      <c r="P148" s="43"/>
      <c r="Q148" s="44"/>
      <c r="R148" s="45" t="n">
        <v>46212</v>
      </c>
      <c r="S148" s="45"/>
      <c r="T148" s="42" t="n">
        <v>0</v>
      </c>
      <c r="U148" s="41" t="s">
        <v>191</v>
      </c>
      <c r="V148" s="41" t="s">
        <v>52</v>
      </c>
      <c r="W148" s="39" t="str">
        <f aca="false">IF(U148="SOLD",P148,"")</f>
        <v/>
      </c>
      <c r="X148" s="40" t="str">
        <f aca="false">IF(U148="SOLD",Q148,"")</f>
        <v/>
      </c>
      <c r="Y148" s="10" t="str">
        <f aca="false">IF(U148="SOLD",TEXT(S148,"YYYY-MM"),"")</f>
        <v/>
      </c>
    </row>
    <row r="149" customFormat="false" ht="15" hidden="false" customHeight="false" outlineLevel="0" collapsed="false">
      <c r="A149" s="41" t="n">
        <v>149</v>
      </c>
      <c r="B149" s="41" t="n">
        <v>2024</v>
      </c>
      <c r="C149" s="41" t="s">
        <v>53</v>
      </c>
      <c r="D149" s="41" t="s">
        <v>185</v>
      </c>
      <c r="E149" s="41" t="s">
        <v>240</v>
      </c>
      <c r="F149" s="41" t="s">
        <v>174</v>
      </c>
      <c r="G149" s="41" t="s">
        <v>169</v>
      </c>
      <c r="H149" s="42" t="n">
        <v>177714</v>
      </c>
      <c r="I149" s="41" t="s">
        <v>132</v>
      </c>
      <c r="J149" s="41" t="s">
        <v>248</v>
      </c>
      <c r="K149" s="43" t="n">
        <v>10305.56</v>
      </c>
      <c r="L149" s="43" t="n">
        <v>0</v>
      </c>
      <c r="M149" s="43" t="n">
        <v>0</v>
      </c>
      <c r="N149" s="43" t="n">
        <v>0</v>
      </c>
      <c r="O149" s="43"/>
      <c r="P149" s="43"/>
      <c r="Q149" s="44"/>
      <c r="R149" s="45" t="n">
        <v>46220</v>
      </c>
      <c r="S149" s="45"/>
      <c r="T149" s="42"/>
      <c r="U149" s="41" t="s">
        <v>191</v>
      </c>
      <c r="V149" s="41" t="s">
        <v>53</v>
      </c>
      <c r="W149" s="39" t="str">
        <f aca="false">IF(U149="SOLD",P149,"")</f>
        <v/>
      </c>
      <c r="X149" s="40" t="str">
        <f aca="false">IF(U149="SOLD",Q149,"")</f>
        <v/>
      </c>
      <c r="Y149" s="10" t="str">
        <f aca="false">IF(U149="SOLD",TEXT(S149,"YYYY-MM"),"")</f>
        <v/>
      </c>
    </row>
    <row r="151" customFormat="false" ht="45" hidden="false" customHeight="true" outlineLevel="0" collapsed="false">
      <c r="A151" s="32" t="s">
        <v>401</v>
      </c>
      <c r="B151" s="32"/>
      <c r="C151" s="32"/>
      <c r="D151" s="32"/>
      <c r="E151" s="32"/>
      <c r="F151" s="32"/>
      <c r="G151" s="32"/>
      <c r="H151" s="32"/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2"/>
      <c r="H152" s="32"/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2"/>
      <c r="H153" s="32"/>
    </row>
  </sheetData>
  <mergeCells count="1">
    <mergeCell ref="A151:H1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2026-07-25T21:00:06Z</dcterms:created>
  <dc:creator>openpyxl</dc:creator>
  <dc:description/>
  <dc:language>en-US</dc:language>
  <cp:lastModifiedBy/>
  <dcterms:modified xsi:type="dcterms:W3CDTF">2026-07-25T23:00:11Z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