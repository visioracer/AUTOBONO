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" sheetId="1" state="visible" r:id="rId1"/>
    <sheet name="Comps" sheetId="2" state="visible" r:id="rId2"/>
    <sheet name="Che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;(€#,##0);-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808080"/>
    </font>
    <font>
      <name val="Arial"/>
      <b val="1"/>
    </font>
    <font>
      <name val="Arial"/>
    </font>
    <font>
      <name val="Arial"/>
      <color rgb="000000FF"/>
    </font>
    <font>
      <name val="Arial"/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1" pivotButton="0" quotePrefix="0" xfId="0"/>
    <xf numFmtId="165" fontId="5" fillId="0" borderId="1" pivotButton="0" quotePrefix="0" xfId="0"/>
    <xf numFmtId="164" fontId="5" fillId="2" borderId="1" pivotButton="0" quotePrefix="0" xfId="0"/>
    <xf numFmtId="0" fontId="3" fillId="3" borderId="0" pivotButton="0" quotePrefix="0" xfId="0"/>
    <xf numFmtId="164" fontId="4" fillId="0" borderId="1" pivotButton="0" quotePrefix="0" xfId="0"/>
    <xf numFmtId="164" fontId="3" fillId="0" borderId="1" pivotButton="0" quotePrefix="0" xfId="0"/>
    <xf numFmtId="0" fontId="3" fillId="3" borderId="1" applyAlignment="1" pivotButton="0" quotePrefix="0" xfId="0">
      <alignment horizontal="center" wrapText="1"/>
    </xf>
    <xf numFmtId="1" fontId="4" fillId="0" borderId="1" applyAlignment="1" pivotButton="0" quotePrefix="0" xfId="0">
      <alignment horizontal="center"/>
    </xf>
    <xf numFmtId="0" fontId="3" fillId="3" borderId="1" pivotButton="0" quotePrefix="0" xfId="0"/>
    <xf numFmtId="0" fontId="3" fillId="4" borderId="1" applyAlignment="1" pivotButton="0" quotePrefix="0" xfId="0">
      <alignment vertical="top" wrapText="1"/>
    </xf>
    <xf numFmtId="3" fontId="3" fillId="4" borderId="1" applyAlignment="1" pivotButton="0" quotePrefix="0" xfId="0">
      <alignment vertical="top" wrapText="1"/>
    </xf>
    <xf numFmtId="164" fontId="3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0" borderId="1" applyAlignment="1" pivotButton="0" quotePrefix="0" xfId="0">
      <alignment wrapText="1"/>
    </xf>
    <xf numFmtId="0" fontId="0" fillId="2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uto.bazos.sk/inzerat/195760052/skoda-superb-liftback-20-tdi-110-kw-dsg-072021-68300km.php" TargetMode="External" Id="rId1" /><Relationship Type="http://schemas.openxmlformats.org/officeDocument/2006/relationships/hyperlink" Target="https://www.autobazar.eu/detail/skoda-superb-ii-20-tdi-dsg-110kw150hp-a7/Ae-gNhKWG0a/" TargetMode="External" Id="rId2" /><Relationship Type="http://schemas.openxmlformats.org/officeDocument/2006/relationships/hyperlink" Target="https://www.autobazar.eu/detail/skoda-superb-superb-grt-ambition-tdi-11020-7dg/AmbOkq_1nCK/" TargetMode="External" Id="rId3" /><Relationship Type="http://schemas.openxmlformats.org/officeDocument/2006/relationships/hyperlink" Target="https://auto.bazos.sk/inzerat/195743008/skoda-superb-3-20-tdi-dsg-facelift-sportline-88-000km.php" TargetMode="External" Id="rId4" /><Relationship Type="http://schemas.openxmlformats.org/officeDocument/2006/relationships/hyperlink" Target="https://www.autobazar.eu/detail/skoda-superb-20-tdi-ambition-110-kw-7-stup-automat/Am3qkN5zFhb/" TargetMode="External" Id="rId5" /><Relationship Type="http://schemas.openxmlformats.org/officeDocument/2006/relationships/hyperlink" Target="https://www.autobazar.eu/detail/skoda-superb-20-tdi-scr-style-dsg/Am4y1FsDEM_/" TargetMode="External" Id="rId6" /><Relationship Type="http://schemas.openxmlformats.org/officeDocument/2006/relationships/hyperlink" Target="https://www.autobazar.eu/detail/skoda-superb-20-tdi-scr-sportline-dsg/Am9g3Gjsfau/" TargetMode="External" Id="rId7" /><Relationship Type="http://schemas.openxmlformats.org/officeDocument/2006/relationships/hyperlink" Target="https://www.autobazar.eu/detail/skoda-superb-20-tdi-scr-ambition-dsg/AmoYF4cJ9-c/" TargetMode="External" Id="rId8" /><Relationship Type="http://schemas.openxmlformats.org/officeDocument/2006/relationships/hyperlink" Target="https://www.autobazar.eu/detail/skoda-superb-20-tdi-scr-style-dsg-110kw150hp-a7/AeYWidM6Nx4/" TargetMode="External" Id="rId9" /><Relationship Type="http://schemas.openxmlformats.org/officeDocument/2006/relationships/hyperlink" Target="https://auto.bazos.sk/inzerat/194733207/skoda-superb-20-tdi-110-kw-dsg-odpocet-dph.php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2" customWidth="1" min="8" max="8"/>
  </cols>
  <sheetData>
    <row r="1">
      <c r="A1" s="1" t="inlineStr">
        <is>
          <t>Škoda Superb III FL Liftback 2.0 TDI 110 kW DSG – LIVE Plus, 07/2021, 68,300 km</t>
        </is>
      </c>
    </row>
    <row r="2">
      <c r="A2" s="2" t="inlineStr">
        <is>
          <t>Price analysis 01/10/2026 · netto purchase (company seller, VAT deductible) · blue = inputs, yellow = levers you can change</t>
        </is>
      </c>
    </row>
    <row r="4">
      <c r="A4" s="3" t="inlineStr">
        <is>
          <t>INPUTS</t>
        </is>
      </c>
    </row>
    <row r="5">
      <c r="A5" s="4" t="inlineStr">
        <is>
          <t>Seller asking price (incl. VAT)</t>
        </is>
      </c>
      <c r="B5" s="5" t="n">
        <v>24990</v>
      </c>
      <c r="C5" s="2" t="inlineStr">
        <is>
          <t>From the bazos ad 195760052 (Košice), VAT deductible</t>
        </is>
      </c>
    </row>
    <row r="6">
      <c r="A6" s="4" t="inlineStr">
        <is>
          <t>VAT rate</t>
        </is>
      </c>
      <c r="B6" s="6" t="n">
        <v>0.23</v>
      </c>
      <c r="C6" s="2" t="inlineStr">
        <is>
          <t>Slovak standard VAT</t>
        </is>
      </c>
    </row>
    <row r="7">
      <c r="A7" s="4" t="inlineStr">
        <is>
          <t>Usual costs (listing, oil, fees)</t>
        </is>
      </c>
      <c r="B7" s="5" t="n">
        <v>200</v>
      </c>
      <c r="C7" s="2" t="inlineStr">
        <is>
          <t>AUTOBONO standard per-car extra costs</t>
        </is>
      </c>
    </row>
    <row r="8">
      <c r="A8" s="4" t="inlineStr">
        <is>
          <t>Expected sale – low (incl. VAT)</t>
        </is>
      </c>
      <c r="B8" s="7" t="n">
        <v>23500</v>
      </c>
      <c r="C8" s="2" t="inlineStr">
        <is>
          <t>Settle estimate from comps (see Comps tab)</t>
        </is>
      </c>
    </row>
    <row r="9">
      <c r="A9" s="4" t="inlineStr">
        <is>
          <t>Expected sale – high (incl. VAT)</t>
        </is>
      </c>
      <c r="B9" s="7" t="n">
        <v>24000</v>
      </c>
      <c r="C9" s="2" t="inlineStr">
        <is>
          <t>Settle estimate from comps (see Comps tab)</t>
        </is>
      </c>
    </row>
    <row r="10">
      <c r="A10" s="4" t="inlineStr">
        <is>
          <t>List price – low (incl. VAT)</t>
        </is>
      </c>
      <c r="B10" s="5" t="n">
        <v>24490</v>
      </c>
      <c r="C10" s="2" t="inlineStr">
        <is>
          <t>Recommended listing range</t>
        </is>
      </c>
    </row>
    <row r="11">
      <c r="A11" s="4" t="inlineStr">
        <is>
          <t>List price – high (incl. VAT)</t>
        </is>
      </c>
      <c r="B11" s="5" t="n">
        <v>24990</v>
      </c>
      <c r="C11" s="2" t="inlineStr">
        <is>
          <t>Recommended listing range</t>
        </is>
      </c>
    </row>
    <row r="12">
      <c r="A12" s="4" t="inlineStr">
        <is>
          <t>Score 2 profit threshold</t>
        </is>
      </c>
      <c r="B12" s="5" t="n">
        <v>2500</v>
      </c>
      <c r="C12" s="2" t="inlineStr">
        <is>
          <t>AUTOBONO scoreboard: &gt;€2,500 = 2</t>
        </is>
      </c>
    </row>
    <row r="13">
      <c r="A13" s="4" t="inlineStr">
        <is>
          <t>Score 1 profit threshold</t>
        </is>
      </c>
      <c r="B13" s="5" t="n">
        <v>1700</v>
      </c>
      <c r="C13" s="2" t="inlineStr">
        <is>
          <t>AUTOBONO scoreboard: €1,700–2,500 = 1</t>
        </is>
      </c>
    </row>
    <row r="15">
      <c r="A15" s="3" t="inlineStr">
        <is>
          <t>KEY NUMBERS</t>
        </is>
      </c>
      <c r="B15" s="8" t="inlineStr">
        <is>
          <t>Netto</t>
        </is>
      </c>
      <c r="C15" s="8" t="inlineStr">
        <is>
          <t>Incl. VAT</t>
        </is>
      </c>
    </row>
    <row r="16">
      <c r="A16" s="4" t="inlineStr">
        <is>
          <t>Seller asking price</t>
        </is>
      </c>
      <c r="B16" s="9">
        <f>B5/(1+$B$6)</f>
        <v/>
      </c>
      <c r="C16" s="9">
        <f>B5</f>
        <v/>
      </c>
    </row>
    <row r="17">
      <c r="A17" s="4" t="inlineStr">
        <is>
          <t>Expected sale – mid</t>
        </is>
      </c>
      <c r="B17" s="9">
        <f>C17/(1+$B$6)</f>
        <v/>
      </c>
      <c r="C17" s="9">
        <f>AVERAGE(B8,B9)</f>
        <v/>
      </c>
    </row>
    <row r="18">
      <c r="A18" s="3" t="inlineStr">
        <is>
          <t>Max purchase for score 2 (at mid sale)</t>
        </is>
      </c>
      <c r="B18" s="10">
        <f>B17-$B$7-$B$12</f>
        <v/>
      </c>
      <c r="C18" s="10">
        <f>B18*(1+$B$6)</f>
        <v/>
      </c>
    </row>
    <row r="19">
      <c r="A19" s="3" t="inlineStr">
        <is>
          <t>Max purchase for score 1 (at mid sale)</t>
        </is>
      </c>
      <c r="B19" s="10">
        <f>B17-$B$7-$B$13</f>
        <v/>
      </c>
      <c r="C19" s="10">
        <f>B19*(1+$B$6)</f>
        <v/>
      </c>
    </row>
    <row r="20">
      <c r="A20" s="4" t="inlineStr">
        <is>
          <t>Break-even purchase (at mid sale)</t>
        </is>
      </c>
      <c r="B20" s="9">
        <f>B17-$B$7</f>
        <v/>
      </c>
      <c r="C20" s="9">
        <f>B20*(1+$B$6)</f>
        <v/>
      </c>
    </row>
    <row r="22">
      <c r="A22" s="3" t="inlineStr">
        <is>
          <t>NEGOTIATION PLAN</t>
        </is>
      </c>
      <c r="B22" s="8" t="inlineStr">
        <is>
          <t>Incl. VAT</t>
        </is>
      </c>
      <c r="C22" s="8" t="inlineStr">
        <is>
          <t>Netto</t>
        </is>
      </c>
    </row>
    <row r="23">
      <c r="A23" s="4" t="inlineStr">
        <is>
          <t>Opening offer</t>
        </is>
      </c>
      <c r="B23" s="7" t="n">
        <v>19500</v>
      </c>
      <c r="C23" s="9">
        <f>B23/(1+$B$6)</f>
        <v/>
      </c>
      <c r="D23" s="2" t="inlineStr">
        <is>
          <t>Their €24,990 is full retail; you carry selling time and risk</t>
        </is>
      </c>
    </row>
    <row r="24">
      <c r="A24" s="4" t="inlineStr">
        <is>
          <t>Target (do not exceed for score 2)</t>
        </is>
      </c>
      <c r="B24" s="9">
        <f>ROUNDDOWN(C18,-2)</f>
        <v/>
      </c>
      <c r="C24" s="9">
        <f>B24/(1+$B$6)</f>
        <v/>
      </c>
      <c r="D24" s="2" t="inlineStr">
        <is>
          <t>Max purchase for score 2, rounded down to €100</t>
        </is>
      </c>
    </row>
    <row r="25">
      <c r="A25" s="4" t="inlineStr">
        <is>
          <t>Walk-away (hard stop)</t>
        </is>
      </c>
      <c r="B25" s="7" t="n">
        <v>21000</v>
      </c>
      <c r="C25" s="9">
        <f>B25/(1+$B$6)</f>
        <v/>
      </c>
      <c r="D25" s="2" t="inlineStr">
        <is>
          <t>Above this you drop to score 1 and the Trenčín Sportline (€22,000) caps resale</t>
        </is>
      </c>
    </row>
    <row r="27">
      <c r="A27" s="3" t="inlineStr">
        <is>
          <t>PROFIT GRID (netto purchase: profit = sale ÷ (1+VAT) − netto purchase − usual costs)</t>
        </is>
      </c>
    </row>
    <row r="28">
      <c r="A28" s="11" t="inlineStr">
        <is>
          <t>Purchase (incl. VAT)</t>
        </is>
      </c>
      <c r="B28" s="11" t="inlineStr">
        <is>
          <t>Purchase netto</t>
        </is>
      </c>
      <c r="C28" s="11" t="inlineStr">
        <is>
          <t>Profit @ sale low</t>
        </is>
      </c>
      <c r="D28" s="11" t="inlineStr">
        <is>
          <t>Profit @ sale mid</t>
        </is>
      </c>
      <c r="E28" s="11" t="inlineStr">
        <is>
          <t>Profit @ sale high</t>
        </is>
      </c>
      <c r="F28" s="11" t="inlineStr">
        <is>
          <t>Profit @ list high</t>
        </is>
      </c>
      <c r="G28" s="11" t="inlineStr">
        <is>
          <t>Score @ mid</t>
        </is>
      </c>
    </row>
    <row r="29">
      <c r="A29" s="5" t="n">
        <v>19000</v>
      </c>
      <c r="B29" s="9">
        <f>A29/(1+$B$6)</f>
        <v/>
      </c>
      <c r="C29" s="9">
        <f>$B$8/(1+$B$6)-B29-$B$7</f>
        <v/>
      </c>
      <c r="D29" s="9">
        <f>$C$17/(1+$B$6)-B29-$B$7</f>
        <v/>
      </c>
      <c r="E29" s="9">
        <f>$B$9/(1+$B$6)-B29-$B$7</f>
        <v/>
      </c>
      <c r="F29" s="9">
        <f>$B$11/(1+$B$6)-B29-$B$7</f>
        <v/>
      </c>
      <c r="G29" s="12">
        <f>IF(D29&gt;$B$12,2,IF(D29&gt;=$B$13,1,0))</f>
        <v/>
      </c>
    </row>
    <row r="30">
      <c r="A30" s="5" t="n">
        <v>19500</v>
      </c>
      <c r="B30" s="9">
        <f>A30/(1+$B$6)</f>
        <v/>
      </c>
      <c r="C30" s="9">
        <f>$B$8/(1+$B$6)-B30-$B$7</f>
        <v/>
      </c>
      <c r="D30" s="9">
        <f>$C$17/(1+$B$6)-B30-$B$7</f>
        <v/>
      </c>
      <c r="E30" s="9">
        <f>$B$9/(1+$B$6)-B30-$B$7</f>
        <v/>
      </c>
      <c r="F30" s="9">
        <f>$B$11/(1+$B$6)-B30-$B$7</f>
        <v/>
      </c>
      <c r="G30" s="12">
        <f>IF(D30&gt;$B$12,2,IF(D30&gt;=$B$13,1,0))</f>
        <v/>
      </c>
    </row>
    <row r="31">
      <c r="A31" s="5" t="n">
        <v>20000</v>
      </c>
      <c r="B31" s="9">
        <f>A31/(1+$B$6)</f>
        <v/>
      </c>
      <c r="C31" s="9">
        <f>$B$8/(1+$B$6)-B31-$B$7</f>
        <v/>
      </c>
      <c r="D31" s="9">
        <f>$C$17/(1+$B$6)-B31-$B$7</f>
        <v/>
      </c>
      <c r="E31" s="9">
        <f>$B$9/(1+$B$6)-B31-$B$7</f>
        <v/>
      </c>
      <c r="F31" s="9">
        <f>$B$11/(1+$B$6)-B31-$B$7</f>
        <v/>
      </c>
      <c r="G31" s="12">
        <f>IF(D31&gt;$B$12,2,IF(D31&gt;=$B$13,1,0))</f>
        <v/>
      </c>
    </row>
    <row r="32">
      <c r="A32" s="9">
        <f>B24</f>
        <v/>
      </c>
      <c r="B32" s="9">
        <f>A32/(1+$B$6)</f>
        <v/>
      </c>
      <c r="C32" s="9">
        <f>$B$8/(1+$B$6)-B32-$B$7</f>
        <v/>
      </c>
      <c r="D32" s="9">
        <f>$C$17/(1+$B$6)-B32-$B$7</f>
        <v/>
      </c>
      <c r="E32" s="9">
        <f>$B$9/(1+$B$6)-B32-$B$7</f>
        <v/>
      </c>
      <c r="F32" s="9">
        <f>$B$11/(1+$B$6)-B32-$B$7</f>
        <v/>
      </c>
      <c r="G32" s="12">
        <f>IF(D32&gt;$B$12,2,IF(D32&gt;=$B$13,1,0))</f>
        <v/>
      </c>
      <c r="H32" s="2" t="inlineStr">
        <is>
          <t>← target ceiling</t>
        </is>
      </c>
    </row>
    <row r="33">
      <c r="A33" s="5" t="n">
        <v>20700</v>
      </c>
      <c r="B33" s="9">
        <f>A33/(1+$B$6)</f>
        <v/>
      </c>
      <c r="C33" s="9">
        <f>$B$8/(1+$B$6)-B33-$B$7</f>
        <v/>
      </c>
      <c r="D33" s="9">
        <f>$C$17/(1+$B$6)-B33-$B$7</f>
        <v/>
      </c>
      <c r="E33" s="9">
        <f>$B$9/(1+$B$6)-B33-$B$7</f>
        <v/>
      </c>
      <c r="F33" s="9">
        <f>$B$11/(1+$B$6)-B33-$B$7</f>
        <v/>
      </c>
      <c r="G33" s="12">
        <f>IF(D33&gt;$B$12,2,IF(D33&gt;=$B$13,1,0))</f>
        <v/>
      </c>
    </row>
    <row r="34">
      <c r="A34" s="5" t="n">
        <v>21000</v>
      </c>
      <c r="B34" s="9">
        <f>A34/(1+$B$6)</f>
        <v/>
      </c>
      <c r="C34" s="9">
        <f>$B$8/(1+$B$6)-B34-$B$7</f>
        <v/>
      </c>
      <c r="D34" s="9">
        <f>$C$17/(1+$B$6)-B34-$B$7</f>
        <v/>
      </c>
      <c r="E34" s="9">
        <f>$B$9/(1+$B$6)-B34-$B$7</f>
        <v/>
      </c>
      <c r="F34" s="9">
        <f>$B$11/(1+$B$6)-B34-$B$7</f>
        <v/>
      </c>
      <c r="G34" s="12">
        <f>IF(D34&gt;$B$12,2,IF(D34&gt;=$B$13,1,0))</f>
        <v/>
      </c>
    </row>
    <row r="35">
      <c r="A35" s="5" t="n">
        <v>21500</v>
      </c>
      <c r="B35" s="9">
        <f>A35/(1+$B$6)</f>
        <v/>
      </c>
      <c r="C35" s="9">
        <f>$B$8/(1+$B$6)-B35-$B$7</f>
        <v/>
      </c>
      <c r="D35" s="9">
        <f>$C$17/(1+$B$6)-B35-$B$7</f>
        <v/>
      </c>
      <c r="E35" s="9">
        <f>$B$9/(1+$B$6)-B35-$B$7</f>
        <v/>
      </c>
      <c r="F35" s="9">
        <f>$B$11/(1+$B$6)-B35-$B$7</f>
        <v/>
      </c>
      <c r="G35" s="12">
        <f>IF(D35&gt;$B$12,2,IF(D35&gt;=$B$13,1,0))</f>
        <v/>
      </c>
    </row>
    <row r="36">
      <c r="A36" s="5" t="n">
        <v>22000</v>
      </c>
      <c r="B36" s="9">
        <f>A36/(1+$B$6)</f>
        <v/>
      </c>
      <c r="C36" s="9">
        <f>$B$8/(1+$B$6)-B36-$B$7</f>
        <v/>
      </c>
      <c r="D36" s="9">
        <f>$C$17/(1+$B$6)-B36-$B$7</f>
        <v/>
      </c>
      <c r="E36" s="9">
        <f>$B$9/(1+$B$6)-B36-$B$7</f>
        <v/>
      </c>
      <c r="F36" s="9">
        <f>$B$11/(1+$B$6)-B36-$B$7</f>
        <v/>
      </c>
      <c r="G36" s="12">
        <f>IF(D36&gt;$B$12,2,IF(D36&gt;=$B$13,1,0))</f>
        <v/>
      </c>
    </row>
    <row r="37">
      <c r="A37" s="9">
        <f>B5</f>
        <v/>
      </c>
      <c r="B37" s="9">
        <f>A37/(1+$B$6)</f>
        <v/>
      </c>
      <c r="C37" s="9">
        <f>$B$8/(1+$B$6)-B37-$B$7</f>
        <v/>
      </c>
      <c r="D37" s="9">
        <f>$C$17/(1+$B$6)-B37-$B$7</f>
        <v/>
      </c>
      <c r="E37" s="9">
        <f>$B$9/(1+$B$6)-B37-$B$7</f>
        <v/>
      </c>
      <c r="F37" s="9">
        <f>$B$11/(1+$B$6)-B37-$B$7</f>
        <v/>
      </c>
      <c r="G37" s="12">
        <f>IF(D37&gt;$B$12,2,IF(D37&gt;=$B$13,1,0))</f>
        <v/>
      </c>
      <c r="H37" s="2" t="inlineStr">
        <is>
          <t>← seller's asking price</t>
        </is>
      </c>
    </row>
    <row r="39">
      <c r="A39" s="2" t="inlineStr">
        <is>
          <t>Green = score 2 (&gt;€2,500) · amber = score 1 (€1,700–2,500) · red = score 0</t>
        </is>
      </c>
    </row>
  </sheetData>
  <conditionalFormatting sqref="C29:F37">
    <cfRule type="cellIs" priority="1" operator="greaterThan" dxfId="0">
      <formula>$B$12</formula>
    </cfRule>
    <cfRule type="cellIs" priority="2" operator="between" dxfId="1">
      <formula>$B$13</formula>
      <formula>$B$12</formula>
    </cfRule>
    <cfRule type="cellIs" priority="3" operator="lessThan" dxfId="2">
      <formula>$B$13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10" customWidth="1" min="4" max="4"/>
    <col width="52" customWidth="1" min="5" max="5"/>
    <col width="14" customWidth="1" min="6" max="6"/>
    <col width="22" customWidth="1" min="7" max="7"/>
    <col width="11" customWidth="1" min="8" max="8"/>
    <col width="34" customWidth="1" min="9" max="9"/>
  </cols>
  <sheetData>
    <row r="1">
      <c r="A1" s="1" t="inlineStr">
        <is>
          <t>Comparable listings – liftback, 2.0 TDI 110 kW DSG, facelift (autobazar.eu + bazos.sk, checked 01/10/2026)</t>
        </is>
      </c>
    </row>
    <row r="3">
      <c r="A3" s="13" t="inlineStr">
        <is>
          <t>Role</t>
        </is>
      </c>
      <c r="B3" s="13" t="inlineStr">
        <is>
          <t>Location</t>
        </is>
      </c>
      <c r="C3" s="13" t="inlineStr">
        <is>
          <t>Reg</t>
        </is>
      </c>
      <c r="D3" s="13" t="inlineStr">
        <is>
          <t>km</t>
        </is>
      </c>
      <c r="E3" s="13" t="inlineStr">
        <is>
          <t>Trim / key equipment</t>
        </is>
      </c>
      <c r="F3" s="13" t="inlineStr">
        <is>
          <t>Asking (incl. VAT)</t>
        </is>
      </c>
      <c r="G3" s="13" t="inlineStr">
        <is>
          <t>Seller</t>
        </is>
      </c>
      <c r="H3" s="13" t="inlineStr">
        <is>
          <t>Source</t>
        </is>
      </c>
      <c r="I3" s="13" t="inlineStr">
        <is>
          <t>Note</t>
        </is>
      </c>
    </row>
    <row r="4">
      <c r="A4" s="14" t="inlineStr">
        <is>
          <t>TARGET</t>
        </is>
      </c>
      <c r="B4" s="14" t="inlineStr">
        <is>
          <t>Košice</t>
        </is>
      </c>
      <c r="C4" s="14" t="inlineStr">
        <is>
          <t>07/2021</t>
        </is>
      </c>
      <c r="D4" s="15" t="n">
        <v>68300</v>
      </c>
      <c r="E4" s="14" t="inlineStr">
        <is>
          <t>LIVE Plus: Matrix LED, DCC, Columbus, Virtual Cockpit, Alcantara/leather memory seats, heated rear seats, ACC, Side Assist, camera, KESSY, el. tailgate + winter wheels</t>
        </is>
      </c>
      <c r="F4" s="16" t="n">
        <v>24990</v>
      </c>
      <c r="G4" s="14" t="inlineStr">
        <is>
          <t>Company (VAT deductible)</t>
        </is>
      </c>
      <c r="H4" s="17" t="inlineStr">
        <is>
          <t>Open ad</t>
        </is>
      </c>
      <c r="I4" s="14" t="inlineStr">
        <is>
          <t>Asking €20,317 netto; fresh brakes + oil</t>
        </is>
      </c>
    </row>
    <row r="5">
      <c r="A5" s="18" t="inlineStr">
        <is>
          <t>Comp</t>
        </is>
      </c>
      <c r="B5" s="18" t="inlineStr">
        <is>
          <t>Bratislava-Ružinov</t>
        </is>
      </c>
      <c r="C5" s="18" t="inlineStr">
        <is>
          <t>11/2021</t>
        </is>
      </c>
      <c r="D5" s="19" t="n">
        <v>61900</v>
      </c>
      <c r="E5" s="18" t="inlineStr">
        <is>
          <t>ACC, LED, navigation</t>
        </is>
      </c>
      <c r="F5" s="20" t="n">
        <v>26990</v>
      </c>
      <c r="G5" s="18" t="inlineStr">
        <is>
          <t>Private</t>
        </is>
      </c>
      <c r="H5" s="21" t="inlineStr">
        <is>
          <t>Open ad</t>
        </is>
      </c>
      <c r="I5" s="18" t="inlineStr">
        <is>
          <t>Closest age/km; top of range</t>
        </is>
      </c>
    </row>
    <row r="6">
      <c r="A6" s="18" t="inlineStr">
        <is>
          <t>Comp</t>
        </is>
      </c>
      <c r="B6" s="18" t="inlineStr">
        <is>
          <t>Považská Bystrica</t>
        </is>
      </c>
      <c r="C6" s="18" t="inlineStr">
        <is>
          <t>01/2022</t>
        </is>
      </c>
      <c r="D6" s="19" t="n">
        <v>54805</v>
      </c>
      <c r="E6" s="18" t="inlineStr">
        <is>
          <t>Ambition, LED, navigation</t>
        </is>
      </c>
      <c r="F6" s="20" t="n">
        <v>24490</v>
      </c>
      <c r="G6" s="18" t="inlineStr">
        <is>
          <t>Dealer (AUTOMAX PLUS)</t>
        </is>
      </c>
      <c r="H6" s="21" t="inlineStr">
        <is>
          <t>Open ad</t>
        </is>
      </c>
      <c r="I6" s="18" t="inlineStr">
        <is>
          <t>Lower km, much lower trim</t>
        </is>
      </c>
    </row>
    <row r="7">
      <c r="A7" s="18" t="inlineStr">
        <is>
          <t>Key competitor</t>
        </is>
      </c>
      <c r="B7" s="18" t="inlineStr">
        <is>
          <t>Trenčín</t>
        </is>
      </c>
      <c r="C7" s="18" t="inlineStr">
        <is>
          <t>05/2020</t>
        </is>
      </c>
      <c r="D7" s="19" t="n">
        <v>88000</v>
      </c>
      <c r="E7" s="18" t="inlineStr">
        <is>
          <t>Sportline: Matrix, panoramic roof, ACC, memory seat, keyless; 1st owner, original paint</t>
        </is>
      </c>
      <c r="F7" s="20" t="n">
        <v>22000</v>
      </c>
      <c r="G7" s="18" t="inlineStr">
        <is>
          <t>Private</t>
        </is>
      </c>
      <c r="H7" s="21" t="inlineStr">
        <is>
          <t>Open ad</t>
        </is>
      </c>
      <c r="I7" s="18" t="inlineStr">
        <is>
          <t>Posted 01/10, 1,000+ views – caps resale</t>
        </is>
      </c>
    </row>
    <row r="8">
      <c r="A8" s="18" t="inlineStr">
        <is>
          <t>Comp</t>
        </is>
      </c>
      <c r="B8" s="18" t="inlineStr">
        <is>
          <t>Bratislava</t>
        </is>
      </c>
      <c r="C8" s="18" t="inlineStr">
        <is>
          <t>07/2023</t>
        </is>
      </c>
      <c r="D8" s="19" t="n">
        <v>74500</v>
      </c>
      <c r="E8" s="18" t="inlineStr">
        <is>
          <t>Ambition, LED, navigation, Virtual Cockpit</t>
        </is>
      </c>
      <c r="F8" s="20" t="n">
        <v>25490</v>
      </c>
      <c r="G8" s="18" t="inlineStr">
        <is>
          <t>Dealer (Auto Lamač)</t>
        </is>
      </c>
      <c r="H8" s="21" t="inlineStr">
        <is>
          <t>Open ad</t>
        </is>
      </c>
      <c r="I8" s="18" t="inlineStr">
        <is>
          <t>2 years newer</t>
        </is>
      </c>
    </row>
    <row r="9">
      <c r="A9" s="18" t="inlineStr">
        <is>
          <t>Comp</t>
        </is>
      </c>
      <c r="B9" s="18" t="inlineStr">
        <is>
          <t>Žilina</t>
        </is>
      </c>
      <c r="C9" s="18" t="inlineStr">
        <is>
          <t>07/2022</t>
        </is>
      </c>
      <c r="D9" s="19" t="n">
        <v>117796</v>
      </c>
      <c r="E9" s="18" t="inlineStr">
        <is>
          <t>Style, ACC, LED, leather, Virtual Cockpit</t>
        </is>
      </c>
      <c r="F9" s="20" t="n">
        <v>24699</v>
      </c>
      <c r="G9" s="18" t="inlineStr">
        <is>
          <t>Dealer (B&amp;B Car)</t>
        </is>
      </c>
      <c r="H9" s="21" t="inlineStr">
        <is>
          <t>Open ad</t>
        </is>
      </c>
      <c r="I9" s="18" t="inlineStr"/>
    </row>
    <row r="10">
      <c r="A10" s="18" t="inlineStr">
        <is>
          <t>Comp</t>
        </is>
      </c>
      <c r="B10" s="18" t="inlineStr">
        <is>
          <t>Levice</t>
        </is>
      </c>
      <c r="C10" s="18" t="inlineStr">
        <is>
          <t>09/2022</t>
        </is>
      </c>
      <c r="D10" s="19" t="n">
        <v>130000</v>
      </c>
      <c r="E10" s="18" t="inlineStr">
        <is>
          <t>Sportline, panoramic roof, 360° camera, DCC, Matrix</t>
        </is>
      </c>
      <c r="F10" s="20" t="n">
        <v>23970</v>
      </c>
      <c r="G10" s="18" t="inlineStr">
        <is>
          <t>Private</t>
        </is>
      </c>
      <c r="H10" s="21" t="inlineStr">
        <is>
          <t>Open ad</t>
        </is>
      </c>
      <c r="I10" s="18" t="inlineStr"/>
    </row>
    <row r="11">
      <c r="A11" s="18" t="inlineStr">
        <is>
          <t>Comp</t>
        </is>
      </c>
      <c r="B11" s="18" t="inlineStr">
        <is>
          <t>Žilina</t>
        </is>
      </c>
      <c r="C11" s="18" t="inlineStr">
        <is>
          <t>05/2022</t>
        </is>
      </c>
      <c r="D11" s="19" t="n">
        <v>95961</v>
      </c>
      <c r="E11" s="18" t="inlineStr">
        <is>
          <t>Ambition, LED, Virtual Cockpit</t>
        </is>
      </c>
      <c r="F11" s="20" t="n">
        <v>22890</v>
      </c>
      <c r="G11" s="18" t="inlineStr">
        <is>
          <t>Dealer (B&amp;B Car)</t>
        </is>
      </c>
      <c r="H11" s="21" t="inlineStr">
        <is>
          <t>Open ad</t>
        </is>
      </c>
      <c r="I11" s="18" t="inlineStr"/>
    </row>
    <row r="12">
      <c r="A12" s="18" t="inlineStr">
        <is>
          <t>Comp</t>
        </is>
      </c>
      <c r="B12" s="18" t="inlineStr">
        <is>
          <t>Radôstka</t>
        </is>
      </c>
      <c r="C12" s="18" t="inlineStr">
        <is>
          <t>09/2022</t>
        </is>
      </c>
      <c r="D12" s="19" t="n">
        <v>106000</v>
      </c>
      <c r="E12" s="18" t="inlineStr">
        <is>
          <t>Style, ACC, LED, navigation, Virtual Cockpit</t>
        </is>
      </c>
      <c r="F12" s="20" t="n">
        <v>22400</v>
      </c>
      <c r="G12" s="18" t="inlineStr">
        <is>
          <t>Private</t>
        </is>
      </c>
      <c r="H12" s="21" t="inlineStr">
        <is>
          <t>Open ad</t>
        </is>
      </c>
      <c r="I12" s="18" t="inlineStr"/>
    </row>
    <row r="13">
      <c r="A13" s="18" t="inlineStr">
        <is>
          <t>Comp</t>
        </is>
      </c>
      <c r="B13" s="18" t="inlineStr">
        <is>
          <t>Poprad</t>
        </is>
      </c>
      <c r="C13" s="18" t="inlineStr">
        <is>
          <t>08/2022</t>
        </is>
      </c>
      <c r="D13" s="19" t="n">
        <v>153994</v>
      </c>
      <c r="E13" s="18" t="inlineStr">
        <is>
          <t>Basic; camera, navigation, keyless</t>
        </is>
      </c>
      <c r="F13" s="20" t="n">
        <v>21990</v>
      </c>
      <c r="G13" s="18" t="inlineStr">
        <is>
          <t>Dealer (VAT deductible)</t>
        </is>
      </c>
      <c r="H13" s="21" t="inlineStr">
        <is>
          <t>Open ad</t>
        </is>
      </c>
      <c r="I13" s="18" t="inlineStr">
        <is>
          <t>€17,878 netto</t>
        </is>
      </c>
    </row>
    <row r="15">
      <c r="A15" s="2" t="inlineStr">
        <is>
          <t>Excluded: Combi/estate bodies, 147 kW and 4x4 versions, pre-facelift (pre-2019) cars, AUTOBONO's own ads.</t>
        </is>
      </c>
    </row>
  </sheetData>
  <hyperlinks>
    <hyperlink xmlns:r="http://schemas.openxmlformats.org/officeDocument/2006/relationships" ref="H4" r:id="rId1"/>
    <hyperlink xmlns:r="http://schemas.openxmlformats.org/officeDocument/2006/relationships" ref="H5" r:id="rId2"/>
    <hyperlink xmlns:r="http://schemas.openxmlformats.org/officeDocument/2006/relationships" ref="H6" r:id="rId3"/>
    <hyperlink xmlns:r="http://schemas.openxmlformats.org/officeDocument/2006/relationships" ref="H7" r:id="rId4"/>
    <hyperlink xmlns:r="http://schemas.openxmlformats.org/officeDocument/2006/relationships" ref="H8" r:id="rId5"/>
    <hyperlink xmlns:r="http://schemas.openxmlformats.org/officeDocument/2006/relationships" ref="H9" r:id="rId6"/>
    <hyperlink xmlns:r="http://schemas.openxmlformats.org/officeDocument/2006/relationships" ref="H10" r:id="rId7"/>
    <hyperlink xmlns:r="http://schemas.openxmlformats.org/officeDocument/2006/relationships" ref="H11" r:id="rId8"/>
    <hyperlink xmlns:r="http://schemas.openxmlformats.org/officeDocument/2006/relationships" ref="H12" r:id="rId9"/>
    <hyperlink xmlns:r="http://schemas.openxmlformats.org/officeDocument/2006/relationships" ref="H13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90" customWidth="1" min="1" max="1"/>
    <col width="12" customWidth="1" min="2" max="2"/>
  </cols>
  <sheetData>
    <row r="1">
      <c r="A1" s="1" t="inlineStr">
        <is>
          <t>Before you pay</t>
        </is>
      </c>
    </row>
    <row r="3">
      <c r="A3" s="13" t="inlineStr">
        <is>
          <t>Check</t>
        </is>
      </c>
      <c r="B3" s="13" t="inlineStr">
        <is>
          <t>Done (✓)</t>
        </is>
      </c>
    </row>
    <row r="4">
      <c r="A4" s="22" t="inlineStr">
        <is>
          <t>VIN check at a Škoda dealer – service records and mileage (68k km in 5 years is low for a company diesel)</t>
        </is>
      </c>
      <c r="B4" s="23" t="n"/>
    </row>
    <row r="5">
      <c r="A5" s="22" t="inlineStr">
        <is>
          <t>carVertical / Cebia history report</t>
        </is>
      </c>
      <c r="B5" s="23" t="n"/>
    </row>
    <row r="6">
      <c r="A6" s="22" t="inlineStr">
        <is>
          <t>Paint thickness on all panels – the ad does not mention it</t>
        </is>
      </c>
      <c r="B6" s="23" t="n"/>
    </row>
    <row r="7">
      <c r="A7" s="22" t="inlineStr">
        <is>
          <t>Invoice shows VAT separately (otherwise the netto math on the Analysis tab does not apply)</t>
        </is>
      </c>
      <c r="B7" s="23" t="n"/>
    </row>
    <row r="8">
      <c r="A8" s="22" t="inlineStr">
        <is>
          <t>Winter wheels included in the price</t>
        </is>
      </c>
      <c r="B8" s="23" t="n"/>
    </row>
    <row r="9">
      <c r="A9" s="22" t="inlineStr">
        <is>
          <t>Brake and oil service invoices</t>
        </is>
      </c>
      <c r="B9" s="23" t="n"/>
    </row>
    <row r="11">
      <c r="A11" s="2" t="inlineStr">
        <is>
          <t>Yellow cells: tick when done.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2026-10-01T07:35:42Z</dcterms:created>
  <dcterms:modified xsi:type="dcterms:W3CDTF">2026-10-01T07:35:42Z</dcterms:modified>
</cp:coreProperties>
</file>