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&amp; Criteria" sheetId="1" state="visible" r:id="rId3"/>
    <sheet name="Acquisition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I2" authorId="0">
      <text>
        <r>
          <rPr>
            <sz val="10"/>
            <rFont val="Arial"/>
            <family val="2"/>
          </rPr>
          <t xml:space="preserve">Borderline. Buy €10,125 + ~€250 prep = €10,375 cost. Realistic sale range €12,800-13,200 (market comp analysis, autobazar.eu/bazos.sk, Jul 2026) gives profit €2,425-2,825 — straddles the &gt;€2,500 = 2pts threshold. Verify against final negotiated sale price.</t>
        </r>
      </text>
    </comment>
    <comment ref="M2" authorId="0">
      <text>
        <r>
          <rPr>
            <sz val="10"/>
            <rFont val="Arial"/>
            <family val="2"/>
          </rPr>
          <t xml:space="preserve">Assumed — could not verify current live stock levels for similar Tourans. Confirm how many similar diesel-manual Tourans are currently in inventory and adjust this score if needed (2 = no material overlap, 1 = 1-2 similar with healthy demand, 0 = existing similar unit is stagnant).</t>
        </r>
      </text>
    </comment>
    <comment ref="T2" authorId="0">
      <text>
        <r>
          <rPr>
            <sz val="10"/>
            <rFont val="Arial"/>
            <family val="2"/>
          </rPr>
          <t xml:space="preserve">Purchase price as stated by user in the ChatGPT conversation (delivered price).</t>
        </r>
      </text>
    </comment>
    <comment ref="W2" authorId="0">
      <text>
        <r>
          <rPr>
            <sz val="10"/>
            <rFont val="Arial"/>
            <family val="2"/>
          </rPr>
          <t xml:space="preserve">Market price analysis (Jul 2026): comps on autobazar.eu (also powers autovia.sk) and bazos.sk for 2015-17 VW Touran 2.0 TDI 110kW manual. Similar-mileage (150-180k km) clean/Highline comps asked EUR 15,490-15,990; higher-mileage (215-256k km) comps EUR 10,700-12,990. Recommended list price EUR 13,700-13,900, realistic settle EUR 12,800-13,200 after negotiation, discounted from the top comps for 4 disclosed minor accidents and halogen headlights, offset by strong ACC/alcantara/heated/PDC equipment.</t>
        </r>
      </text>
    </comment>
  </commentList>
</comments>
</file>

<file path=xl/sharedStrings.xml><?xml version="1.0" encoding="utf-8"?>
<sst xmlns="http://schemas.openxmlformats.org/spreadsheetml/2006/main" count="72" uniqueCount="72">
  <si>
    <t xml:space="preserve">AUTOBONO Acquisition Scoreboard v1.0 — Legend</t>
  </si>
  <si>
    <t xml:space="preserve">Reconstructed from the AUTOBONO / ChatGPT strategy conversation. Source: user's ChatGPT chat "Car appraisal estimate 2021 Karoq" (270 msgs).</t>
  </si>
  <si>
    <t xml:space="preserve">STEP 1 — Automatic NO-GO gate (any one = instant PASS, skip scoring):</t>
  </si>
  <si>
    <t xml:space="preserve">- Serious accident or structural damage</t>
  </si>
  <si>
    <t xml:space="preserve">- Unacceptable legal / documentation issue</t>
  </si>
  <si>
    <t xml:space="preserve">- Major known technical defect that makes the investment unattractive</t>
  </si>
  <si>
    <t xml:space="preserve">- Purchase price cannot support the minimum required trading profit</t>
  </si>
  <si>
    <t xml:space="preserve">STEP 2 — Score each criterion: 0 = Unacceptable, 1 = Acceptable, 2 = Strong (max 22)</t>
  </si>
  <si>
    <t xml:space="preserve">Criterion</t>
  </si>
  <si>
    <t xml:space="preserve">Scoring guide</t>
  </si>
  <si>
    <t xml:space="preserve">Service history</t>
  </si>
  <si>
    <t xml:space="preserve">2 = full history; 1 = partial/minor gaps; 0 = no history / unverifiable</t>
  </si>
  <si>
    <t xml:space="preserve">Paint/body</t>
  </si>
  <si>
    <t xml:space="preserve">2 = clean, no accidents; 1 = minor cosmetic repairs, OE paint elsewhere; 0 = major/structural (should trigger Step 1 gate instead)</t>
  </si>
  <si>
    <t xml:space="preserve">Technical condition</t>
  </si>
  <si>
    <t xml:space="preserve">2 = no known issues; 1 = minor fixable items; 0 = major mechanical concern</t>
  </si>
  <si>
    <t xml:space="preserve">Equipment quantity</t>
  </si>
  <si>
    <t xml:space="preserve">2 = well above base spec; 1 = average; 0 = stripped/base</t>
  </si>
  <si>
    <t xml:space="preserve">Spec attractiveness</t>
  </si>
  <si>
    <t xml:space="preserve">2 = desirable options (LED, DSG, 4x4, pano roof, camera); 1 = mixed; 0 = undesirable spec (halogens, no auto gearbox, cloth seats, etc.)</t>
  </si>
  <si>
    <t xml:space="preserve">Expected trading profit</t>
  </si>
  <si>
    <t xml:space="preserve">2 = &gt;€2,500; 1 = €1,700-2,500; 0 = &lt;€1,700</t>
  </si>
  <si>
    <t xml:space="preserve">Market demand</t>
  </si>
  <si>
    <t xml:space="preserve">2 = proven fast-selling category; 1 = moderate; 0 = niche/slow</t>
  </si>
  <si>
    <t xml:space="preserve">Holding period (expected)</t>
  </si>
  <si>
    <t xml:space="preserve">2 = &lt;45-60 days; 1 = 60-90 days; 0 = &gt;90 days</t>
  </si>
  <si>
    <t xml:space="preserve">Mileage vs age</t>
  </si>
  <si>
    <t xml:space="preserve">2 = below-average km/year; 1 = average; 0 = high km/year for age</t>
  </si>
  <si>
    <t xml:space="preserve">Inventory overlap</t>
  </si>
  <si>
    <t xml:space="preserve">2 = no similar car in stock / overlap doesn't raise concentration risk; 1 = 1-2 similar cars but demand still healthy; 0 = existing similar stock is stagnant</t>
  </si>
  <si>
    <t xml:space="preserve">Technical report confidence</t>
  </si>
  <si>
    <t xml:space="preserve">2 = comfortable publishing report with nothing to hide; 1 = comfortable but must explain 1-2 imperfections; 0 = would not want to publish it</t>
  </si>
  <si>
    <t xml:space="preserve">STEP 3 — Zero Rule (quality floor):</t>
  </si>
  <si>
    <t xml:space="preserve">0-1 criteria scored 0  -&gt;  continue normally, decision = GO</t>
  </si>
  <si>
    <t xml:space="preserve">2 criteria scored 0    -&gt;  RECONSIDER (stop and re-examine before proceeding)</t>
  </si>
  <si>
    <t xml:space="preserve">3+ criteria scored 0   -&gt;  automatic PASS (reject, override required to proceed)</t>
  </si>
  <si>
    <t xml:space="preserve">STEP 4 — Override: if buying despite RECONSIDER/PASS, write a one-sentence justification in the Override Reason column. If you can't justify it in one sentence, don't override.</t>
  </si>
  <si>
    <t xml:space="preserve">ID</t>
  </si>
  <si>
    <t xml:space="preserve">Date Evaluated</t>
  </si>
  <si>
    <t xml:space="preserve">Model / Spec</t>
  </si>
  <si>
    <t xml:space="preserve">Service
history</t>
  </si>
  <si>
    <t xml:space="preserve">Paint/
body</t>
  </si>
  <si>
    <t xml:space="preserve">Technical
condition</t>
  </si>
  <si>
    <t xml:space="preserve">Equipment
qty</t>
  </si>
  <si>
    <t xml:space="preserve">Spec
attract.</t>
  </si>
  <si>
    <t xml:space="preserve">Trading
profit</t>
  </si>
  <si>
    <t xml:space="preserve">Market
demand</t>
  </si>
  <si>
    <t xml:space="preserve">Holding
period</t>
  </si>
  <si>
    <t xml:space="preserve">Mileage
vs age</t>
  </si>
  <si>
    <t xml:space="preserve">Inventory
overlap</t>
  </si>
  <si>
    <t xml:space="preserve">Tech report
confidence</t>
  </si>
  <si>
    <t xml:space="preserve">Zero
count</t>
  </si>
  <si>
    <t xml:space="preserve">Total
score (/22)</t>
  </si>
  <si>
    <t xml:space="preserve">Decision</t>
  </si>
  <si>
    <t xml:space="preserve">Biggest risk</t>
  </si>
  <si>
    <t xml:space="preserve">Override reason</t>
  </si>
  <si>
    <t xml:space="preserve">Purchase
price (€)</t>
  </si>
  <si>
    <t xml:space="preserve">Prep/adv.
cost (€)</t>
  </si>
  <si>
    <t xml:space="preserve">Total
cost (€)</t>
  </si>
  <si>
    <t xml:space="preserve">Target sale
low (€)</t>
  </si>
  <si>
    <t xml:space="preserve">Target sale
high (€)</t>
  </si>
  <si>
    <t xml:space="preserve">Exp. profit
low (€)</t>
  </si>
  <si>
    <t xml:space="preserve">Exp. profit
high (€)</t>
  </si>
  <si>
    <t xml:space="preserve">Actual sale
price (€)</t>
  </si>
  <si>
    <t xml:space="preserve">Actual
profit (€)</t>
  </si>
  <si>
    <t xml:space="preserve">Listing-to-sale
days (actual)</t>
  </si>
  <si>
    <t xml:space="preserve">2026-001</t>
  </si>
  <si>
    <t xml:space="preserve">2026-07-20</t>
  </si>
  <si>
    <t xml:space="preserve">2016 VW Touran 2.0 TDI 110kW MT, 177,000 km, titanium beige metallic, AT import</t>
  </si>
  <si>
    <t xml:space="preserve">Manual transmission + halogen (non-LED) headlights cap spec ceiling vs Highline/DSG comps</t>
  </si>
  <si>
    <t xml:space="preserve">2026-002</t>
  </si>
  <si>
    <t xml:space="preserve">(fill in next evaluated car here — copy formulas from row 2 across O:R and V,Y,Z)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</si>
</sst>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5" t="s">
        <v>8</v>
      </c>
      <c r="B12" s="5" t="s">
        <v>9</v>
      </c>
    </row>
    <row r="13" customFormat="false" ht="15" hidden="false" customHeight="false" outlineLevel="0" collapsed="false">
      <c r="A13" s="6" t="s">
        <v>10</v>
      </c>
      <c r="B13" s="7" t="s">
        <v>11</v>
      </c>
    </row>
    <row r="14" customFormat="false" ht="23.85" hidden="false" customHeight="false" outlineLevel="0" collapsed="false">
      <c r="A14" s="6" t="s">
        <v>12</v>
      </c>
      <c r="B14" s="7" t="s">
        <v>13</v>
      </c>
    </row>
    <row r="15" customFormat="false" ht="15" hidden="false" customHeight="false" outlineLevel="0" collapsed="false">
      <c r="A15" s="6" t="s">
        <v>14</v>
      </c>
      <c r="B15" s="7" t="s">
        <v>15</v>
      </c>
    </row>
    <row r="16" customFormat="false" ht="15" hidden="false" customHeight="false" outlineLevel="0" collapsed="false">
      <c r="A16" s="6" t="s">
        <v>16</v>
      </c>
      <c r="B16" s="7" t="s">
        <v>17</v>
      </c>
    </row>
    <row r="17" customFormat="false" ht="23.85" hidden="false" customHeight="false" outlineLevel="0" collapsed="false">
      <c r="A17" s="6" t="s">
        <v>18</v>
      </c>
      <c r="B17" s="7" t="s">
        <v>19</v>
      </c>
    </row>
    <row r="18" customFormat="false" ht="15" hidden="false" customHeight="false" outlineLevel="0" collapsed="false">
      <c r="A18" s="6" t="s">
        <v>20</v>
      </c>
      <c r="B18" s="7" t="s">
        <v>21</v>
      </c>
    </row>
    <row r="19" customFormat="false" ht="15" hidden="false" customHeight="false" outlineLevel="0" collapsed="false">
      <c r="A19" s="6" t="s">
        <v>22</v>
      </c>
      <c r="B19" s="7" t="s">
        <v>23</v>
      </c>
    </row>
    <row r="20" customFormat="false" ht="15" hidden="false" customHeight="false" outlineLevel="0" collapsed="false">
      <c r="A20" s="6" t="s">
        <v>24</v>
      </c>
      <c r="B20" s="7" t="s">
        <v>25</v>
      </c>
    </row>
    <row r="21" customFormat="false" ht="15" hidden="false" customHeight="false" outlineLevel="0" collapsed="false">
      <c r="A21" s="6" t="s">
        <v>26</v>
      </c>
      <c r="B21" s="7" t="s">
        <v>27</v>
      </c>
    </row>
    <row r="22" customFormat="false" ht="23.85" hidden="false" customHeight="false" outlineLevel="0" collapsed="false">
      <c r="A22" s="6" t="s">
        <v>28</v>
      </c>
      <c r="B22" s="7" t="s">
        <v>29</v>
      </c>
    </row>
    <row r="23" customFormat="false" ht="23.85" hidden="false" customHeight="false" outlineLevel="0" collapsed="false">
      <c r="A23" s="6" t="s">
        <v>30</v>
      </c>
      <c r="B23" s="7" t="s">
        <v>31</v>
      </c>
    </row>
    <row r="25" customFormat="false" ht="15" hidden="false" customHeight="false" outlineLevel="0" collapsed="false">
      <c r="A25" s="3" t="s">
        <v>32</v>
      </c>
    </row>
    <row r="26" customFormat="false" ht="15" hidden="false" customHeight="false" outlineLevel="0" collapsed="false">
      <c r="A26" s="4" t="s">
        <v>33</v>
      </c>
    </row>
    <row r="27" customFormat="false" ht="15" hidden="false" customHeight="false" outlineLevel="0" collapsed="false">
      <c r="A27" s="4" t="s">
        <v>34</v>
      </c>
    </row>
    <row r="28" customFormat="false" ht="15" hidden="false" customHeight="false" outlineLevel="0" collapsed="false">
      <c r="A28" s="4" t="s">
        <v>35</v>
      </c>
    </row>
    <row r="30" customFormat="false" ht="23.85" hidden="false" customHeight="true" outlineLevel="0" collapsed="false">
      <c r="A30" s="8" t="s">
        <v>36</v>
      </c>
      <c r="B30" s="8"/>
      <c r="C30" s="8"/>
      <c r="D30" s="8"/>
      <c r="E30" s="8"/>
      <c r="F30" s="8"/>
    </row>
  </sheetData>
  <mergeCells count="3">
    <mergeCell ref="A1:F1"/>
    <mergeCell ref="A2:F2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13" min="4" style="0" width="8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30"/>
    <col collapsed="false" customWidth="true" hidden="false" outlineLevel="0" max="19" min="19" style="0" width="26"/>
    <col collapsed="false" customWidth="true" hidden="false" outlineLevel="0" max="20" min="20" style="0" width="11"/>
    <col collapsed="false" customWidth="true" hidden="false" outlineLevel="0" max="22" min="21" style="0" width="10"/>
    <col collapsed="false" customWidth="true" hidden="false" outlineLevel="0" max="28" min="23" style="0" width="11"/>
    <col collapsed="false" customWidth="true" hidden="false" outlineLevel="0" max="29" min="29" style="0" width="13"/>
  </cols>
  <sheetData>
    <row r="1" customFormat="false" ht="31.5" hidden="false" customHeight="true" outlineLevel="0" collapsed="false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9" t="s">
        <v>57</v>
      </c>
      <c r="V1" s="9" t="s">
        <v>58</v>
      </c>
      <c r="W1" s="9" t="s">
        <v>59</v>
      </c>
      <c r="X1" s="9" t="s">
        <v>60</v>
      </c>
      <c r="Y1" s="9" t="s">
        <v>61</v>
      </c>
      <c r="Z1" s="9" t="s">
        <v>62</v>
      </c>
      <c r="AA1" s="9" t="s">
        <v>63</v>
      </c>
      <c r="AB1" s="9" t="s">
        <v>64</v>
      </c>
      <c r="AC1" s="9" t="s">
        <v>65</v>
      </c>
    </row>
    <row r="2" customFormat="false" ht="15" hidden="false" customHeight="false" outlineLevel="0" collapsed="false">
      <c r="A2" s="10" t="s">
        <v>66</v>
      </c>
      <c r="B2" s="10" t="s">
        <v>67</v>
      </c>
      <c r="C2" s="10" t="s">
        <v>68</v>
      </c>
      <c r="D2" s="11" t="n">
        <v>2</v>
      </c>
      <c r="E2" s="11" t="n">
        <v>1</v>
      </c>
      <c r="F2" s="11" t="n">
        <v>2</v>
      </c>
      <c r="G2" s="11" t="n">
        <v>2</v>
      </c>
      <c r="H2" s="11" t="n">
        <v>1</v>
      </c>
      <c r="I2" s="11" t="n">
        <v>2</v>
      </c>
      <c r="J2" s="11" t="n">
        <v>2</v>
      </c>
      <c r="K2" s="11" t="n">
        <v>2</v>
      </c>
      <c r="L2" s="11" t="n">
        <v>2</v>
      </c>
      <c r="M2" s="11" t="n">
        <v>1</v>
      </c>
      <c r="N2" s="11" t="n">
        <v>1</v>
      </c>
      <c r="O2" s="12" t="n">
        <f aca="false">COUNTIF(D2:N2,0)</f>
        <v>0</v>
      </c>
      <c r="P2" s="12" t="n">
        <f aca="false">SUM(D2:N2)</f>
        <v>18</v>
      </c>
      <c r="Q2" s="12" t="str">
        <f aca="false">IF(O2&gt;=3,"PASS",IF(O2=2,"RECONSIDER","GO"))</f>
        <v>GO</v>
      </c>
      <c r="R2" s="10" t="s">
        <v>69</v>
      </c>
      <c r="S2" s="10"/>
      <c r="T2" s="13" t="n">
        <v>10125</v>
      </c>
      <c r="U2" s="13" t="n">
        <v>250</v>
      </c>
      <c r="V2" s="14" t="n">
        <f aca="false">T2+U2</f>
        <v>10375</v>
      </c>
      <c r="W2" s="13" t="n">
        <v>12800</v>
      </c>
      <c r="X2" s="13" t="n">
        <v>13200</v>
      </c>
      <c r="Y2" s="14" t="n">
        <f aca="false">W2-V2</f>
        <v>2425</v>
      </c>
      <c r="Z2" s="14" t="n">
        <f aca="false">X2-V2</f>
        <v>2825</v>
      </c>
      <c r="AA2" s="15"/>
      <c r="AB2" s="15"/>
      <c r="AC2" s="16"/>
    </row>
    <row r="3" customFormat="false" ht="15" hidden="false" customHeight="false" outlineLevel="0" collapsed="false">
      <c r="A3" s="10" t="s">
        <v>70</v>
      </c>
      <c r="B3" s="10"/>
      <c r="C3" s="17" t="s">
        <v>71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2026-07-20T09:17:55Z</dcterms:created>
  <dc:creator>openpyxl</dc:creator>
  <dc:description/>
  <dc:language>en-US</dc:language>
  <cp:lastModifiedBy/>
  <dcterms:modified xsi:type="dcterms:W3CDTF">2026-07-20T09:17:55Z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